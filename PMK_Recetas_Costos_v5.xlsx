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mo_usar" sheetId="1" state="visible" r:id="rId3"/>
    <sheet name="Resultado_mensual" sheetId="2" state="visible" r:id="rId4"/>
    <sheet name="Productos" sheetId="3" state="visible" r:id="rId5"/>
    <sheet name="Recetas" sheetId="4" state="visible" r:id="rId6"/>
    <sheet name="Parametros" sheetId="5" state="visible" r:id="rId7"/>
    <sheet name="Gastos_Ventas" sheetId="6" state="visible" r:id="rId8"/>
    <sheet name="Precios" sheetId="7" state="visible" r:id="rId9"/>
    <sheet name="Confeccion" sheetId="8" state="visible" r:id="rId10"/>
    <sheet name="Catalogo" sheetId="9" state="visible" r:id="rId11"/>
  </sheets>
  <definedNames>
    <definedName function="false" hidden="true" localSheetId="2" name="_xlnm._FilterDatabase" vbProcedure="false">Productos!$A$5:$X$110</definedName>
    <definedName function="false" hidden="true" localSheetId="3" name="_xlnm._FilterDatabase" vbProcedure="false">Recetas!$A$4:$T$84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<sst xmlns="http://schemas.openxmlformats.org/spreadsheetml/2006/main" count="1863" uniqueCount="725">
  <si>
    <t xml:space="preserve">RECETAS DE COSTO — PLAYMAKER (v5: consumos por molde, costo por tela y resultado mensual)</t>
  </si>
  <si>
    <t xml:space="preserve">La receta de un molde guarda solo CONSUMOS. El costo sale al elegir la tela de cada producto. Todo dato dice "Por confirmar" hasta que lo valides.</t>
  </si>
  <si>
    <t xml:space="preserve">LA IDEA</t>
  </si>
  <si>
    <t xml:space="preserve">Un mismo molde se puede producir en distintas telas: los CONSUMOS son los mismos (metros de tela, metros impresos, confección, avíos), pero el COSTO cambia según la tela.</t>
  </si>
  <si>
    <t xml:space="preserve">Por eso el consumo se mide en METROS (no en kg): los mismos metros pesan distinto en cada tela. Cada tela tiene su rendimiento (metros por kg) y de ahí sale su $ por metro.</t>
  </si>
  <si>
    <t xml:space="preserve">LAS HOJAS</t>
  </si>
  <si>
    <t xml:space="preserve">Recetas — una por molde del catálogo (54) + prendas sin molde. SOLO CONSUMOS. Si tu ficha de corte está en kg, escribe los kg y la tela con que se midió: se convierte solo a metros.</t>
  </si>
  <si>
    <t xml:space="preserve">Productos — lo que vendes: eliges el molde, la tela principal y la tela 2 (si lleva). Aquí se calcula el costo, la ganancia, el precio mínimo y el semáforo.</t>
  </si>
  <si>
    <t xml:space="preserve">Resultado_mensual — ventas, margen de contribución, gastos fijos, reprocesos, ganancia y punto de equilibrio de cada mes. La hoja para saber si el negocio está ganando.</t>
  </si>
  <si>
    <t xml:space="preserve">Precios — precio por kg y RENDIMIENTO (metros por kg) de cada tela → $ por metro. Avíos por unidad.</t>
  </si>
  <si>
    <t xml:space="preserve">Confeccion — valor del taller por tipo de prenda.   Parametros / Gastos_Ventas — recargo de gastos fijos y meta.   Catalogo — cobertura.</t>
  </si>
  <si>
    <t xml:space="preserve">CÓMO SACAR EL RENDIMIENTO DE UNA TELA (metros por kg)</t>
  </si>
  <si>
    <t xml:space="preserve">Toma un rollo: metros del rollo ÷ kg del rollo. Ej: rollo de 25 kg con 127 metros → 127 ÷ 25 = 5,08 m/kg. Muchas veces viene en la ficha del proveedor.</t>
  </si>
  <si>
    <t xml:space="preserve">Ojo: los metros por prenda se miden con el ancho de tela habitual. Si una tela es mucho más angosta o ancha, la tizada cambia: en ese caso conviene una receta aparte.</t>
  </si>
  <si>
    <t xml:space="preserve">CÓMO SACAR EL CONSUMO DE UN MOLDE</t>
  </si>
  <si>
    <t xml:space="preserve">De la ficha de corte: metros (o kg) de tela usados ÷ prendas cortadas. Si mides en metros, escríbelo en "Metros por prenda (directo)" y tiene prioridad sobre los kg.</t>
  </si>
  <si>
    <t xml:space="preserve">PENDIENTES QUE AFECTAN LOS RESULTADOS</t>
  </si>
  <si>
    <t xml:space="preserve">• Gastos: el archivo original trae un solo mes; se repitió en los 3 meses. Reemplazar con el gasto real.</t>
  </si>
  <si>
    <t xml:space="preserve">RESULTADO MENSUAL — ¿el negocio está ganando?</t>
  </si>
  <si>
    <t xml:space="preserve">Ventas − costo variable = margen de contribución. Margen − gastos fijos − reprocesos = ganancia del mes. Llena las celdas azules de cada mes.</t>
  </si>
  <si>
    <t xml:space="preserve">Concepto</t>
  </si>
  <si>
    <t xml:space="preserve">Jun-2026</t>
  </si>
  <si>
    <t xml:space="preserve">Jul-2026</t>
  </si>
  <si>
    <t xml:space="preserve">Ago-2026</t>
  </si>
  <si>
    <t xml:space="preserve">Sep-2026</t>
  </si>
  <si>
    <t xml:space="preserve">Oct-2026</t>
  </si>
  <si>
    <t xml:space="preserve">Nov-2026</t>
  </si>
  <si>
    <t xml:space="preserve">Dic-2026</t>
  </si>
  <si>
    <t xml:space="preserve">Promedio
(meses con ventas)</t>
  </si>
  <si>
    <t xml:space="preserve">De dónde sale</t>
  </si>
  <si>
    <t xml:space="preserve">Ventas netas ($)</t>
  </si>
  <si>
    <t xml:space="preserve">Export de Parrotfy (Neto $). Septiembre: completar (el export llegaba solo hasta el día 5).</t>
  </si>
  <si>
    <t xml:space="preserve">Unidades vendidas</t>
  </si>
  <si>
    <t xml:space="preserve">Opcional. Jun–ago: líneas del export (incluye adicionales como escudos y cuellos).</t>
  </si>
  <si>
    <t xml:space="preserve">Costo variable REAL del mes ($) — opcional</t>
  </si>
  <si>
    <t xml:space="preserve">Si sabes lo gastado en tela, papel, tinta, talleres y avíos del mes, escríbelo. Si no, se estima con el % de abajo.</t>
  </si>
  <si>
    <t xml:space="preserve">Costo variable usado ($)</t>
  </si>
  <si>
    <t xml:space="preserve">Real si lo escribiste; si no, ventas × costo variable promedio (fila 24). Vacío = todavía no hay un costo variable confiable.</t>
  </si>
  <si>
    <t xml:space="preserve">MARGEN DE CONTRIBUCIÓN ($)</t>
  </si>
  <si>
    <t xml:space="preserve">Lo que dejan las ventas para pagar los gastos fijos.</t>
  </si>
  <si>
    <t xml:space="preserve">Margen de contribución (%)</t>
  </si>
  <si>
    <t xml:space="preserve">Gastos fijos del mes ($)</t>
  </si>
  <si>
    <t xml:space="preserve">Jun–ago: hoja Gastos_Ventas (un solo mes repetido: reemplazar con el real). Desde septiembre: escribir el del mes.</t>
  </si>
  <si>
    <t xml:space="preserve">Reprocesos del mes ($)</t>
  </si>
  <si>
    <t xml:space="preserve">PMK_Maestro_2026, hoja Resumen_Mensual (costo estimado de reprocesos).</t>
  </si>
  <si>
    <t xml:space="preserve">Reprocesos (% de las ventas)</t>
  </si>
  <si>
    <t xml:space="preserve">Plata que se pierde por rehacer. Meta sugerida: bajo 2%.</t>
  </si>
  <si>
    <t xml:space="preserve">GANANCIA DEL MES ($)</t>
  </si>
  <si>
    <t xml:space="preserve">Margen de contribución − gastos fijos − reprocesos.</t>
  </si>
  <si>
    <t xml:space="preserve">Ganancia (% de las ventas)</t>
  </si>
  <si>
    <t xml:space="preserve">PUNTO DE EQUILIBRIO ($ de venta)</t>
  </si>
  <si>
    <t xml:space="preserve">Lo que hay que vender en el mes para no perder (gastos fijos + reprocesos ÷ margen %).</t>
  </si>
  <si>
    <t xml:space="preserve">Ventas sobre (o bajo) el equilibrio ($)</t>
  </si>
  <si>
    <t xml:space="preserve">Positivo = vendiste más de lo necesario para cubrir todo.</t>
  </si>
  <si>
    <t xml:space="preserve">Resultado</t>
  </si>
  <si>
    <t xml:space="preserve">COSTO VARIABLE PROMEDIO (% de la venta) — se usa cuando no escribes el costo variable real del mes</t>
  </si>
  <si>
    <t xml:space="preserve">Calculado desde Productos</t>
  </si>
  <si>
    <t xml:space="preserve">Costo de producción ÷ precio de venta, ponderado por unidades vendidas, de los productos que ya tienen costo completo.</t>
  </si>
  <si>
    <t xml:space="preserve">Unidades vendidas que cubre el cálculo</t>
  </si>
  <si>
    <t xml:space="preserve">Mientras más alto, más confiable. Bajo 50% el promedio todavía no representa bien al negocio.</t>
  </si>
  <si>
    <t xml:space="preserve">Costo variable fijado a mano (opcional)</t>
  </si>
  <si>
    <t xml:space="preserve">Si tienes una estimación mejor (ej: 25%), escríbela aquí: tiene prioridad sobre el calculado.</t>
  </si>
  <si>
    <t xml:space="preserve">COSTO VARIABLE USADO (%)</t>
  </si>
  <si>
    <t xml:space="preserve">¿Y SI EL COSTO VARIABLE FUERA…?  (mes promedio: ventas, gastos fijos y reprocesos de los meses con datos)</t>
  </si>
  <si>
    <t xml:space="preserve">Costo variable (% de la venta)</t>
  </si>
  <si>
    <t xml:space="preserve">Margen de contribución</t>
  </si>
  <si>
    <t xml:space="preserve">Ganancia del mes</t>
  </si>
  <si>
    <t xml:space="preserve">Ganancia (%)</t>
  </si>
  <si>
    <t xml:space="preserve">Punto de equilibrio</t>
  </si>
  <si>
    <t xml:space="preserve">Puedes cambiar los % de la primera columna. Con las recetas completas (o el costo real del mes) sabrás en qué fila está el negocio.</t>
  </si>
  <si>
    <t xml:space="preserve">CÓMO LEER ESTA HOJA</t>
  </si>
  <si>
    <t xml:space="preserve">• MARGEN DE CONTRIBUCIÓN: lo que dejan las ventas después de pagar lo que se gasta por prenda (tela, papel, tinta, taller, avíos). Con él se pagan los gastos fijos.</t>
  </si>
  <si>
    <t xml:space="preserve">• PUNTO DE EQUILIBRIO: lo que necesitas vender en el mes para no perder. Si vendes más, el margen de lo que sobra es ganancia.</t>
  </si>
  <si>
    <t xml:space="preserve">• REPROCESOS: lo que cuesta rehacer prendas. Sale directo de la ganancia.</t>
  </si>
  <si>
    <t xml:space="preserve">• COSTO VARIABLE REAL DEL MES (fila 7): la forma más exacta es sumar las compras del mes de tela, papel, tinta y avíos, más lo pagado a los talleres de confección.</t>
  </si>
  <si>
    <t xml:space="preserve">• Para decidir un descuento: mientras el precio cubra el costo variable de la prenda y deje margen, el pedido ayuda a pagar los gastos fijos.</t>
  </si>
  <si>
    <t xml:space="preserve">PRODUCTOS — costo según el molde y la tela que elijas</t>
  </si>
  <si>
    <t xml:space="preserve">Cada producto toma los CONSUMOS de su molde (hoja Recetas) y los valoriza con la TELA que elijas aquí (precio por metro de la hoja Precios). Un mismo molde puede costar distinto según la tela.</t>
  </si>
  <si>
    <t xml:space="preserve">PRODUCTO</t>
  </si>
  <si>
    <t xml:space="preserve">LO ELIGES TÚ: molde, tela y precio</t>
  </si>
  <si>
    <t xml:space="preserve">COSTO DE PRODUCCIÓN ($ por prenda)</t>
  </si>
  <si>
    <t xml:space="preserve">RESULTADO AL PRECIO ACTUAL</t>
  </si>
  <si>
    <t xml:space="preserve">Código</t>
  </si>
  <si>
    <t xml:space="preserve">Producto</t>
  </si>
  <si>
    <t xml:space="preserve">Tipo</t>
  </si>
  <si>
    <t xml:space="preserve">Unid. vendidas
jun–sep</t>
  </si>
  <si>
    <t xml:space="preserve">Receta (molde)</t>
  </si>
  <si>
    <t xml:space="preserve">Tela principal</t>
  </si>
  <si>
    <t xml:space="preserve">Tela 2
(si el molde lleva)</t>
  </si>
  <si>
    <t xml:space="preserve">Extras
($ por prenda)</t>
  </si>
  <si>
    <t xml:space="preserve">Precio venta
neto ($)</t>
  </si>
  <si>
    <t xml:space="preserve">Estado</t>
  </si>
  <si>
    <t xml:space="preserve">Notas</t>
  </si>
  <si>
    <t xml:space="preserve">$ Tela</t>
  </si>
  <si>
    <t xml:space="preserve">$ Papel y
tinta</t>
  </si>
  <si>
    <t xml:space="preserve">$ Confección</t>
  </si>
  <si>
    <t xml:space="preserve">$ Avíos</t>
  </si>
  <si>
    <t xml:space="preserve">COSTO DE
PRODUCCIÓN</t>
  </si>
  <si>
    <t xml:space="preserve">Gastos de
fábrica</t>
  </si>
  <si>
    <t xml:space="preserve">Gastos
comerciales</t>
  </si>
  <si>
    <t xml:space="preserve">GANANCIA
($)</t>
  </si>
  <si>
    <t xml:space="preserve">GANANCIA
(%)</t>
  </si>
  <si>
    <t xml:space="preserve">Precio mínimo
(sin perder)</t>
  </si>
  <si>
    <t xml:space="preserve">Precio mínimo
(con meta)</t>
  </si>
  <si>
    <t xml:space="preserve">Semáforo</t>
  </si>
  <si>
    <t xml:space="preserve">Qué falta</t>
  </si>
  <si>
    <t xml:space="preserve">Aux: costo × unid.</t>
  </si>
  <si>
    <t xml:space="preserve">Aux: venta × unid.</t>
  </si>
  <si>
    <t xml:space="preserve">Aux: unid. con costo</t>
  </si>
  <si>
    <t xml:space="preserve">FUTCSUBMC</t>
  </si>
  <si>
    <t xml:space="preserve">Camiseta Fútbol Playmaker, m/c</t>
  </si>
  <si>
    <t xml:space="preserve">Juego</t>
  </si>
  <si>
    <t xml:space="preserve">02 · FUTHOMU01</t>
  </si>
  <si>
    <t xml:space="preserve">Por confirmar</t>
  </si>
  <si>
    <t xml:space="preserve">Molde sugerido: fútbol masculino cuello redondo. Confirmar molde y elegir tela.</t>
  </si>
  <si>
    <t xml:space="preserve">FUTCSUBREDMC</t>
  </si>
  <si>
    <t xml:space="preserve">Camiseta Fútbol Playmaker Cuello Redondo m/c</t>
  </si>
  <si>
    <t xml:space="preserve">Molde sugerido. Elegir tela.</t>
  </si>
  <si>
    <t xml:space="preserve">FUTCSUBPROREDMC</t>
  </si>
  <si>
    <t xml:space="preserve">Camiseta Fútbol Pro Playmaker Cuello Redondo m/c</t>
  </si>
  <si>
    <t xml:space="preserve">14 · FUTHOMU01PRO</t>
  </si>
  <si>
    <t xml:space="preserve">MONTESIMONE TRAINING (fut pro)</t>
  </si>
  <si>
    <t xml:space="preserve">MESH</t>
  </si>
  <si>
    <t xml:space="preserve">Tela de la ficha OT 2547.</t>
  </si>
  <si>
    <t xml:space="preserve">VOLMASC-CSUB-V-MC</t>
  </si>
  <si>
    <t xml:space="preserve">Camiseta Voley fem Playmaker, V m/c</t>
  </si>
  <si>
    <t xml:space="preserve">Sin receta: elige el molde que usa (o crea su receta en "Recetas") y la tela.</t>
  </si>
  <si>
    <t xml:space="preserve">FUTCSUBPROMC</t>
  </si>
  <si>
    <t xml:space="preserve">Camiseta Fútbol Pro Playmaker, m/c</t>
  </si>
  <si>
    <t xml:space="preserve">Molde Pro sugerido. Tela de la ficha OT 2547.</t>
  </si>
  <si>
    <t xml:space="preserve">FUTCSUBMC-V</t>
  </si>
  <si>
    <t xml:space="preserve">Camiseta Fútbol Playmaker, V m/c</t>
  </si>
  <si>
    <t xml:space="preserve">06 · FUTHOMV01</t>
  </si>
  <si>
    <t xml:space="preserve">Molde sugerido: cuello V. Elegir tela.</t>
  </si>
  <si>
    <t xml:space="preserve">SALPOLPRESLISA</t>
  </si>
  <si>
    <t xml:space="preserve">Polera de Presentación Lisa</t>
  </si>
  <si>
    <t xml:space="preserve">Salida</t>
  </si>
  <si>
    <t xml:space="preserve">CSUBRUGSFROSA</t>
  </si>
  <si>
    <t xml:space="preserve">CAMISETA DE RUGBY STADE FRANCAIS ANIVERSARIO (ROSADA)</t>
  </si>
  <si>
    <t xml:space="preserve">SAL-PLA-SUB-MC</t>
  </si>
  <si>
    <t xml:space="preserve">Polera de presentación Sublim m/c</t>
  </si>
  <si>
    <t xml:space="preserve">POL-CSUB-POL-MC</t>
  </si>
  <si>
    <t xml:space="preserve">Polera Playmaker, Cuello Redondo m/c</t>
  </si>
  <si>
    <t xml:space="preserve">RUGCSUBPRO</t>
  </si>
  <si>
    <t xml:space="preserve">Camiseta Rugby Pro Pmk</t>
  </si>
  <si>
    <t xml:space="preserve">MDBZCOMENTPITSUB</t>
  </si>
  <si>
    <t xml:space="preserve">Conjunto Polerón de Entrenamiento + Buzo Pitillo Subl</t>
  </si>
  <si>
    <t xml:space="preserve">FUTCSUBPROPIQMC</t>
  </si>
  <si>
    <t xml:space="preserve">Camiseta Fútbol Pro Playmaker, Piqué m/c</t>
  </si>
  <si>
    <t xml:space="preserve">RUNCSUBPROSM</t>
  </si>
  <si>
    <t xml:space="preserve">Camiseta Running Pro s/m</t>
  </si>
  <si>
    <t xml:space="preserve">SM-03 · Camiseta Running s/m</t>
  </si>
  <si>
    <t xml:space="preserve">5K NACIONAL (running pro)</t>
  </si>
  <si>
    <t xml:space="preserve">SAL-CTV-SUB-SG</t>
  </si>
  <si>
    <t xml:space="preserve">CORTAVIENTO SUBLIMADO</t>
  </si>
  <si>
    <t xml:space="preserve">RUG-SHO-BAS</t>
  </si>
  <si>
    <t xml:space="preserve">Short Rugby Basic</t>
  </si>
  <si>
    <t xml:space="preserve">SM-02 · Short Rugby</t>
  </si>
  <si>
    <t xml:space="preserve">GABARDINA</t>
  </si>
  <si>
    <t xml:space="preserve">SALPTPESUB</t>
  </si>
  <si>
    <t xml:space="preserve">Conjunto Polerón de Entrenamiento + Pitillo</t>
  </si>
  <si>
    <t xml:space="preserve">FUTSHOLIS</t>
  </si>
  <si>
    <t xml:space="preserve">Short Fútbol Playmaker Liso</t>
  </si>
  <si>
    <t xml:space="preserve">SM-01 · Short Fútbol</t>
  </si>
  <si>
    <t xml:space="preserve">CIRE BLANCO</t>
  </si>
  <si>
    <t xml:space="preserve">El short de fútbol aún no tiene molde en el catálogo.</t>
  </si>
  <si>
    <t xml:space="preserve">VOLFEMCSUBPROV</t>
  </si>
  <si>
    <t xml:space="preserve">Camiseta Voley fem Pro Playmaker, V</t>
  </si>
  <si>
    <t xml:space="preserve">MDPTSUB</t>
  </si>
  <si>
    <t xml:space="preserve">PETO ENTRENAMIENTO SUB</t>
  </si>
  <si>
    <t xml:space="preserve">MDCSUBOVA</t>
  </si>
  <si>
    <t xml:space="preserve">Polera Playmaker, Cuello Oval s/mangas</t>
  </si>
  <si>
    <t xml:space="preserve">SALHOOLIS</t>
  </si>
  <si>
    <t xml:space="preserve">Polerón Hoodie Playmaker liso</t>
  </si>
  <si>
    <t xml:space="preserve">CSUBRUGSFBLANCA</t>
  </si>
  <si>
    <t xml:space="preserve">CAMISETA DE RUGBY STADE FRANCAIS ANIVERSARIO (BLANCA)</t>
  </si>
  <si>
    <t xml:space="preserve">SAL-POL-3C</t>
  </si>
  <si>
    <t xml:space="preserve">Polerón 3C Playmaker Algodón Cierre</t>
  </si>
  <si>
    <t xml:space="preserve">VOLMASC-CSUB-POL-CER</t>
  </si>
  <si>
    <t xml:space="preserve">Camiseta Voley masc Playmaker, Polo m/cero</t>
  </si>
  <si>
    <t xml:space="preserve">SALPRKLIS</t>
  </si>
  <si>
    <t xml:space="preserve">Parka Lisa Playmaker</t>
  </si>
  <si>
    <t xml:space="preserve">RUG-SHO-PRO</t>
  </si>
  <si>
    <t xml:space="preserve">Short Rugby Pro</t>
  </si>
  <si>
    <t xml:space="preserve">Pro puede gastar distinto: confirmar.</t>
  </si>
  <si>
    <t xml:space="preserve">SAL-POL-SUB</t>
  </si>
  <si>
    <t xml:space="preserve">Polerón Entrenamiento Sublim</t>
  </si>
  <si>
    <t xml:space="preserve">RUGCSUBPER</t>
  </si>
  <si>
    <t xml:space="preserve">Camiseta Rugby Performance Pmk</t>
  </si>
  <si>
    <t xml:space="preserve">FUTCSUBML</t>
  </si>
  <si>
    <t xml:space="preserve">Camiseta Fútbol Playmaker, m/l</t>
  </si>
  <si>
    <t xml:space="preserve">Manga larga: suma su costo extra en "Extras". Elegir tela.</t>
  </si>
  <si>
    <t xml:space="preserve">SALALMLLISA</t>
  </si>
  <si>
    <t xml:space="preserve">Camiseta Algodón Manga Larga Lisa</t>
  </si>
  <si>
    <t xml:space="preserve">RUG-CSUB-PIQ</t>
  </si>
  <si>
    <t xml:space="preserve">Camiseta Rugby Playmaker, Vintage</t>
  </si>
  <si>
    <t xml:space="preserve">VOL-CSUB-SAL-MC</t>
  </si>
  <si>
    <t xml:space="preserve">Camiseta Salida de Cancha Voley m/c</t>
  </si>
  <si>
    <t xml:space="preserve">CSUBVOLFEMVSM</t>
  </si>
  <si>
    <t xml:space="preserve">CAMISETA VOLEY FEM V  S/M PLAYMAKER</t>
  </si>
  <si>
    <t xml:space="preserve">RUG-CSUB-LIC</t>
  </si>
  <si>
    <t xml:space="preserve">Camiseta Rugby Playmaker, Low Profile</t>
  </si>
  <si>
    <t xml:space="preserve">RUNCSUBPROMC</t>
  </si>
  <si>
    <t xml:space="preserve">Camiseta Running Pro m/c</t>
  </si>
  <si>
    <t xml:space="preserve">SAL-SHO-SUB</t>
  </si>
  <si>
    <t xml:space="preserve">SHORT SALIDA SUB</t>
  </si>
  <si>
    <t xml:space="preserve">FUTCSUBPIQMC</t>
  </si>
  <si>
    <t xml:space="preserve">Camiseta Fútbol Playmaker, Piqué m/c</t>
  </si>
  <si>
    <t xml:space="preserve">10 · FUTHOMCC01</t>
  </si>
  <si>
    <t xml:space="preserve">¿Piqué = cuello camisero? Confirmar molde y tela.</t>
  </si>
  <si>
    <t xml:space="preserve">FUTCSUBPROMC-V</t>
  </si>
  <si>
    <t xml:space="preserve">Camiseta Fútbol Pro Playmaker, V m/c</t>
  </si>
  <si>
    <t xml:space="preserve">16 · FUTHOMV01PRO</t>
  </si>
  <si>
    <t xml:space="preserve">Molde Pro cuello V. Tela como la Pro cuello redondo: confirmar.</t>
  </si>
  <si>
    <t xml:space="preserve">BASCSUBPER</t>
  </si>
  <si>
    <t xml:space="preserve">Camiseta Básquetbol Performance</t>
  </si>
  <si>
    <t xml:space="preserve">30 · BKHOMU03</t>
  </si>
  <si>
    <t xml:space="preserve">QUICKDRY</t>
  </si>
  <si>
    <t xml:space="preserve">Molde sugerido: básquet masculino cuello redondo.</t>
  </si>
  <si>
    <t xml:space="preserve">VOL-SHO-SUB</t>
  </si>
  <si>
    <t xml:space="preserve">Short Fútbol Playmaker Sublimado</t>
  </si>
  <si>
    <t xml:space="preserve">Short sublimado: completar metros impresos en su receta.</t>
  </si>
  <si>
    <t xml:space="preserve">VOLFEM-CSUBPRO-POL</t>
  </si>
  <si>
    <t xml:space="preserve">Camiseta Voley fem Pro Playmaker, Polo</t>
  </si>
  <si>
    <t xml:space="preserve">CSUBRUGSFBLAZUL</t>
  </si>
  <si>
    <t xml:space="preserve">CAMISETA DE RUGBY STADE FRANCAIS ANIVERSARIO (AZUL)</t>
  </si>
  <si>
    <t xml:space="preserve">MDPTLIS</t>
  </si>
  <si>
    <t xml:space="preserve">PETO ENTRENAMIENTO LISO</t>
  </si>
  <si>
    <t xml:space="preserve">RUNCSUBPERSM</t>
  </si>
  <si>
    <t xml:space="preserve">Camiseta Running Performance s/m</t>
  </si>
  <si>
    <t xml:space="preserve">SAL-BUZ-LIS-RT</t>
  </si>
  <si>
    <t xml:space="preserve">Pantalón Buzo Playmaker Liso Recto</t>
  </si>
  <si>
    <t xml:space="preserve">SAL-BUZ-LIS</t>
  </si>
  <si>
    <t xml:space="preserve">Pantalón Buzo Playmaker Liso Pitillo</t>
  </si>
  <si>
    <t xml:space="preserve">RUNCSUBPERMC</t>
  </si>
  <si>
    <t xml:space="preserve">Camiseta Running Performance m/c</t>
  </si>
  <si>
    <t xml:space="preserve">HCKCSUBOVA</t>
  </si>
  <si>
    <t xml:space="preserve">Camiseta Hockey Playmaker, Cuello Ova s/mangas</t>
  </si>
  <si>
    <t xml:space="preserve">HCK-FAL-LIS</t>
  </si>
  <si>
    <t xml:space="preserve">Falda Short Hockey Playmaker lisa</t>
  </si>
  <si>
    <t xml:space="preserve">MDCALLARPMK</t>
  </si>
  <si>
    <t xml:space="preserve">Calza larga fem Playmaker</t>
  </si>
  <si>
    <t xml:space="preserve">SAL-HOO-APSUB</t>
  </si>
  <si>
    <t xml:space="preserve">Polerón Hoodie Aplicación Sublim</t>
  </si>
  <si>
    <t xml:space="preserve">SAL-POL-BAS</t>
  </si>
  <si>
    <t xml:space="preserve">POLERON BASIC</t>
  </si>
  <si>
    <t xml:space="preserve">CSUBVMC</t>
  </si>
  <si>
    <t xml:space="preserve">Polera Playmaker, Subl V m/c</t>
  </si>
  <si>
    <t xml:space="preserve">BAS-CSUB-SAL-ML</t>
  </si>
  <si>
    <t xml:space="preserve">Camiseta Salida de Cancha Básquetbol m/l</t>
  </si>
  <si>
    <t xml:space="preserve">VOLMASC-CSUB-POL-MC</t>
  </si>
  <si>
    <t xml:space="preserve">Camiseta Voley masc Playmaker, Polo m/c</t>
  </si>
  <si>
    <t xml:space="preserve">ENTPOLMANSUBL</t>
  </si>
  <si>
    <t xml:space="preserve">Polerón de Entrenamiento Mangas Sublimadas</t>
  </si>
  <si>
    <t xml:space="preserve">POL-CSUB-POL-ML</t>
  </si>
  <si>
    <t xml:space="preserve">Polera Playmaker, Cuello Redondo m/l</t>
  </si>
  <si>
    <t xml:space="preserve">RUGCSUSILV</t>
  </si>
  <si>
    <t xml:space="preserve">Camiseta Rugby Silver Pmk</t>
  </si>
  <si>
    <t xml:space="preserve">SALPLASUB</t>
  </si>
  <si>
    <t xml:space="preserve">Polera de Presentación Sublim m/l</t>
  </si>
  <si>
    <t xml:space="preserve">VOLFEMCSUBPOL</t>
  </si>
  <si>
    <t xml:space="preserve">Camiseta Voley fem Playmaker, Polo</t>
  </si>
  <si>
    <t xml:space="preserve">POLENTSUB</t>
  </si>
  <si>
    <t xml:space="preserve">POLERON  DE ENTRENAMIENTO SUBLIMADO MEDIO CIERRE</t>
  </si>
  <si>
    <t xml:space="preserve">POL-CSUB-V-MC</t>
  </si>
  <si>
    <t xml:space="preserve">Polera Playmaker, V m/c</t>
  </si>
  <si>
    <t xml:space="preserve">RUGCSUBENTMC</t>
  </si>
  <si>
    <t xml:space="preserve">Camiseta de entrenamiento Rugby,m/c</t>
  </si>
  <si>
    <t xml:space="preserve">MDCALCORPMK</t>
  </si>
  <si>
    <t xml:space="preserve">Calza corta fem Playmaker</t>
  </si>
  <si>
    <t xml:space="preserve">SM-04 · Calza Vóley</t>
  </si>
  <si>
    <t xml:space="preserve">LYCRA</t>
  </si>
  <si>
    <t xml:space="preserve">SAL-SHO-LIS</t>
  </si>
  <si>
    <t xml:space="preserve">Short Salida con bolsillos</t>
  </si>
  <si>
    <t xml:space="preserve">ENT-POL-MANSUBL</t>
  </si>
  <si>
    <t xml:space="preserve">POLERON DE ENTRENAMIENTO  MANGAS SUBLIMADAS MASC</t>
  </si>
  <si>
    <t xml:space="preserve">VOLMASC-CSUB-V-CER</t>
  </si>
  <si>
    <t xml:space="preserve">Camiseta Voley masc Playmaker, V m/cero</t>
  </si>
  <si>
    <t xml:space="preserve">SAL-POL-MGSUB</t>
  </si>
  <si>
    <t xml:space="preserve">Polerón Entrenamiento liso con mangas Sublim</t>
  </si>
  <si>
    <t xml:space="preserve">VOLMASC-CSUBPRO-V-MC</t>
  </si>
  <si>
    <t xml:space="preserve">Camiseta Voley masc Pro Playmaker, V m/c</t>
  </si>
  <si>
    <t xml:space="preserve">RUG-CSUB-POL</t>
  </si>
  <si>
    <t xml:space="preserve">Camiseta Rugby Playmaker, Polo</t>
  </si>
  <si>
    <t xml:space="preserve">LZO-2</t>
  </si>
  <si>
    <t xml:space="preserve">Lienzo 1.5x2</t>
  </si>
  <si>
    <t xml:space="preserve">FUTJINSUB</t>
  </si>
  <si>
    <t xml:space="preserve">Jineta de Capitán Subl</t>
  </si>
  <si>
    <t xml:space="preserve">SAL-POL-ALG-LIS</t>
  </si>
  <si>
    <t xml:space="preserve">POLERÓN ALGODÓN CON CAPUCHA PMK</t>
  </si>
  <si>
    <t xml:space="preserve">RECETAS POR MOLDE — consumos para producir UNA prenda</t>
  </si>
  <si>
    <t xml:space="preserve">Solo consumos: metros de tela, metros impresos, confección y avíos. No dependen de la tela: el costo se calcula en "Productos" según la tela que elijas. Si mediste en kg (ficha de corte), escribe los kg y la tela de la medición: se pasan solos a metros.</t>
  </si>
  <si>
    <t xml:space="preserve">MOLDE</t>
  </si>
  <si>
    <t xml:space="preserve">CONSUMOS (los llenas tú)</t>
  </si>
  <si>
    <t xml:space="preserve">CONSUMO EN METROS (se calcula)</t>
  </si>
  <si>
    <t xml:space="preserve">Descripción</t>
  </si>
  <si>
    <t xml:space="preserve">Deporte</t>
  </si>
  <si>
    <t xml:space="preserve">Prenda</t>
  </si>
  <si>
    <t xml:space="preserve">Calce</t>
  </si>
  <si>
    <t xml:space="preserve">Tela con que
se midió</t>
  </si>
  <si>
    <t xml:space="preserve">Kg medidos
por prenda</t>
  </si>
  <si>
    <t xml:space="preserve">Metros por prenda
(si lo mides directo)</t>
  </si>
  <si>
    <t xml:space="preserve">Tela 2 con que
se midió</t>
  </si>
  <si>
    <t xml:space="preserve">Kg tela 2
por prenda</t>
  </si>
  <si>
    <t xml:space="preserve">Metros tela 2
(directo)</t>
  </si>
  <si>
    <t xml:space="preserve">Metros impresos
por prenda</t>
  </si>
  <si>
    <t xml:space="preserve">Confección (tipo)</t>
  </si>
  <si>
    <t xml:space="preserve">Avío</t>
  </si>
  <si>
    <t xml:space="preserve">Cantidad
avío</t>
  </si>
  <si>
    <t xml:space="preserve">METROS TELA
PRINCIPAL</t>
  </si>
  <si>
    <t xml:space="preserve">METROS
TELA 2</t>
  </si>
  <si>
    <t xml:space="preserve">01 · FUTMUJU01</t>
  </si>
  <si>
    <t xml:space="preserve">Fútbol, cuello redondo</t>
  </si>
  <si>
    <t xml:space="preserve">Fútbol</t>
  </si>
  <si>
    <t xml:space="preserve">Camiseta</t>
  </si>
  <si>
    <t xml:space="preserve">Femenino</t>
  </si>
  <si>
    <t xml:space="preserve">Camiseta De Futbol</t>
  </si>
  <si>
    <t xml:space="preserve">Confección sugerida por el tipo de molde: confirmar. Falta ficha de corte.</t>
  </si>
  <si>
    <t xml:space="preserve">Masculino</t>
  </si>
  <si>
    <t xml:space="preserve">03 · FUTINMUJU01</t>
  </si>
  <si>
    <t xml:space="preserve">Fútbol infantil, cuello redondo</t>
  </si>
  <si>
    <t xml:space="preserve">Infantil Femenino</t>
  </si>
  <si>
    <t xml:space="preserve">04 · FUTINHOMU01</t>
  </si>
  <si>
    <t xml:space="preserve">Infantil Masculino</t>
  </si>
  <si>
    <t xml:space="preserve">Ficha OT 2369 (48 camisetas infantiles). Falta metros impresos.</t>
  </si>
  <si>
    <t xml:space="preserve">05 · FUTMUJV01</t>
  </si>
  <si>
    <t xml:space="preserve">Fútbol, cuello v</t>
  </si>
  <si>
    <t xml:space="preserve">07 · FUTINMUJV01</t>
  </si>
  <si>
    <t xml:space="preserve">Fútbol infantil, cuello v</t>
  </si>
  <si>
    <t xml:space="preserve">08 · FUTINHOMV01</t>
  </si>
  <si>
    <t xml:space="preserve">09 · FUTMUJCC01</t>
  </si>
  <si>
    <t xml:space="preserve">Fútbol, cuello camisero</t>
  </si>
  <si>
    <t xml:space="preserve">11 · FUTINMUJCC01</t>
  </si>
  <si>
    <t xml:space="preserve">Fútbol infantil, cuello camisero</t>
  </si>
  <si>
    <t xml:space="preserve">12 · FUTINHOMCC01</t>
  </si>
  <si>
    <t xml:space="preserve">13 · FUTMUJU01PRO</t>
  </si>
  <si>
    <t xml:space="preserve">Fútbol, pro, cuello redondo</t>
  </si>
  <si>
    <t xml:space="preserve">Ficha OT 2257 (20 camisetas Pro femeninas). Falta metros impresos.</t>
  </si>
  <si>
    <t xml:space="preserve">Ficha OT 2547 (20 camisetas Pro masculinas). Metros: la ficha dice 1,9; la receta anterior 1,2 → confirmar.</t>
  </si>
  <si>
    <t xml:space="preserve">15 · FUTMUJV01PRO</t>
  </si>
  <si>
    <t xml:space="preserve">Fútbol, pro, cuello v</t>
  </si>
  <si>
    <t xml:space="preserve">17 · FUTMUJU02</t>
  </si>
  <si>
    <t xml:space="preserve">Fútbol, raglán, cuello redondo</t>
  </si>
  <si>
    <t xml:space="preserve">Camiseta Futbol Molde 2026 (Raglan)</t>
  </si>
  <si>
    <t xml:space="preserve">18 · FUTHOMU02</t>
  </si>
  <si>
    <t xml:space="preserve">19 · FUTINMUJU02</t>
  </si>
  <si>
    <t xml:space="preserve">Fútbol infantil, raglán, cuello redondo</t>
  </si>
  <si>
    <t xml:space="preserve">20 · FUTINHOMU02</t>
  </si>
  <si>
    <t xml:space="preserve">21 · FUTMUJV02</t>
  </si>
  <si>
    <t xml:space="preserve">Fútbol, raglán, cuello v</t>
  </si>
  <si>
    <t xml:space="preserve">22 · FUTHOMV02</t>
  </si>
  <si>
    <t xml:space="preserve">23 · FUTINMUJV02</t>
  </si>
  <si>
    <t xml:space="preserve">Fútbol infantil, raglán, cuello v</t>
  </si>
  <si>
    <t xml:space="preserve">24 · FUTINHOMV02</t>
  </si>
  <si>
    <t xml:space="preserve">25 · FUTMUJU02PRO</t>
  </si>
  <si>
    <t xml:space="preserve">Fútbol, raglán, pro, cuello redondo</t>
  </si>
  <si>
    <t xml:space="preserve">26 · FUTHOMU02PRO</t>
  </si>
  <si>
    <t xml:space="preserve">27 · FUTMUJV02PRO</t>
  </si>
  <si>
    <t xml:space="preserve">Fútbol, raglán, pro, cuello v</t>
  </si>
  <si>
    <t xml:space="preserve">28 · FUTHOMV02PRO</t>
  </si>
  <si>
    <t xml:space="preserve">29 · BKMUJU03</t>
  </si>
  <si>
    <t xml:space="preserve">Básquetbol, cuello redondo</t>
  </si>
  <si>
    <t xml:space="preserve">Básquetbol</t>
  </si>
  <si>
    <t xml:space="preserve">Camiseta De Basket</t>
  </si>
  <si>
    <t xml:space="preserve">Ficha OT 2425 (17 camisetas básquet). Falta metros impresos.</t>
  </si>
  <si>
    <t xml:space="preserve">31 · BKINMUJU03</t>
  </si>
  <si>
    <t xml:space="preserve">Básquetbol infantil, cuello redondo</t>
  </si>
  <si>
    <t xml:space="preserve">32 · BKINHOMU03</t>
  </si>
  <si>
    <t xml:space="preserve">33 · BKMUJV03</t>
  </si>
  <si>
    <t xml:space="preserve">Básquetbol, cuello v</t>
  </si>
  <si>
    <t xml:space="preserve">34 · BKHOMV03</t>
  </si>
  <si>
    <t xml:space="preserve">35 · BKINMUJV03</t>
  </si>
  <si>
    <t xml:space="preserve">Básquetbol infantil, cuello v</t>
  </si>
  <si>
    <t xml:space="preserve">36 · BKINHOMV03</t>
  </si>
  <si>
    <t xml:space="preserve">37 · BKMUJU03RE</t>
  </si>
  <si>
    <t xml:space="preserve">Básquetbol, reversible, cuello redondo</t>
  </si>
  <si>
    <t xml:space="preserve">Camiseta De Basket Reversible</t>
  </si>
  <si>
    <t xml:space="preserve">38 · BKHOMU03RE</t>
  </si>
  <si>
    <t xml:space="preserve">39 · BKINMUJU03</t>
  </si>
  <si>
    <t xml:space="preserve">Básquetbol infantil, reversible, cuello redondo</t>
  </si>
  <si>
    <t xml:space="preserve">40 · BKINHOMU03RE</t>
  </si>
  <si>
    <t xml:space="preserve">41 · BKMUJU03PRO</t>
  </si>
  <si>
    <t xml:space="preserve">Básquetbol, pro, cuello redondo</t>
  </si>
  <si>
    <t xml:space="preserve">Camiseta De Basket Pro</t>
  </si>
  <si>
    <t xml:space="preserve">42 · BKHOMU03PRO</t>
  </si>
  <si>
    <t xml:space="preserve">43 · BKMUJV03PRO</t>
  </si>
  <si>
    <t xml:space="preserve">Básquetbol, pro, cuello v</t>
  </si>
  <si>
    <t xml:space="preserve">44 · BKHOMV03PRO</t>
  </si>
  <si>
    <t xml:space="preserve">45 · BKSHMUJ</t>
  </si>
  <si>
    <t xml:space="preserve">Short</t>
  </si>
  <si>
    <t xml:space="preserve">Short De Basket</t>
  </si>
  <si>
    <t xml:space="preserve">46 · BK-SH</t>
  </si>
  <si>
    <t xml:space="preserve">Ficha OT 2425 (17 shorts básquet: 2,6 kg). Falta metros impresos.</t>
  </si>
  <si>
    <t xml:space="preserve">47 · BKINSHMUJ</t>
  </si>
  <si>
    <t xml:space="preserve">Básquetbol infantil</t>
  </si>
  <si>
    <t xml:space="preserve">48 · BKINSHHOM</t>
  </si>
  <si>
    <t xml:space="preserve">49 · BKSHMUJRE</t>
  </si>
  <si>
    <t xml:space="preserve">Básquetbol, reversible</t>
  </si>
  <si>
    <t xml:space="preserve">Short De Basket Reversible</t>
  </si>
  <si>
    <t xml:space="preserve">50 · BK-SH</t>
  </si>
  <si>
    <t xml:space="preserve">51 · BKINSHMUJRE</t>
  </si>
  <si>
    <t xml:space="preserve">Básquetbol infantil, reversible</t>
  </si>
  <si>
    <t xml:space="preserve">52 · BKINSHHOMRE</t>
  </si>
  <si>
    <t xml:space="preserve">53 · BKSHMUJPRO</t>
  </si>
  <si>
    <t xml:space="preserve">Básquetbol, pro</t>
  </si>
  <si>
    <t xml:space="preserve">Short De Basket Pro</t>
  </si>
  <si>
    <t xml:space="preserve">54 · BK-SH PRO</t>
  </si>
  <si>
    <t xml:space="preserve">PRENDAS SIN MOLDE EN EL CATÁLOGO (agrega aquí las que falten)</t>
  </si>
  <si>
    <t xml:space="preserve">Short de fútbol (sin molde en catálogo)</t>
  </si>
  <si>
    <t xml:space="preserve">Short De Futbol</t>
  </si>
  <si>
    <t xml:space="preserve">Promedio OT 2547 (0,175) y OT 2588 (0,138). Liso = 0 m impresos: confirmar.</t>
  </si>
  <si>
    <t xml:space="preserve">Short de rugby (sin molde en catálogo)</t>
  </si>
  <si>
    <t xml:space="preserve">Rugby</t>
  </si>
  <si>
    <t xml:space="preserve">Short De Rugby</t>
  </si>
  <si>
    <t xml:space="preserve">Ficha OT 205 (19 shorts).</t>
  </si>
  <si>
    <t xml:space="preserve">Camiseta running sin mangas (sin molde)</t>
  </si>
  <si>
    <t xml:space="preserve">Running</t>
  </si>
  <si>
    <t xml:space="preserve">Camiseta De Running</t>
  </si>
  <si>
    <t xml:space="preserve">Ficha OT 2223 (25 prendas). Metros 1,2 de la receta anterior: confirmar.</t>
  </si>
  <si>
    <t xml:space="preserve">Calza vóley (sin molde)</t>
  </si>
  <si>
    <t xml:space="preserve">Vóley</t>
  </si>
  <si>
    <t xml:space="preserve">Calza</t>
  </si>
  <si>
    <t xml:space="preserve">Ficha OT 2642 (5 calzas). La Lycra no tiene precio.</t>
  </si>
  <si>
    <t xml:space="preserve">← filas libres: escribe un código (ej: SM-05 · Polerón) y sus consumos</t>
  </si>
  <si>
    <t xml:space="preserve">PARÁMETROS — recargo, meta de ganancia y costo de impresión</t>
  </si>
  <si>
    <t xml:space="preserve">Azul = lo editas tú. Gris = se calcula solo.</t>
  </si>
  <si>
    <t xml:space="preserve">1) RECARGO POR GASTOS FIJOS (promedio de los últimos 3 meses, se revisa cada trimestre)</t>
  </si>
  <si>
    <t xml:space="preserve">Gastos de fábrica — promedio mensual</t>
  </si>
  <si>
    <t xml:space="preserve">Desde Gastos_Ventas</t>
  </si>
  <si>
    <t xml:space="preserve">Gastos comerciales — promedio mensual</t>
  </si>
  <si>
    <t xml:space="preserve">Ventas netas — promedio mensual</t>
  </si>
  <si>
    <t xml:space="preserve">Recargo de fábrica calculado</t>
  </si>
  <si>
    <t xml:space="preserve">Gastos de fábrica ÷ ventas</t>
  </si>
  <si>
    <t xml:space="preserve">Recargo comercial calculado</t>
  </si>
  <si>
    <t xml:space="preserve">Gastos comerciales ÷ ventas</t>
  </si>
  <si>
    <t xml:space="preserve">Recargo de fábrica fijado a mano (opcional)</t>
  </si>
  <si>
    <t xml:space="preserve">Vacío = usa el calculado. Escribe un % solo si quieres fijarlo.</t>
  </si>
  <si>
    <t xml:space="preserve">Recargo comercial fijado a mano (opcional)</t>
  </si>
  <si>
    <t xml:space="preserve">Vacío = usa el calculado.</t>
  </si>
  <si>
    <t xml:space="preserve">RECARGO DE FÁBRICA USADO</t>
  </si>
  <si>
    <t xml:space="preserve">Lo usan todas las recetas</t>
  </si>
  <si>
    <t xml:space="preserve">RECARGO COMERCIAL USADO</t>
  </si>
  <si>
    <t xml:space="preserve">RECARGO TOTAL</t>
  </si>
  <si>
    <t xml:space="preserve">De cada $100 que vendes, este monto se va en pagar gastos fijos.</t>
  </si>
  <si>
    <t xml:space="preserve">Próxima revisión del recargo</t>
  </si>
  <si>
    <t xml:space="preserve">Diciembre 2026</t>
  </si>
  <si>
    <t xml:space="preserve">Usar septiembre, octubre y noviembre.</t>
  </si>
  <si>
    <t xml:space="preserve">2) META DE GANANCIA</t>
  </si>
  <si>
    <t xml:space="preserve">Ganancia deseada (% del precio de venta)</t>
  </si>
  <si>
    <t xml:space="preserve">POR CONFIRMAR: 10% es solo un ejemplo. Define tu meta.</t>
  </si>
  <si>
    <t xml:space="preserve">3) COSTO DE IMPRESIÓN (papel + tinta) por metro impreso</t>
  </si>
  <si>
    <t xml:space="preserve">Papel sublimación — precio del rollo ($)</t>
  </si>
  <si>
    <t xml:space="preserve">POR CONFIRMAR: en tu archivo dice $50.420 "por kg". ¿Es el precio del rollo?</t>
  </si>
  <si>
    <t xml:space="preserve">Papel — metros que rinde el rollo</t>
  </si>
  <si>
    <t xml:space="preserve">PENDIENTE: ¿cuántos metros trae el rollo?</t>
  </si>
  <si>
    <t xml:space="preserve">Tinta — precio por litro ($)</t>
  </si>
  <si>
    <t xml:space="preserve">POR CONFIRMAR: precio de la tinta magenta. ¿Los otros colores cuestan lo mismo?</t>
  </si>
  <si>
    <t xml:space="preserve">Tinta — ml que gasta 1 metro impreso</t>
  </si>
  <si>
    <t xml:space="preserve">PENDIENTE: litros gastados en el mes ÷ metros impresos (Control de Ploteo) × 1000.</t>
  </si>
  <si>
    <t xml:space="preserve">Papel por metro</t>
  </si>
  <si>
    <t xml:space="preserve">Se calcula solo</t>
  </si>
  <si>
    <t xml:space="preserve">Tinta por metro</t>
  </si>
  <si>
    <t xml:space="preserve">COSTO DE IMPRESIÓN POR METRO</t>
  </si>
  <si>
    <t xml:space="preserve">Mientras esté en $0, las prendas sublimadas salen más baratas de lo real.</t>
  </si>
  <si>
    <t xml:space="preserve">4) POR QUÉ LOS SUELDOS NO VAN EN LA RECETA</t>
  </si>
  <si>
    <t xml:space="preserve">Los sueldos de ploteo, sublimación, corte y estampado se pagan completos cada mes, se produzca mucho o poco. Por eso van en "Gastos de fábrica" y llegan a cada prenda a través del recargo. Si además se cobraran dentro de la receta (como hacía el sistema anterior), se contarían dos veces. La receta solo lleva lo que se gasta por cada prenda: tela, papel y tinta, taller de confección y avíos.</t>
  </si>
  <si>
    <t xml:space="preserve">GASTOS FIJOS Y VENTAS — últimos 3 meses</t>
  </si>
  <si>
    <t xml:space="preserve">Cada trimestre escribe los 3 meses más recientes. El promedio y el recargo se recalculan solos.</t>
  </si>
  <si>
    <t xml:space="preserve">Grupo</t>
  </si>
  <si>
    <t xml:space="preserve">Promedio 3 meses</t>
  </si>
  <si>
    <t xml:space="preserve">Nota</t>
  </si>
  <si>
    <t xml:space="preserve">Ploteo</t>
  </si>
  <si>
    <t xml:space="preserve">Fábrica</t>
  </si>
  <si>
    <t xml:space="preserve">Sueldo: se paga igual haya o no producción → va en gastos, no en la receta.</t>
  </si>
  <si>
    <t xml:space="preserve">Sublimación</t>
  </si>
  <si>
    <t xml:space="preserve">Corte</t>
  </si>
  <si>
    <t xml:space="preserve">Confección interna</t>
  </si>
  <si>
    <t xml:space="preserve">Estampado</t>
  </si>
  <si>
    <t xml:space="preserve">Luz</t>
  </si>
  <si>
    <t xml:space="preserve">Agua</t>
  </si>
  <si>
    <t xml:space="preserve">Telefonía</t>
  </si>
  <si>
    <t xml:space="preserve">Arriendo</t>
  </si>
  <si>
    <t xml:space="preserve">Internet</t>
  </si>
  <si>
    <t xml:space="preserve">Mantención de máquinas</t>
  </si>
  <si>
    <t xml:space="preserve">Seguridad</t>
  </si>
  <si>
    <t xml:space="preserve">Insumos de limpieza (aseo)</t>
  </si>
  <si>
    <t xml:space="preserve">Insumos de oficina</t>
  </si>
  <si>
    <t xml:space="preserve">Bencina</t>
  </si>
  <si>
    <t xml:space="preserve">Jefe de producción (sueldo)</t>
  </si>
  <si>
    <t xml:space="preserve">Fichas técnicas (sueldo)</t>
  </si>
  <si>
    <t xml:space="preserve">Apoyo producción (sueldo)</t>
  </si>
  <si>
    <t xml:space="preserve">Personal aseo (sueldo)</t>
  </si>
  <si>
    <t xml:space="preserve">CEO (sueldo)</t>
  </si>
  <si>
    <t xml:space="preserve">Comercial</t>
  </si>
  <si>
    <t xml:space="preserve">Administración (sueldo)</t>
  </si>
  <si>
    <t xml:space="preserve">Ventas (sueldo)</t>
  </si>
  <si>
    <t xml:space="preserve">Marketing (sueldo)</t>
  </si>
  <si>
    <t xml:space="preserve">Audiovisual / contenido (sueldo)</t>
  </si>
  <si>
    <t xml:space="preserve">Facebook / Instagram Ads</t>
  </si>
  <si>
    <t xml:space="preserve">Google Ads</t>
  </si>
  <si>
    <t xml:space="preserve">Agencia de marketing</t>
  </si>
  <si>
    <t xml:space="preserve">Herramientas de IA</t>
  </si>
  <si>
    <t xml:space="preserve">Software (Canva, Adobe, etc.)</t>
  </si>
  <si>
    <t xml:space="preserve">Uber</t>
  </si>
  <si>
    <t xml:space="preserve">← filas libres para agregar gastos</t>
  </si>
  <si>
    <t xml:space="preserve">TOTAL GASTOS DE FÁBRICA</t>
  </si>
  <si>
    <t xml:space="preserve">TOTAL GASTOS COMERCIALES</t>
  </si>
  <si>
    <t xml:space="preserve">TOTAL GASTOS FIJOS</t>
  </si>
  <si>
    <t xml:space="preserve">VENTAS NETAS DEL MES ($)</t>
  </si>
  <si>
    <t xml:space="preserve">Fuente: hoja Proyectos_PMK (export Parrotfy), suma de Neto $ por mes. Septiembre no se usa: el export llega solo hasta el 5-sep.</t>
  </si>
  <si>
    <t xml:space="preserve">POR CONFIRMAR: el archivo original trae un solo mes de gastos; se repitió en los 3 meses. Reemplazar con el gasto real de cada mes.</t>
  </si>
  <si>
    <t xml:space="preserve">Fábrica = lo que cuesta tener la fábrica funcionando (arriendo, luz, todos los sueldos de producción). Comercial = vender (sueldos de ventas y marketing, publicidad). Puedes cambiar el grupo de cualquier línea.</t>
  </si>
  <si>
    <t xml:space="preserve">PRECIOS DE TELAS Y AVÍOS — neto, sin IVA</t>
  </si>
  <si>
    <t xml:space="preserve">Fuente: 3_Insumos del Sistema de Costeo v2. Las telas se compran por kg; con su RENDIMIENTO (metros por kg) se obtiene el $ por metro que usan los productos.</t>
  </si>
  <si>
    <t xml:space="preserve">Insumo</t>
  </si>
  <si>
    <t xml:space="preserve">Unidad</t>
  </si>
  <si>
    <t xml:space="preserve">Precio neto ($)</t>
  </si>
  <si>
    <t xml:space="preserve">Rendimiento
(metros por kg)</t>
  </si>
  <si>
    <t xml:space="preserve">$ por metro
(se calcula)</t>
  </si>
  <si>
    <t xml:space="preserve">Tela</t>
  </si>
  <si>
    <t xml:space="preserve">kg</t>
  </si>
  <si>
    <t xml:space="preserve">LONDRES BLANCO</t>
  </si>
  <si>
    <t xml:space="preserve">Falta el rendimiento: ¿cuántos metros trae 1 kg? (rollo: metros ÷ kg).</t>
  </si>
  <si>
    <t xml:space="preserve">CIRE AZUL</t>
  </si>
  <si>
    <t xml:space="preserve">FRANELA</t>
  </si>
  <si>
    <t xml:space="preserve">PIQUE SELECCION</t>
  </si>
  <si>
    <t xml:space="preserve">MICROFIBRA</t>
  </si>
  <si>
    <t xml:space="preserve">CIRE MICROFIBRA AZUL REY</t>
  </si>
  <si>
    <t xml:space="preserve">SCUBA</t>
  </si>
  <si>
    <t xml:space="preserve">GLOBAL</t>
  </si>
  <si>
    <t xml:space="preserve">PIQUE RUGBY</t>
  </si>
  <si>
    <t xml:space="preserve">CORDERITO</t>
  </si>
  <si>
    <t xml:space="preserve">MICROFIBRA CIRE COLORES</t>
  </si>
  <si>
    <t xml:space="preserve">BASQUET BLANCO</t>
  </si>
  <si>
    <t xml:space="preserve">PIQUE TENIS BLANCO</t>
  </si>
  <si>
    <t xml:space="preserve">DEPORTIVO COLOR</t>
  </si>
  <si>
    <t xml:space="preserve">GABARDINA 8Z</t>
  </si>
  <si>
    <t xml:space="preserve">FRANELA POLIESTER</t>
  </si>
  <si>
    <t xml:space="preserve">GABARDINA 7Z</t>
  </si>
  <si>
    <t xml:space="preserve">FALCAO</t>
  </si>
  <si>
    <t xml:space="preserve">RUGBY IRLANDA</t>
  </si>
  <si>
    <t xml:space="preserve">LYCRA GRIS OSCURA</t>
  </si>
  <si>
    <t xml:space="preserve">COTTON</t>
  </si>
  <si>
    <t xml:space="preserve">JACQUARD TECH</t>
  </si>
  <si>
    <t xml:space="preserve">JACQUARD BYTES</t>
  </si>
  <si>
    <t xml:space="preserve">SIN PRECIO</t>
  </si>
  <si>
    <t xml:space="preserve">MALLA DEPORTIVA BLANCO</t>
  </si>
  <si>
    <t xml:space="preserve">Falta el rendimiento: ¿cuántos metros trae 1 kg? (rollo: metros ÷ kg). Estaba en avíos, pero se compra por kg como tela.</t>
  </si>
  <si>
    <t xml:space="preserve">NOVAK</t>
  </si>
  <si>
    <t xml:space="preserve">THERMAFLEECE</t>
  </si>
  <si>
    <t xml:space="preserve">Cuello</t>
  </si>
  <si>
    <t xml:space="preserve">unidad</t>
  </si>
  <si>
    <t xml:space="preserve">Precio "estimado" en el archivo original.</t>
  </si>
  <si>
    <t xml:space="preserve">Puño</t>
  </si>
  <si>
    <t xml:space="preserve">$8.500 por unidad parece alto: ¿es por kg?</t>
  </si>
  <si>
    <t xml:space="preserve">Tapacuello</t>
  </si>
  <si>
    <t xml:space="preserve">Hilo</t>
  </si>
  <si>
    <t xml:space="preserve">Etiqueta</t>
  </si>
  <si>
    <t xml:space="preserve">Cierre</t>
  </si>
  <si>
    <t xml:space="preserve">Cordón</t>
  </si>
  <si>
    <t xml:space="preserve">Elástico</t>
  </si>
  <si>
    <t xml:space="preserve">Forro</t>
  </si>
  <si>
    <t xml:space="preserve">Cremallera bolsillo</t>
  </si>
  <si>
    <t xml:space="preserve">CONFECCIÓN — valor que se paga al taller por prenda (neto, con planchado)</t>
  </si>
  <si>
    <t xml:space="preserve">Fuente: hoja Talleres_Confección del Sistema de Costeo v2. Agrega tipos nuevos al final.</t>
  </si>
  <si>
    <t xml:space="preserve">Tipo de prenda</t>
  </si>
  <si>
    <t xml:space="preserve">Valor con planchado ($)</t>
  </si>
  <si>
    <t xml:space="preserve">Sin planchado (ref.)</t>
  </si>
  <si>
    <t xml:space="preserve">Camiseta De Futbol Retro</t>
  </si>
  <si>
    <t xml:space="preserve">Camiseta De Rugby Básica</t>
  </si>
  <si>
    <t xml:space="preserve">Camiseta De Rugby Lycra</t>
  </si>
  <si>
    <t xml:space="preserve">Ojo: sin planchado sale MÁS caro que con planchado. Revisar.</t>
  </si>
  <si>
    <t xml:space="preserve">Camiseta Futbol Fem Santiago Morning</t>
  </si>
  <si>
    <t xml:space="preserve">Short Fem Con Tajali</t>
  </si>
  <si>
    <t xml:space="preserve">Camiseta De Hockey</t>
  </si>
  <si>
    <t xml:space="preserve">Camiseta De Hockey Franja</t>
  </si>
  <si>
    <t xml:space="preserve">Calza-Falda</t>
  </si>
  <si>
    <t xml:space="preserve">Pantalon Pitillo</t>
  </si>
  <si>
    <t xml:space="preserve">Poleron Entrenamiento Raglan</t>
  </si>
  <si>
    <t xml:space="preserve">Short De Salida</t>
  </si>
  <si>
    <t xml:space="preserve">Peto Entrenamiento</t>
  </si>
  <si>
    <t xml:space="preserve">Pantalon No Pitillo</t>
  </si>
  <si>
    <t xml:space="preserve">Camiseta Running Con Manga</t>
  </si>
  <si>
    <t xml:space="preserve">Camiseta De Salida Con Hojal Y Boton</t>
  </si>
  <si>
    <t xml:space="preserve">Camiseta De Salida Sin Hojal Ni Boton</t>
  </si>
  <si>
    <t xml:space="preserve">Camiseta De Salida Con Cuello Y Puño Tejido Con Boton</t>
  </si>
  <si>
    <t xml:space="preserve">Camiseta De Salida Con Cuello Y Puño Tejido Sin Boton</t>
  </si>
  <si>
    <t xml:space="preserve">Camiseta Kimono</t>
  </si>
  <si>
    <t xml:space="preserve">Camiseta Voley</t>
  </si>
  <si>
    <t xml:space="preserve">Calza Larga</t>
  </si>
  <si>
    <t xml:space="preserve">Lienzo</t>
  </si>
  <si>
    <t xml:space="preserve">Camiseta Retro</t>
  </si>
  <si>
    <t xml:space="preserve">Multideporte</t>
  </si>
  <si>
    <t xml:space="preserve">Poleron Polo</t>
  </si>
  <si>
    <t xml:space="preserve">Parka Larga 2025</t>
  </si>
  <si>
    <t xml:space="preserve">Camiseta Rugby Con Cuello</t>
  </si>
  <si>
    <t xml:space="preserve">Poleron Oversize 3C</t>
  </si>
  <si>
    <t xml:space="preserve">Cortaviento Con Capucha</t>
  </si>
  <si>
    <t xml:space="preserve">Cortaviento Sin Capucha</t>
  </si>
  <si>
    <t xml:space="preserve">Poleron Hoodie</t>
  </si>
  <si>
    <t xml:space="preserve">Poleron Hoodie Corte Mangas</t>
  </si>
  <si>
    <t xml:space="preserve">Bolso</t>
  </si>
  <si>
    <t xml:space="preserve">Colett</t>
  </si>
  <si>
    <t xml:space="preserve">CATÁLOGO — qué productos ya tienen costo completo</t>
  </si>
  <si>
    <t xml:space="preserve">Todos los productos vendidos jun–sep 2026, de mayor a menor unidades (fuente: 2_Catálogo). Los kits se costean después sumando sus partes.</t>
  </si>
  <si>
    <t xml:space="preserve">Precio real prom. ($)</t>
  </si>
  <si>
    <t xml:space="preserve">DUODIAFUTB</t>
  </si>
  <si>
    <t xml:space="preserve">Dúo Pack Diamante Fútbol</t>
  </si>
  <si>
    <t xml:space="preserve">KIT/DÚO</t>
  </si>
  <si>
    <t xml:space="preserve">ESCDTF10</t>
  </si>
  <si>
    <t xml:space="preserve">Escudo en DTF10cm</t>
  </si>
  <si>
    <t xml:space="preserve">ADICIONAL</t>
  </si>
  <si>
    <t xml:space="preserve">KITOROFUTB</t>
  </si>
  <si>
    <t xml:space="preserve">Kit Oro Fútbol</t>
  </si>
  <si>
    <t xml:space="preserve">ESCTEX10</t>
  </si>
  <si>
    <t xml:space="preserve">Escudo Texturizado10cm</t>
  </si>
  <si>
    <t xml:space="preserve">MEDPROPERCP</t>
  </si>
  <si>
    <t xml:space="preserve">Medias Pro Personalizadas PMK</t>
  </si>
  <si>
    <t xml:space="preserve">EXTERNO/REVENTA</t>
  </si>
  <si>
    <t xml:space="preserve">ESC-PRO-10CM</t>
  </si>
  <si>
    <t xml:space="preserve">ESCUDO PRO 10CM</t>
  </si>
  <si>
    <t xml:space="preserve">JUEGO/COMPETENCIA</t>
  </si>
  <si>
    <t xml:space="preserve">EXT-CUE-PIQ</t>
  </si>
  <si>
    <t xml:space="preserve">EXTRA CUELLO PIQUÉ</t>
  </si>
  <si>
    <t xml:space="preserve">KITDIAFUTB</t>
  </si>
  <si>
    <t xml:space="preserve">Kit Diamante Fútbol</t>
  </si>
  <si>
    <t xml:space="preserve">EXT-CUE-V</t>
  </si>
  <si>
    <t xml:space="preserve">Extra Cuello V</t>
  </si>
  <si>
    <t xml:space="preserve">EXTPRIORI</t>
  </si>
  <si>
    <t xml:space="preserve">Priorizado</t>
  </si>
  <si>
    <t xml:space="preserve">SALIDA/PRESENTACIÓN</t>
  </si>
  <si>
    <t xml:space="preserve">DUOORFUTB</t>
  </si>
  <si>
    <t xml:space="preserve">Dúo Pack Oro Fútbol</t>
  </si>
  <si>
    <t xml:space="preserve">DUOORBASK</t>
  </si>
  <si>
    <t xml:space="preserve">Dúo Pack Oro Básket</t>
  </si>
  <si>
    <t xml:space="preserve">EXTCUEPIQ</t>
  </si>
  <si>
    <t xml:space="preserve">Extra Cuello Piqué</t>
  </si>
  <si>
    <t xml:space="preserve">ESC-DTF-10CM</t>
  </si>
  <si>
    <t xml:space="preserve">ESCUDO COLORES 10CM</t>
  </si>
  <si>
    <t xml:space="preserve">EXT-ML</t>
  </si>
  <si>
    <t xml:space="preserve">EXTRA MANGA LARGA</t>
  </si>
  <si>
    <t xml:space="preserve">DUOPLFUTB</t>
  </si>
  <si>
    <t xml:space="preserve">Dúo Pack Plata Fútbol</t>
  </si>
  <si>
    <t xml:space="preserve">ESCDTF20</t>
  </si>
  <si>
    <t xml:space="preserve">Escudo en DTF 20cm</t>
  </si>
  <si>
    <t xml:space="preserve">DUOPLABASKREV</t>
  </si>
  <si>
    <t xml:space="preserve">DÚO PACK PLATA BASKET REVERSIBLE</t>
  </si>
  <si>
    <t xml:space="preserve">DUODIAHOCKFEM</t>
  </si>
  <si>
    <t xml:space="preserve">Dúo Pack Diamante Hockey Fem</t>
  </si>
  <si>
    <t xml:space="preserve">DUOORRUGBMAS</t>
  </si>
  <si>
    <t xml:space="preserve">Dúo Pack Oro Rugby Mas</t>
  </si>
  <si>
    <t xml:space="preserve">DUOORVOLFEM</t>
  </si>
  <si>
    <t xml:space="preserve">Dúo Pack Oro Voley Fem</t>
  </si>
  <si>
    <t xml:space="preserve">ESCVIN10</t>
  </si>
  <si>
    <t xml:space="preserve">Escudo Vinilo 1 color 10cm</t>
  </si>
  <si>
    <t xml:space="preserve">KITPLFUTB</t>
  </si>
  <si>
    <t xml:space="preserve">Kit Plata Fútbol</t>
  </si>
  <si>
    <t xml:space="preserve">DUOPLBASK</t>
  </si>
  <si>
    <t xml:space="preserve">Dúo Pack Plata Básket</t>
  </si>
  <si>
    <t xml:space="preserve">MEDLISPMKCP</t>
  </si>
  <si>
    <t xml:space="preserve">Medias Playmaker Lisas c/p</t>
  </si>
  <si>
    <t xml:space="preserve">KITOROFUTBMAS</t>
  </si>
  <si>
    <t xml:space="preserve">Kit Oro Fútbol Mas</t>
  </si>
  <si>
    <t xml:space="preserve">KITOROFUTBFEM</t>
  </si>
  <si>
    <t xml:space="preserve">Kit Oro Fútbol Fem</t>
  </si>
  <si>
    <t xml:space="preserve">DUOORVOLMAS</t>
  </si>
  <si>
    <t xml:space="preserve">Dúo Pack Oro Voley Mas</t>
  </si>
  <si>
    <t xml:space="preserve">FUT-MED-LIS</t>
  </si>
  <si>
    <t xml:space="preserve">Medias Fútbol Playmaker Lisas c/p</t>
  </si>
  <si>
    <t xml:space="preserve">FUT-MED-LIS-SP</t>
  </si>
  <si>
    <t xml:space="preserve">Medias Fútbol Playmaker Lisas s/p</t>
  </si>
  <si>
    <t xml:space="preserve">KITORORUGB</t>
  </si>
  <si>
    <t xml:space="preserve">Kit Oro Rugby</t>
  </si>
  <si>
    <t xml:space="preserve">DUOORBASKFEM</t>
  </si>
  <si>
    <t xml:space="preserve">Dúo Pack Oro Básket Fem</t>
  </si>
  <si>
    <t xml:space="preserve">DUODIAFUTBMAS</t>
  </si>
  <si>
    <t xml:space="preserve">Dúo Pack Diamante Fútbol Mas</t>
  </si>
  <si>
    <t xml:space="preserve">DUODIAVOLEMAS</t>
  </si>
  <si>
    <t xml:space="preserve">Dúo Pack Diamante Voley Mas</t>
  </si>
  <si>
    <t xml:space="preserve">ESC-DTF-20CM</t>
  </si>
  <si>
    <t xml:space="preserve">ESTAMPADO COLORES 20cm</t>
  </si>
  <si>
    <t xml:space="preserve">DUOORFUTBMAS</t>
  </si>
  <si>
    <t xml:space="preserve">Dúo Pack Oro Fútbol Mas</t>
  </si>
  <si>
    <t xml:space="preserve">DUOROBASKREV</t>
  </si>
  <si>
    <t xml:space="preserve">DÚO PACK ORO  BASKET REVERSIBLE</t>
  </si>
  <si>
    <t xml:space="preserve">DUODIAVOLEFEM</t>
  </si>
  <si>
    <t xml:space="preserve">Dúo Pack Diamante Voley Fem</t>
  </si>
  <si>
    <t xml:space="preserve">ZAP-BASK-120</t>
  </si>
  <si>
    <t xml:space="preserve">ZAPATILLA DE BÁSQUETBOL NIKE 120</t>
  </si>
  <si>
    <t xml:space="preserve">KITPLHOCKFEM</t>
  </si>
  <si>
    <t xml:space="preserve">Kit Plata Voley Mas</t>
  </si>
  <si>
    <t xml:space="preserve">KITDIARUGB</t>
  </si>
  <si>
    <t xml:space="preserve">Kit Diamante Rugby</t>
  </si>
  <si>
    <t xml:space="preserve">DUOPLBASKFEM</t>
  </si>
  <si>
    <t xml:space="preserve">Dúo Pack Plata Básket Fem</t>
  </si>
  <si>
    <t xml:space="preserve">DUOPLBASKMAS</t>
  </si>
  <si>
    <t xml:space="preserve">Dúo Pack Plata Básket Mas</t>
  </si>
  <si>
    <t xml:space="preserve">ESCDTF10A20</t>
  </si>
  <si>
    <t xml:space="preserve">Escudo en DTF 10cm-20cm</t>
  </si>
  <si>
    <t xml:space="preserve">DUOORHOCKFEM</t>
  </si>
  <si>
    <t xml:space="preserve">Dúo Pack Oro Hockey Fem</t>
  </si>
  <si>
    <t xml:space="preserve">KITORVOLEFEM</t>
  </si>
  <si>
    <t xml:space="preserve">Kit Oro Voley Fem</t>
  </si>
  <si>
    <t xml:space="preserve">DUOPLRUGB</t>
  </si>
  <si>
    <t xml:space="preserve">Dúo Pack Plata Rugby</t>
  </si>
  <si>
    <t xml:space="preserve">REGBOLSUBPMK</t>
  </si>
  <si>
    <t xml:space="preserve">Bolso Sublimado Personalizado PMK de Regalo</t>
  </si>
  <si>
    <t xml:space="preserve">EXTTALESP</t>
  </si>
  <si>
    <t xml:space="preserve">EXTRA TALLA ESPECIAL</t>
  </si>
  <si>
    <t xml:space="preserve">DESP</t>
  </si>
  <si>
    <t xml:space="preserve">DESPACHO</t>
  </si>
  <si>
    <t xml:space="preserve">BALFUTBA</t>
  </si>
  <si>
    <t xml:space="preserve">BALON DE FUTBOL</t>
  </si>
  <si>
    <t xml:space="preserve">BOLSUB</t>
  </si>
  <si>
    <t xml:space="preserve">BOLSO SUBLIMADO PERSONALIZADO</t>
  </si>
  <si>
    <t xml:space="preserve">KITOROBASKREV</t>
  </si>
  <si>
    <t xml:space="preserve">KIT ORO BASKET REVERSIBLE</t>
  </si>
  <si>
    <t xml:space="preserve">DUODIABASK</t>
  </si>
  <si>
    <t xml:space="preserve">Dúo Pack Diamante Básket</t>
  </si>
  <si>
    <t xml:space="preserve">RUG-MED-PRO</t>
  </si>
  <si>
    <t xml:space="preserve">MEDIAS PRO RUGBY</t>
  </si>
  <si>
    <t xml:space="preserve">EXTML</t>
  </si>
  <si>
    <t xml:space="preserve">Exrta Manga Larga</t>
  </si>
  <si>
    <t xml:space="preserve">LZO2REG</t>
  </si>
  <si>
    <t xml:space="preserve">Lienzo 1.5x2mts Regalo</t>
  </si>
</sst>
</file>

<file path=xl/styles.xml><?xml version="1.0" encoding="utf-8"?>
<styleSheet xmlns="http://schemas.openxmlformats.org/spreadsheetml/2006/main">
  <numFmts count="10">
    <numFmt numFmtId="164" formatCode="General"/>
    <numFmt numFmtId="165" formatCode="\$#,##0;&quot;-$&quot;#,##0;\-"/>
    <numFmt numFmtId="166" formatCode="#,##0"/>
    <numFmt numFmtId="167" formatCode="0.0%"/>
    <numFmt numFmtId="168" formatCode="0%"/>
    <numFmt numFmtId="169" formatCode="\$#,##0"/>
    <numFmt numFmtId="170" formatCode="0.000"/>
    <numFmt numFmtId="171" formatCode="0.00"/>
    <numFmt numFmtId="172" formatCode="0.##"/>
    <numFmt numFmtId="173" formatCode="0.0"/>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b val="true"/>
      <sz val="10"/>
      <color rgb="FF0000FF"/>
      <name val="Arial"/>
      <family val="0"/>
      <charset val="1"/>
    </font>
    <font>
      <sz val="10"/>
      <color rgb="FF0000FF"/>
      <name val="Arial"/>
      <family val="0"/>
      <charset val="1"/>
    </font>
    <font>
      <i val="true"/>
      <sz val="9"/>
      <color rgb="FF595959"/>
      <name val="Arial"/>
      <family val="0"/>
      <charset val="1"/>
    </font>
    <font>
      <b val="true"/>
      <sz val="10"/>
      <color rgb="FF000000"/>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1F3864"/>
      <name val="Arial"/>
      <family val="0"/>
      <charset val="1"/>
    </font>
    <font>
      <b val="true"/>
      <sz val="8"/>
      <color rgb="FF808080"/>
      <name val="Arial"/>
      <family val="0"/>
      <charset val="1"/>
    </font>
    <font>
      <sz val="8"/>
      <color rgb="FF80808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DEBF7"/>
        <bgColor rgb="FFD9E1F2"/>
      </patternFill>
    </fill>
    <fill>
      <patternFill patternType="solid">
        <fgColor rgb="FFF2F2F2"/>
        <bgColor rgb="FFDDEBF7"/>
      </patternFill>
    </fill>
    <fill>
      <patternFill patternType="solid">
        <fgColor rgb="FFFFF2CC"/>
        <bgColor rgb="FFF2F2F2"/>
      </patternFill>
    </fill>
    <fill>
      <patternFill patternType="solid">
        <fgColor rgb="FFD9E1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7" fillId="6" borderId="0" xfId="0" applyFont="true" applyBorder="true" applyAlignment="true" applyProtection="false">
      <alignment horizontal="center" vertical="bottom" textRotation="0" wrapText="false" indent="0" shrinkToFit="false"/>
      <protection locked="true" hidden="false"/>
    </xf>
    <xf numFmtId="164" fontId="17" fillId="3" borderId="0" xfId="0" applyFont="true" applyBorder="true" applyAlignment="true" applyProtection="false">
      <alignment horizontal="center" vertical="bottom" textRotation="0" wrapText="false" indent="0" shrinkToFit="false"/>
      <protection locked="true" hidden="false"/>
    </xf>
    <xf numFmtId="164" fontId="17" fillId="4" borderId="0" xfId="0" applyFont="true" applyBorder="true" applyAlignment="true" applyProtection="false">
      <alignment horizontal="center" vertical="bottom" textRotation="0" wrapText="false" indent="0" shrinkToFit="false"/>
      <protection locked="true" hidden="false"/>
    </xf>
    <xf numFmtId="164" fontId="17" fillId="5" borderId="0"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5" fontId="19" fillId="4" borderId="1" xfId="0" applyFont="true" applyBorder="true" applyAlignment="false" applyProtection="false">
      <alignment horizontal="general" vertical="bottom" textRotation="0" wrapText="false" indent="0" shrinkToFit="false"/>
      <protection locked="true" hidden="false"/>
    </xf>
    <xf numFmtId="166" fontId="19" fillId="4"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72" fontId="10" fillId="3" borderId="1" xfId="0" applyFont="true" applyBorder="true" applyAlignment="false" applyProtection="false">
      <alignment horizontal="general" vertical="bottom" textRotation="0" wrapText="false" indent="0" shrinkToFit="false"/>
      <protection locked="true" hidden="false"/>
    </xf>
    <xf numFmtId="170" fontId="12" fillId="4" borderId="1" xfId="0" applyFont="true" applyBorder="true" applyAlignment="false" applyProtection="false">
      <alignment horizontal="general" vertical="bottom" textRotation="0" wrapText="fals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73" fontId="10" fillId="3" borderId="1"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ont>
        <name val="Arial"/>
        <charset val="1"/>
        <family val="0"/>
        <b val="1"/>
        <color rgb="FF006100"/>
      </font>
      <fill>
        <patternFill>
          <bgColor rgb="FFC6EFCE"/>
        </patternFill>
      </fill>
    </dxf>
    <dxf>
      <font>
        <name val="Arial"/>
        <charset val="1"/>
        <family val="0"/>
        <b val="1"/>
        <color rgb="FF9C0006"/>
      </font>
      <fill>
        <patternFill>
          <bgColor rgb="FFF8CBAD"/>
        </patternFill>
      </fill>
    </dxf>
    <dxf>
      <font>
        <name val="Arial"/>
        <charset val="1"/>
        <family val="0"/>
        <b val="1"/>
        <color rgb="FFC00000"/>
      </font>
    </dxf>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F2F2F2"/>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006100"/>
          <bgColor rgb="FF000000"/>
        </patternFill>
      </fill>
    </dxf>
    <dxf>
      <font>
        <name val="Arial"/>
        <charset val="1"/>
        <family val="0"/>
        <b val="1"/>
        <color rgb="FF9C5700"/>
      </font>
      <fill>
        <patternFill>
          <bgColor rgb="FFFFEB9C"/>
        </patternFill>
      </fill>
    </dxf>
    <dxf>
      <font>
        <name val="Arial"/>
        <charset val="1"/>
        <family val="0"/>
        <b val="1"/>
        <color rgb="FF595959"/>
      </font>
      <fill>
        <patternFill>
          <bgColor rgb="FFD9D9D9"/>
        </patternFill>
      </fill>
    </dxf>
    <dxf>
      <fill>
        <patternFill patternType="solid">
          <fgColor rgb="FFD9E1F2"/>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C0504D"/>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1F2"/>
      <rgbColor rgb="FFFF99CC"/>
      <rgbColor rgb="FFCC99FF"/>
      <rgbColor rgb="FFF8CBAD"/>
      <rgbColor rgb="FF4F81BD"/>
      <rgbColor rgb="FF33CCCC"/>
      <rgbColor rgb="FF99CC00"/>
      <rgbColor rgb="FFFFCC00"/>
      <rgbColor rgb="FFFF9900"/>
      <rgbColor rgb="FFFF6600"/>
      <rgbColor rgb="FF595959"/>
      <rgbColor rgb="FF878787"/>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vs punto de equilibrio</a:t>
            </a:r>
          </a:p>
        </c:rich>
      </c:tx>
      <c:overlay val="0"/>
      <c:spPr>
        <a:noFill/>
        <a:ln w="0">
          <a:noFill/>
        </a:ln>
      </c:spPr>
    </c:title>
    <c:autoTitleDeleted val="0"/>
    <c:plotArea>
      <c:barChart>
        <c:barDir val="col"/>
        <c:grouping val="clustered"/>
        <c:varyColors val="0"/>
        <c:ser>
          <c:idx val="0"/>
          <c:order val="0"/>
          <c:tx>
            <c:strRef>
              <c:f>Resultado_mensual!A5</c:f>
              <c:strCache>
                <c:ptCount val="1"/>
                <c:pt idx="0">
                  <c:v>Ventas netas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Resultado_mensual!$B$4:$H$4</c:f>
              <c:strCache>
                <c:ptCount val="7"/>
                <c:pt idx="0">
                  <c:v>Jun-2026</c:v>
                </c:pt>
                <c:pt idx="1">
                  <c:v>Jul-2026</c:v>
                </c:pt>
                <c:pt idx="2">
                  <c:v>Ago-2026</c:v>
                </c:pt>
                <c:pt idx="3">
                  <c:v>Sep-2026</c:v>
                </c:pt>
                <c:pt idx="4">
                  <c:v>Oct-2026</c:v>
                </c:pt>
                <c:pt idx="5">
                  <c:v>Nov-2026</c:v>
                </c:pt>
                <c:pt idx="6">
                  <c:v>Dic-2026</c:v>
                </c:pt>
              </c:strCache>
            </c:strRef>
          </c:cat>
          <c:val>
            <c:numRef>
              <c:f>Resultado_mensual!$B$5:$H$5</c:f>
              <c:numCache>
                <c:formatCode>\$#,##0;"-$"#,##0;\-</c:formatCode>
                <c:ptCount val="7"/>
                <c:pt idx="0">
                  <c:v>32768213</c:v>
                </c:pt>
                <c:pt idx="1">
                  <c:v>38874120</c:v>
                </c:pt>
                <c:pt idx="2">
                  <c:v>33942186</c:v>
                </c:pt>
              </c:numCache>
            </c:numRef>
          </c:val>
        </c:ser>
        <c:ser>
          <c:idx val="1"/>
          <c:order val="1"/>
          <c:tx>
            <c:strRef>
              <c:f>Resultado_mensual!A16</c:f>
              <c:strCache>
                <c:ptCount val="1"/>
                <c:pt idx="0">
                  <c:v>PUNTO DE EQUILIBRIO ($ de venta)</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Resultado_mensual!$B$4:$H$4</c:f>
              <c:strCache>
                <c:ptCount val="7"/>
                <c:pt idx="0">
                  <c:v>Jun-2026</c:v>
                </c:pt>
                <c:pt idx="1">
                  <c:v>Jul-2026</c:v>
                </c:pt>
                <c:pt idx="2">
                  <c:v>Ago-2026</c:v>
                </c:pt>
                <c:pt idx="3">
                  <c:v>Sep-2026</c:v>
                </c:pt>
                <c:pt idx="4">
                  <c:v>Oct-2026</c:v>
                </c:pt>
                <c:pt idx="5">
                  <c:v>Nov-2026</c:v>
                </c:pt>
                <c:pt idx="6">
                  <c:v>Dic-2026</c:v>
                </c:pt>
              </c:strCache>
            </c:strRef>
          </c:cat>
          <c:val>
            <c:numRef>
              <c:f>Resultado_mensual!$B$16:$H$16</c:f>
              <c:numCache>
                <c:formatCode>General</c:formatCode>
                <c:ptCount val="7"/>
              </c:numCache>
            </c:numRef>
          </c:val>
        </c:ser>
        <c:gapWidth val="150"/>
        <c:overlap val="0"/>
        <c:axId val="12700563"/>
        <c:axId val="33076006"/>
      </c:barChart>
      <c:catAx>
        <c:axId val="127005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076006"/>
        <c:crosses val="autoZero"/>
        <c:auto val="1"/>
        <c:lblAlgn val="ctr"/>
        <c:lblOffset val="100"/>
        <c:noMultiLvlLbl val="0"/>
      </c:catAx>
      <c:valAx>
        <c:axId val="33076006"/>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7005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73080</xdr:rowOff>
    </xdr:from>
    <xdr:to>
      <xdr:col>3</xdr:col>
      <xdr:colOff>434520</xdr:colOff>
      <xdr:row>53</xdr:row>
      <xdr:rowOff>181800</xdr:rowOff>
    </xdr:to>
    <xdr:graphicFrame>
      <xdr:nvGraphicFramePr>
        <xdr:cNvPr id="0" name="Chart 1"/>
        <xdr:cNvGraphicFramePr/>
      </xdr:nvGraphicFramePr>
      <xdr:xfrm>
        <a:off x="0" y="8705880"/>
        <a:ext cx="64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B5" s="4" t="s">
        <v>3</v>
      </c>
    </row>
    <row r="6" customFormat="false" ht="23.85" hidden="false" customHeight="false" outlineLevel="0" collapsed="false">
      <c r="B6" s="4" t="s">
        <v>4</v>
      </c>
    </row>
    <row r="7" customFormat="false" ht="15" hidden="false" customHeight="false" outlineLevel="0" collapsed="false">
      <c r="A7" s="3" t="s">
        <v>5</v>
      </c>
    </row>
    <row r="8" customFormat="false" ht="23.85" hidden="false" customHeight="false" outlineLevel="0" collapsed="false">
      <c r="B8" s="4" t="s">
        <v>6</v>
      </c>
    </row>
    <row r="9" customFormat="false" ht="15" hidden="false" customHeight="false" outlineLevel="0" collapsed="false">
      <c r="B9" s="4" t="s">
        <v>7</v>
      </c>
    </row>
    <row r="10" customFormat="false" ht="15" hidden="false" customHeight="false" outlineLevel="0" collapsed="false">
      <c r="B10" s="4" t="s">
        <v>8</v>
      </c>
    </row>
    <row r="11" customFormat="false" ht="15" hidden="false" customHeight="false" outlineLevel="0" collapsed="false">
      <c r="B11" s="4" t="s">
        <v>9</v>
      </c>
    </row>
    <row r="12" customFormat="false" ht="15" hidden="false" customHeight="false" outlineLevel="0" collapsed="false">
      <c r="B12" s="4" t="s">
        <v>10</v>
      </c>
    </row>
    <row r="13" customFormat="false" ht="15" hidden="false" customHeight="false" outlineLevel="0" collapsed="false">
      <c r="A13" s="3" t="s">
        <v>11</v>
      </c>
    </row>
    <row r="14" customFormat="false" ht="15" hidden="false" customHeight="false" outlineLevel="0" collapsed="false">
      <c r="B14" s="4" t="s">
        <v>12</v>
      </c>
    </row>
    <row r="15" customFormat="false" ht="15" hidden="false" customHeight="false" outlineLevel="0" collapsed="false">
      <c r="B15" s="4" t="s">
        <v>13</v>
      </c>
    </row>
    <row r="16" customFormat="false" ht="15" hidden="false" customHeight="false" outlineLevel="0" collapsed="false">
      <c r="A16" s="3" t="s">
        <v>14</v>
      </c>
    </row>
    <row r="17" customFormat="false" ht="15" hidden="false" customHeight="false" outlineLevel="0" collapsed="false">
      <c r="B17" s="4" t="s">
        <v>15</v>
      </c>
    </row>
    <row r="18" customFormat="false" ht="15" hidden="false" customHeight="false" outlineLevel="0" collapsed="false">
      <c r="A18" s="3" t="s">
        <v>16</v>
      </c>
    </row>
    <row r="19" customFormat="false" ht="15" hidden="false" customHeight="false" outlineLevel="0" collapsed="false">
      <c r="B19" s="4" t="str">
        <f aca="false">"• Papel y tinta: "&amp;IF(Parametros!$B$27=0,"SIN DATO → las prendas sublimadas salen más baratas de lo real.","ingresado ("&amp;TEXT(Parametros!$B$27,"$#,##0")&amp;" por metro).")</f>
        <v>• Papel y tinta: SIN DATO → las prendas sublimadas salen más baratas de lo real.</v>
      </c>
    </row>
    <row r="20" customFormat="false" ht="15" hidden="false" customHeight="false" outlineLevel="0" collapsed="false">
      <c r="B20" s="4" t="str">
        <f aca="false">"• Telas con rendimiento cargado: "&amp;COUNT(Precios!E5:E120)&amp;" de "&amp;COUNTIF(Precios!B5:B120,"Tela")&amp;". Sin rendimiento, una tela no tiene $ por metro."</f>
        <v>• Telas con rendimiento cargado: 4 de 33. Sin rendimiento, una tela no tiene $ por metro.</v>
      </c>
    </row>
    <row r="21" customFormat="false" ht="15" hidden="false" customHeight="false" outlineLevel="0" collapsed="false">
      <c r="B21" s="4" t="str">
        <f aca="false">"• Recetas (moldes) listas: "&amp;COUNTIF(Recetas!T5:T84,"Lista")&amp;" de "&amp;COUNTA(Recetas!A5:A84)</f>
        <v>• Recetas (moldes) listas: 1 de 59</v>
      </c>
    </row>
    <row r="22" customFormat="false" ht="15" hidden="false" customHeight="false" outlineLevel="0" collapsed="false">
      <c r="B22" s="4" t="str">
        <f aca="false">"• Productos con costo completo: "&amp;COUNTIF(Catalogo!F6:F200,"Completa")&amp;" · con datos faltantes: "&amp;COUNTIF(Catalogo!F6:F200,"Faltan datos")</f>
        <v>• Productos con costo completo: 1 · con datos faltantes: 73</v>
      </c>
    </row>
    <row r="23" customFormat="false" ht="15" hidden="false" customHeight="false" outlineLevel="0" collapsed="false">
      <c r="B23"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8" min="2" style="0" width="14"/>
    <col collapsed="false" customWidth="true" hidden="false" outlineLevel="0" max="9" min="9" style="0" width="16"/>
    <col collapsed="false" customWidth="true" hidden="false" outlineLevel="0" max="10" min="10" style="0" width="58"/>
  </cols>
  <sheetData>
    <row r="1" customFormat="false" ht="17.35" hidden="false" customHeight="false" outlineLevel="0" collapsed="false">
      <c r="A1" s="1" t="s">
        <v>18</v>
      </c>
    </row>
    <row r="2" customFormat="false" ht="15" hidden="false" customHeight="false" outlineLevel="0" collapsed="false">
      <c r="A2" s="2" t="s">
        <v>19</v>
      </c>
    </row>
    <row r="4" customFormat="false" ht="31.5" hidden="false" customHeight="true" outlineLevel="0" collapsed="false">
      <c r="A4" s="5" t="s">
        <v>20</v>
      </c>
      <c r="B4" s="6" t="s">
        <v>21</v>
      </c>
      <c r="C4" s="6" t="s">
        <v>22</v>
      </c>
      <c r="D4" s="6" t="s">
        <v>23</v>
      </c>
      <c r="E4" s="6" t="s">
        <v>24</v>
      </c>
      <c r="F4" s="6" t="s">
        <v>25</v>
      </c>
      <c r="G4" s="6" t="s">
        <v>26</v>
      </c>
      <c r="H4" s="6" t="s">
        <v>27</v>
      </c>
      <c r="I4" s="5" t="s">
        <v>28</v>
      </c>
      <c r="J4" s="5" t="s">
        <v>29</v>
      </c>
    </row>
    <row r="5" customFormat="false" ht="15" hidden="false" customHeight="false" outlineLevel="0" collapsed="false">
      <c r="A5" s="7" t="s">
        <v>30</v>
      </c>
      <c r="B5" s="8" t="n">
        <v>32768213</v>
      </c>
      <c r="C5" s="8" t="n">
        <v>38874120</v>
      </c>
      <c r="D5" s="8" t="n">
        <v>33942186</v>
      </c>
      <c r="E5" s="8"/>
      <c r="F5" s="8"/>
      <c r="G5" s="8"/>
      <c r="H5" s="8"/>
      <c r="I5" s="9" t="n">
        <f aca="false">IFERROR(AVERAGEIF(B5:H5,"&gt;0",B5:H5),"")</f>
        <v>35194839.6666667</v>
      </c>
      <c r="J5" s="10" t="s">
        <v>31</v>
      </c>
    </row>
    <row r="6" customFormat="false" ht="15" hidden="false" customHeight="false" outlineLevel="0" collapsed="false">
      <c r="A6" s="7" t="s">
        <v>32</v>
      </c>
      <c r="B6" s="11" t="n">
        <v>2176</v>
      </c>
      <c r="C6" s="11" t="n">
        <v>2037</v>
      </c>
      <c r="D6" s="11" t="n">
        <v>2034</v>
      </c>
      <c r="E6" s="11"/>
      <c r="F6" s="11"/>
      <c r="G6" s="11"/>
      <c r="H6" s="11"/>
      <c r="I6" s="12" t="n">
        <f aca="false">IFERROR(AVERAGEIF(B5:H5,"&gt;0",B6:H6),"")</f>
        <v>2082.33333333333</v>
      </c>
      <c r="J6" s="10" t="s">
        <v>33</v>
      </c>
    </row>
    <row r="7" customFormat="false" ht="22.35" hidden="false" customHeight="false" outlineLevel="0" collapsed="false">
      <c r="A7" s="7" t="s">
        <v>34</v>
      </c>
      <c r="B7" s="8"/>
      <c r="C7" s="8"/>
      <c r="D7" s="8"/>
      <c r="E7" s="8"/>
      <c r="F7" s="8"/>
      <c r="G7" s="8"/>
      <c r="H7" s="8"/>
      <c r="I7" s="9" t="str">
        <f aca="false">IFERROR(AVERAGEIF(B5:H5,"&gt;0",B7:H7),"")</f>
        <v/>
      </c>
      <c r="J7" s="10" t="s">
        <v>35</v>
      </c>
    </row>
    <row r="8" customFormat="false" ht="22.35" hidden="false" customHeight="false" outlineLevel="0" collapsed="false">
      <c r="A8" s="7" t="s">
        <v>36</v>
      </c>
      <c r="B8" s="9" t="str">
        <f aca="false">IF(ISNUMBER(B7),B7,IF(AND(ISNUMBER(B5),ISNUMBER($B$24)),B5*$B$24,""))</f>
        <v/>
      </c>
      <c r="C8" s="9" t="str">
        <f aca="false">IF(ISNUMBER(C7),C7,IF(AND(ISNUMBER(C5),ISNUMBER($B$24)),C5*$B$24,""))</f>
        <v/>
      </c>
      <c r="D8" s="9" t="str">
        <f aca="false">IF(ISNUMBER(D7),D7,IF(AND(ISNUMBER(D5),ISNUMBER($B$24)),D5*$B$24,""))</f>
        <v/>
      </c>
      <c r="E8" s="9" t="str">
        <f aca="false">IF(ISNUMBER(E7),E7,IF(AND(ISNUMBER(E5),ISNUMBER($B$24)),E5*$B$24,""))</f>
        <v/>
      </c>
      <c r="F8" s="9" t="str">
        <f aca="false">IF(ISNUMBER(F7),F7,IF(AND(ISNUMBER(F5),ISNUMBER($B$24)),F5*$B$24,""))</f>
        <v/>
      </c>
      <c r="G8" s="9" t="str">
        <f aca="false">IF(ISNUMBER(G7),G7,IF(AND(ISNUMBER(G5),ISNUMBER($B$24)),G5*$B$24,""))</f>
        <v/>
      </c>
      <c r="H8" s="9" t="str">
        <f aca="false">IF(ISNUMBER(H7),H7,IF(AND(ISNUMBER(H5),ISNUMBER($B$24)),H5*$B$24,""))</f>
        <v/>
      </c>
      <c r="I8" s="9" t="str">
        <f aca="false">IFERROR(AVERAGEIF(B5:H5,"&gt;0",B8:H8),"")</f>
        <v/>
      </c>
      <c r="J8" s="10" t="s">
        <v>37</v>
      </c>
    </row>
    <row r="9" customFormat="false" ht="15" hidden="false" customHeight="false" outlineLevel="0" collapsed="false">
      <c r="A9" s="13" t="s">
        <v>38</v>
      </c>
      <c r="B9" s="14" t="str">
        <f aca="false">IF(AND(ISNUMBER(B5),ISNUMBER(B8)),B5-B8,"")</f>
        <v/>
      </c>
      <c r="C9" s="14" t="str">
        <f aca="false">IF(AND(ISNUMBER(C5),ISNUMBER(C8)),C5-C8,"")</f>
        <v/>
      </c>
      <c r="D9" s="14" t="str">
        <f aca="false">IF(AND(ISNUMBER(D5),ISNUMBER(D8)),D5-D8,"")</f>
        <v/>
      </c>
      <c r="E9" s="14" t="str">
        <f aca="false">IF(AND(ISNUMBER(E5),ISNUMBER(E8)),E5-E8,"")</f>
        <v/>
      </c>
      <c r="F9" s="14" t="str">
        <f aca="false">IF(AND(ISNUMBER(F5),ISNUMBER(F8)),F5-F8,"")</f>
        <v/>
      </c>
      <c r="G9" s="14" t="str">
        <f aca="false">IF(AND(ISNUMBER(G5),ISNUMBER(G8)),G5-G8,"")</f>
        <v/>
      </c>
      <c r="H9" s="14" t="str">
        <f aca="false">IF(AND(ISNUMBER(H5),ISNUMBER(H8)),H5-H8,"")</f>
        <v/>
      </c>
      <c r="I9" s="14" t="str">
        <f aca="false">IFERROR(AVERAGEIF(B5:H5,"&gt;0",B9:H9),"")</f>
        <v/>
      </c>
      <c r="J9" s="10" t="s">
        <v>39</v>
      </c>
    </row>
    <row r="10" customFormat="false" ht="15" hidden="false" customHeight="false" outlineLevel="0" collapsed="false">
      <c r="A10" s="7" t="s">
        <v>40</v>
      </c>
      <c r="B10" s="15" t="str">
        <f aca="false">IF(AND(N(B5)&gt;0,ISNUMBER(B9)),B9/B5,"")</f>
        <v/>
      </c>
      <c r="C10" s="15" t="str">
        <f aca="false">IF(AND(N(C5)&gt;0,ISNUMBER(C9)),C9/C5,"")</f>
        <v/>
      </c>
      <c r="D10" s="15" t="str">
        <f aca="false">IF(AND(N(D5)&gt;0,ISNUMBER(D9)),D9/D5,"")</f>
        <v/>
      </c>
      <c r="E10" s="15" t="str">
        <f aca="false">IF(AND(N(E5)&gt;0,ISNUMBER(E9)),E9/E5,"")</f>
        <v/>
      </c>
      <c r="F10" s="15" t="str">
        <f aca="false">IF(AND(N(F5)&gt;0,ISNUMBER(F9)),F9/F5,"")</f>
        <v/>
      </c>
      <c r="G10" s="15" t="str">
        <f aca="false">IF(AND(N(G5)&gt;0,ISNUMBER(G9)),G9/G5,"")</f>
        <v/>
      </c>
      <c r="H10" s="15" t="str">
        <f aca="false">IF(AND(N(H5)&gt;0,ISNUMBER(H9)),H9/H5,"")</f>
        <v/>
      </c>
      <c r="I10" s="16" t="str">
        <f aca="false">IFERROR(AVERAGEIF(B5:H5,"&gt;0",B10:H10),"")</f>
        <v/>
      </c>
      <c r="J10" s="10"/>
    </row>
    <row r="11" customFormat="false" ht="22.35" hidden="false" customHeight="false" outlineLevel="0" collapsed="false">
      <c r="A11" s="7" t="s">
        <v>41</v>
      </c>
      <c r="B11" s="8" t="n">
        <v>16880958</v>
      </c>
      <c r="C11" s="8" t="n">
        <v>16880958</v>
      </c>
      <c r="D11" s="8" t="n">
        <v>16880958</v>
      </c>
      <c r="E11" s="8"/>
      <c r="F11" s="8"/>
      <c r="G11" s="8"/>
      <c r="H11" s="8"/>
      <c r="I11" s="9" t="n">
        <f aca="false">IFERROR(AVERAGEIF(B5:H5,"&gt;0",B11:H11),"")</f>
        <v>16880958</v>
      </c>
      <c r="J11" s="10" t="s">
        <v>42</v>
      </c>
    </row>
    <row r="12" customFormat="false" ht="15" hidden="false" customHeight="false" outlineLevel="0" collapsed="false">
      <c r="A12" s="7" t="s">
        <v>43</v>
      </c>
      <c r="B12" s="8" t="n">
        <v>1288500</v>
      </c>
      <c r="C12" s="8" t="n">
        <v>1723950</v>
      </c>
      <c r="D12" s="8" t="n">
        <v>1231200</v>
      </c>
      <c r="E12" s="8" t="n">
        <v>2304450</v>
      </c>
      <c r="F12" s="8"/>
      <c r="G12" s="8"/>
      <c r="H12" s="8"/>
      <c r="I12" s="9" t="n">
        <f aca="false">IFERROR(AVERAGEIF(B5:H5,"&gt;0",B12:H12),"")</f>
        <v>1414550</v>
      </c>
      <c r="J12" s="10" t="s">
        <v>44</v>
      </c>
    </row>
    <row r="13" customFormat="false" ht="15" hidden="false" customHeight="false" outlineLevel="0" collapsed="false">
      <c r="A13" s="7" t="s">
        <v>45</v>
      </c>
      <c r="B13" s="15" t="n">
        <f aca="false">IF(AND(N(B5)&gt;0,ISNUMBER(B12)),B12/B5,"")</f>
        <v>0.0393216438137777</v>
      </c>
      <c r="C13" s="15" t="n">
        <f aca="false">IF(AND(N(C5)&gt;0,ISNUMBER(C12)),C12/C5,"")</f>
        <v>0.0443469845748277</v>
      </c>
      <c r="D13" s="15" t="n">
        <f aca="false">IF(AND(N(D5)&gt;0,ISNUMBER(D12)),D12/D5,"")</f>
        <v>0.0362734444976526</v>
      </c>
      <c r="E13" s="15" t="str">
        <f aca="false">IF(AND(N(E5)&gt;0,ISNUMBER(E12)),E12/E5,"")</f>
        <v/>
      </c>
      <c r="F13" s="15" t="str">
        <f aca="false">IF(AND(N(F5)&gt;0,ISNUMBER(F12)),F12/F5,"")</f>
        <v/>
      </c>
      <c r="G13" s="15" t="str">
        <f aca="false">IF(AND(N(G5)&gt;0,ISNUMBER(G12)),G12/G5,"")</f>
        <v/>
      </c>
      <c r="H13" s="15" t="str">
        <f aca="false">IF(AND(N(H5)&gt;0,ISNUMBER(H12)),H12/H5,"")</f>
        <v/>
      </c>
      <c r="I13" s="16" t="n">
        <f aca="false">IFERROR(AVERAGEIF(B5:H5,"&gt;0",B13:H13),"")</f>
        <v>0.039980690962086</v>
      </c>
      <c r="J13" s="10" t="s">
        <v>46</v>
      </c>
    </row>
    <row r="14" customFormat="false" ht="15" hidden="false" customHeight="false" outlineLevel="0" collapsed="false">
      <c r="A14" s="13" t="s">
        <v>47</v>
      </c>
      <c r="B14" s="14" t="str">
        <f aca="false">IF(AND(ISNUMBER(B9),ISNUMBER(B11)),B9-B11-N(B12),"")</f>
        <v/>
      </c>
      <c r="C14" s="14" t="str">
        <f aca="false">IF(AND(ISNUMBER(C9),ISNUMBER(C11)),C9-C11-N(C12),"")</f>
        <v/>
      </c>
      <c r="D14" s="14" t="str">
        <f aca="false">IF(AND(ISNUMBER(D9),ISNUMBER(D11)),D9-D11-N(D12),"")</f>
        <v/>
      </c>
      <c r="E14" s="14" t="str">
        <f aca="false">IF(AND(ISNUMBER(E9),ISNUMBER(E11)),E9-E11-N(E12),"")</f>
        <v/>
      </c>
      <c r="F14" s="14" t="str">
        <f aca="false">IF(AND(ISNUMBER(F9),ISNUMBER(F11)),F9-F11-N(F12),"")</f>
        <v/>
      </c>
      <c r="G14" s="14" t="str">
        <f aca="false">IF(AND(ISNUMBER(G9),ISNUMBER(G11)),G9-G11-N(G12),"")</f>
        <v/>
      </c>
      <c r="H14" s="14" t="str">
        <f aca="false">IF(AND(ISNUMBER(H9),ISNUMBER(H11)),H9-H11-N(H12),"")</f>
        <v/>
      </c>
      <c r="I14" s="14" t="str">
        <f aca="false">IFERROR(AVERAGEIF(B5:H5,"&gt;0",B14:H14),"")</f>
        <v/>
      </c>
      <c r="J14" s="10" t="s">
        <v>48</v>
      </c>
    </row>
    <row r="15" customFormat="false" ht="15" hidden="false" customHeight="false" outlineLevel="0" collapsed="false">
      <c r="A15" s="7" t="s">
        <v>49</v>
      </c>
      <c r="B15" s="15" t="str">
        <f aca="false">IF(AND(N(B5)&gt;0,ISNUMBER(B14)),B14/B5,"")</f>
        <v/>
      </c>
      <c r="C15" s="15" t="str">
        <f aca="false">IF(AND(N(C5)&gt;0,ISNUMBER(C14)),C14/C5,"")</f>
        <v/>
      </c>
      <c r="D15" s="15" t="str">
        <f aca="false">IF(AND(N(D5)&gt;0,ISNUMBER(D14)),D14/D5,"")</f>
        <v/>
      </c>
      <c r="E15" s="15" t="str">
        <f aca="false">IF(AND(N(E5)&gt;0,ISNUMBER(E14)),E14/E5,"")</f>
        <v/>
      </c>
      <c r="F15" s="15" t="str">
        <f aca="false">IF(AND(N(F5)&gt;0,ISNUMBER(F14)),F14/F5,"")</f>
        <v/>
      </c>
      <c r="G15" s="15" t="str">
        <f aca="false">IF(AND(N(G5)&gt;0,ISNUMBER(G14)),G14/G5,"")</f>
        <v/>
      </c>
      <c r="H15" s="15" t="str">
        <f aca="false">IF(AND(N(H5)&gt;0,ISNUMBER(H14)),H14/H5,"")</f>
        <v/>
      </c>
      <c r="I15" s="16" t="str">
        <f aca="false">IFERROR(AVERAGEIF(B5:H5,"&gt;0",B15:H15),"")</f>
        <v/>
      </c>
      <c r="J15" s="10"/>
    </row>
    <row r="16" customFormat="false" ht="15" hidden="false" customHeight="false" outlineLevel="0" collapsed="false">
      <c r="A16" s="13" t="s">
        <v>50</v>
      </c>
      <c r="B16" s="14" t="str">
        <f aca="false">IF(AND(ISNUMBER(B11),ISNUMBER(B10)),IF(B10&gt;0,(B11+N(B12))/B10,""),"")</f>
        <v/>
      </c>
      <c r="C16" s="14" t="str">
        <f aca="false">IF(AND(ISNUMBER(C11),ISNUMBER(C10)),IF(C10&gt;0,(C11+N(C12))/C10,""),"")</f>
        <v/>
      </c>
      <c r="D16" s="14" t="str">
        <f aca="false">IF(AND(ISNUMBER(D11),ISNUMBER(D10)),IF(D10&gt;0,(D11+N(D12))/D10,""),"")</f>
        <v/>
      </c>
      <c r="E16" s="14" t="str">
        <f aca="false">IF(AND(ISNUMBER(E11),ISNUMBER(E10)),IF(E10&gt;0,(E11+N(E12))/E10,""),"")</f>
        <v/>
      </c>
      <c r="F16" s="14" t="str">
        <f aca="false">IF(AND(ISNUMBER(F11),ISNUMBER(F10)),IF(F10&gt;0,(F11+N(F12))/F10,""),"")</f>
        <v/>
      </c>
      <c r="G16" s="14" t="str">
        <f aca="false">IF(AND(ISNUMBER(G11),ISNUMBER(G10)),IF(G10&gt;0,(G11+N(G12))/G10,""),"")</f>
        <v/>
      </c>
      <c r="H16" s="14" t="str">
        <f aca="false">IF(AND(ISNUMBER(H11),ISNUMBER(H10)),IF(H10&gt;0,(H11+N(H12))/H10,""),"")</f>
        <v/>
      </c>
      <c r="I16" s="14" t="str">
        <f aca="false">IFERROR(AVERAGEIF(B5:H5,"&gt;0",B16:H16),"")</f>
        <v/>
      </c>
      <c r="J16" s="10" t="s">
        <v>51</v>
      </c>
    </row>
    <row r="17" customFormat="false" ht="15" hidden="false" customHeight="false" outlineLevel="0" collapsed="false">
      <c r="A17" s="7" t="s">
        <v>52</v>
      </c>
      <c r="B17" s="9" t="str">
        <f aca="false">IF(AND(ISNUMBER(B5),ISNUMBER(B16)),B5-B16,"")</f>
        <v/>
      </c>
      <c r="C17" s="9" t="str">
        <f aca="false">IF(AND(ISNUMBER(C5),ISNUMBER(C16)),C5-C16,"")</f>
        <v/>
      </c>
      <c r="D17" s="9" t="str">
        <f aca="false">IF(AND(ISNUMBER(D5),ISNUMBER(D16)),D5-D16,"")</f>
        <v/>
      </c>
      <c r="E17" s="9" t="str">
        <f aca="false">IF(AND(ISNUMBER(E5),ISNUMBER(E16)),E5-E16,"")</f>
        <v/>
      </c>
      <c r="F17" s="9" t="str">
        <f aca="false">IF(AND(ISNUMBER(F5),ISNUMBER(F16)),F5-F16,"")</f>
        <v/>
      </c>
      <c r="G17" s="9" t="str">
        <f aca="false">IF(AND(ISNUMBER(G5),ISNUMBER(G16)),G5-G16,"")</f>
        <v/>
      </c>
      <c r="H17" s="9" t="str">
        <f aca="false">IF(AND(ISNUMBER(H5),ISNUMBER(H16)),H5-H16,"")</f>
        <v/>
      </c>
      <c r="I17" s="9" t="str">
        <f aca="false">IFERROR(AVERAGEIF(B5:H5,"&gt;0",B17:H17),"")</f>
        <v/>
      </c>
      <c r="J17" s="10" t="s">
        <v>53</v>
      </c>
    </row>
    <row r="18" customFormat="false" ht="15" hidden="false" customHeight="false" outlineLevel="0" collapsed="false">
      <c r="A18" s="7" t="s">
        <v>54</v>
      </c>
      <c r="B18" s="17" t="str">
        <f aca="false">IF(ISNUMBER(B14),IF(B14&gt;=0,"GANA","PIERDE"),"")</f>
        <v/>
      </c>
      <c r="C18" s="17" t="str">
        <f aca="false">IF(ISNUMBER(C14),IF(C14&gt;=0,"GANA","PIERDE"),"")</f>
        <v/>
      </c>
      <c r="D18" s="17" t="str">
        <f aca="false">IF(ISNUMBER(D14),IF(D14&gt;=0,"GANA","PIERDE"),"")</f>
        <v/>
      </c>
      <c r="E18" s="17" t="str">
        <f aca="false">IF(ISNUMBER(E14),IF(E14&gt;=0,"GANA","PIERDE"),"")</f>
        <v/>
      </c>
      <c r="F18" s="17" t="str">
        <f aca="false">IF(ISNUMBER(F14),IF(F14&gt;=0,"GANA","PIERDE"),"")</f>
        <v/>
      </c>
      <c r="G18" s="17" t="str">
        <f aca="false">IF(ISNUMBER(G14),IF(G14&gt;=0,"GANA","PIERDE"),"")</f>
        <v/>
      </c>
      <c r="H18" s="17" t="str">
        <f aca="false">IF(ISNUMBER(H14),IF(H14&gt;=0,"GANA","PIERDE"),"")</f>
        <v/>
      </c>
      <c r="I18" s="17" t="str">
        <f aca="false">IF(ISNUMBER(I14),IF(I14&gt;=0,"GANA","PIERDE"),"")</f>
        <v/>
      </c>
      <c r="J18" s="10"/>
    </row>
    <row r="20" customFormat="false" ht="15" hidden="false" customHeight="false" outlineLevel="0" collapsed="false">
      <c r="A20" s="18" t="s">
        <v>55</v>
      </c>
      <c r="B20" s="19"/>
      <c r="C20" s="19"/>
      <c r="D20" s="19"/>
      <c r="E20" s="19"/>
      <c r="F20" s="19"/>
      <c r="G20" s="19"/>
      <c r="H20" s="19"/>
      <c r="I20" s="19"/>
      <c r="J20" s="19"/>
    </row>
    <row r="21" customFormat="false" ht="15" hidden="false" customHeight="true" outlineLevel="0" collapsed="false">
      <c r="A21" s="7" t="s">
        <v>56</v>
      </c>
      <c r="B21" s="15" t="n">
        <f aca="false">IFERROR(SUM(Productos!$Y$6:$Y$110)/SUM(Productos!$Z$6:$Z$110),"")</f>
        <v>0.11161962170027</v>
      </c>
      <c r="C21" s="20" t="s">
        <v>57</v>
      </c>
      <c r="D21" s="20"/>
      <c r="E21" s="20"/>
      <c r="F21" s="20"/>
      <c r="G21" s="20"/>
      <c r="H21" s="20"/>
      <c r="I21" s="20"/>
      <c r="J21" s="20"/>
    </row>
    <row r="22" customFormat="false" ht="15" hidden="false" customHeight="true" outlineLevel="0" collapsed="false">
      <c r="A22" s="7" t="s">
        <v>58</v>
      </c>
      <c r="B22" s="15" t="n">
        <f aca="false">IFERROR(SUM(Productos!$AA$6:$AA$110)/SUM(Productos!$D$6:$D$110),0)</f>
        <v>0.0220115137148662</v>
      </c>
      <c r="C22" s="20" t="s">
        <v>59</v>
      </c>
      <c r="D22" s="20"/>
      <c r="E22" s="20"/>
      <c r="F22" s="20"/>
      <c r="G22" s="20"/>
      <c r="H22" s="20"/>
      <c r="I22" s="20"/>
      <c r="J22" s="20"/>
    </row>
    <row r="23" customFormat="false" ht="15" hidden="false" customHeight="true" outlineLevel="0" collapsed="false">
      <c r="A23" s="7" t="s">
        <v>60</v>
      </c>
      <c r="B23" s="21"/>
      <c r="C23" s="20" t="s">
        <v>61</v>
      </c>
      <c r="D23" s="20"/>
      <c r="E23" s="20"/>
      <c r="F23" s="20"/>
      <c r="G23" s="20"/>
      <c r="H23" s="20"/>
      <c r="I23" s="20"/>
      <c r="J23" s="20"/>
    </row>
    <row r="24" customFormat="false" ht="31.5" hidden="false" customHeight="true" outlineLevel="0" collapsed="false">
      <c r="A24" s="13" t="s">
        <v>62</v>
      </c>
      <c r="B24" s="22" t="str">
        <f aca="false">IF(ISNUMBER(B23),B23,IF(AND(ISNUMBER(B21),B22&gt;=0.5),B21,""))</f>
        <v/>
      </c>
      <c r="C24" s="23" t="str">
        <f aca="false">IF(ISNUMBER(B23),"Usando el valor fijado a mano.",IF(B22&lt;0.5,"⚠ TODAVÍA NO HAY UN COSTO VARIABLE CONFIABLE: el cálculo cubre solo "&amp;TEXT(B22,"0%")&amp;" de las unidades vendidas (necesita 50%) y no incluye papel y tinta. Escribe el costo real del mes (fila 7) o una estimación (fila 23). Mientras, mira la tabla ¿Y si…? de abajo.","Calculado desde Productos (cubre "&amp;TEXT(B22,"0%")&amp;" de lo vendido)."))</f>
        <v>⚠ TODAVÍA NO HAY UN COSTO VARIABLE CONFIABLE: el cálculo cubre solo 2% de las unidades vendidas (necesita 50%) y no incluye papel y tinta. Escribe el costo real del mes (fila 7) o una estimación (fila 23). Mientras, mira la tabla ¿Y si…? de abajo.</v>
      </c>
      <c r="D24" s="23"/>
      <c r="E24" s="23"/>
      <c r="F24" s="23"/>
      <c r="G24" s="23"/>
      <c r="H24" s="23"/>
      <c r="I24" s="23"/>
      <c r="J24" s="23"/>
    </row>
    <row r="26" customFormat="false" ht="15" hidden="false" customHeight="false" outlineLevel="0" collapsed="false">
      <c r="A26" s="18" t="s">
        <v>63</v>
      </c>
      <c r="B26" s="19"/>
      <c r="C26" s="19"/>
      <c r="D26" s="19"/>
      <c r="E26" s="19"/>
      <c r="F26" s="19"/>
      <c r="G26" s="19"/>
      <c r="H26" s="19"/>
      <c r="I26" s="19"/>
      <c r="J26" s="19"/>
    </row>
    <row r="27" customFormat="false" ht="23.85" hidden="false" customHeight="false" outlineLevel="0" collapsed="false">
      <c r="A27" s="24" t="s">
        <v>64</v>
      </c>
      <c r="B27" s="24" t="s">
        <v>65</v>
      </c>
      <c r="C27" s="24" t="s">
        <v>66</v>
      </c>
      <c r="D27" s="24" t="s">
        <v>67</v>
      </c>
      <c r="E27" s="24" t="s">
        <v>68</v>
      </c>
    </row>
    <row r="28" customFormat="false" ht="15" hidden="false" customHeight="false" outlineLevel="0" collapsed="false">
      <c r="A28" s="25" t="n">
        <v>0.15</v>
      </c>
      <c r="B28" s="9" t="n">
        <f aca="false">IF(ISNUMBER($I$5),$I$5*(1-A28),"")</f>
        <v>29915613.7166667</v>
      </c>
      <c r="C28" s="26" t="n">
        <f aca="false">IF(ISNUMBER($I$5),$I$5*(1-A28)-N($I$11)-N($I$12),"")</f>
        <v>11620105.7166667</v>
      </c>
      <c r="D28" s="15" t="n">
        <f aca="false">IF(N($I$5)&gt;0,C28/$I$5,"")</f>
        <v>0.33016504199825</v>
      </c>
      <c r="E28" s="9" t="n">
        <f aca="false">IF(A28&lt;1,(N($I$11)+N($I$12))/(1-A28),"")</f>
        <v>21524127.0588235</v>
      </c>
    </row>
    <row r="29" customFormat="false" ht="15" hidden="false" customHeight="false" outlineLevel="0" collapsed="false">
      <c r="A29" s="25" t="n">
        <v>0.2</v>
      </c>
      <c r="B29" s="9" t="n">
        <f aca="false">IF(ISNUMBER($I$5),$I$5*(1-A29),"")</f>
        <v>28155871.7333333</v>
      </c>
      <c r="C29" s="26" t="n">
        <f aca="false">IF(ISNUMBER($I$5),$I$5*(1-A29)-N($I$11)-N($I$12),"")</f>
        <v>9860363.73333333</v>
      </c>
      <c r="D29" s="15" t="n">
        <f aca="false">IF(N($I$5)&gt;0,C29/$I$5,"")</f>
        <v>0.28016504199825</v>
      </c>
      <c r="E29" s="9" t="n">
        <f aca="false">IF(A29&lt;1,(N($I$11)+N($I$12))/(1-A29),"")</f>
        <v>22869385</v>
      </c>
    </row>
    <row r="30" customFormat="false" ht="15" hidden="false" customHeight="false" outlineLevel="0" collapsed="false">
      <c r="A30" s="25" t="n">
        <v>0.25</v>
      </c>
      <c r="B30" s="9" t="n">
        <f aca="false">IF(ISNUMBER($I$5),$I$5*(1-A30),"")</f>
        <v>26396129.75</v>
      </c>
      <c r="C30" s="26" t="n">
        <f aca="false">IF(ISNUMBER($I$5),$I$5*(1-A30)-N($I$11)-N($I$12),"")</f>
        <v>8100621.75</v>
      </c>
      <c r="D30" s="15" t="n">
        <f aca="false">IF(N($I$5)&gt;0,C30/$I$5,"")</f>
        <v>0.23016504199825</v>
      </c>
      <c r="E30" s="9" t="n">
        <f aca="false">IF(A30&lt;1,(N($I$11)+N($I$12))/(1-A30),"")</f>
        <v>24394010.6666667</v>
      </c>
    </row>
    <row r="31" customFormat="false" ht="15" hidden="false" customHeight="false" outlineLevel="0" collapsed="false">
      <c r="A31" s="25" t="n">
        <v>0.3</v>
      </c>
      <c r="B31" s="9" t="n">
        <f aca="false">IF(ISNUMBER($I$5),$I$5*(1-A31),"")</f>
        <v>24636387.7666667</v>
      </c>
      <c r="C31" s="26" t="n">
        <f aca="false">IF(ISNUMBER($I$5),$I$5*(1-A31)-N($I$11)-N($I$12),"")</f>
        <v>6340879.76666666</v>
      </c>
      <c r="D31" s="15" t="n">
        <f aca="false">IF(N($I$5)&gt;0,C31/$I$5,"")</f>
        <v>0.18016504199825</v>
      </c>
      <c r="E31" s="9" t="n">
        <f aca="false">IF(A31&lt;1,(N($I$11)+N($I$12))/(1-A31),"")</f>
        <v>26136440</v>
      </c>
    </row>
    <row r="32" customFormat="false" ht="15" hidden="false" customHeight="false" outlineLevel="0" collapsed="false">
      <c r="A32" s="25" t="n">
        <v>0.35</v>
      </c>
      <c r="B32" s="9" t="n">
        <f aca="false">IF(ISNUMBER($I$5),$I$5*(1-A32),"")</f>
        <v>22876645.7833333</v>
      </c>
      <c r="C32" s="26" t="n">
        <f aca="false">IF(ISNUMBER($I$5),$I$5*(1-A32)-N($I$11)-N($I$12),"")</f>
        <v>4581137.78333333</v>
      </c>
      <c r="D32" s="15" t="n">
        <f aca="false">IF(N($I$5)&gt;0,C32/$I$5,"")</f>
        <v>0.13016504199825</v>
      </c>
      <c r="E32" s="9" t="n">
        <f aca="false">IF(A32&lt;1,(N($I$11)+N($I$12))/(1-A32),"")</f>
        <v>28146935.3846154</v>
      </c>
    </row>
    <row r="33" customFormat="false" ht="15" hidden="false" customHeight="false" outlineLevel="0" collapsed="false">
      <c r="A33" s="25" t="n">
        <v>0.4</v>
      </c>
      <c r="B33" s="9" t="n">
        <f aca="false">IF(ISNUMBER($I$5),$I$5*(1-A33),"")</f>
        <v>21116903.8</v>
      </c>
      <c r="C33" s="26" t="n">
        <f aca="false">IF(ISNUMBER($I$5),$I$5*(1-A33)-N($I$11)-N($I$12),"")</f>
        <v>2821395.8</v>
      </c>
      <c r="D33" s="15" t="n">
        <f aca="false">IF(N($I$5)&gt;0,C33/$I$5,"")</f>
        <v>0.0801650419982497</v>
      </c>
      <c r="E33" s="9" t="n">
        <f aca="false">IF(A33&lt;1,(N($I$11)+N($I$12))/(1-A33),"")</f>
        <v>30492513.3333333</v>
      </c>
    </row>
    <row r="34" customFormat="false" ht="15" hidden="false" customHeight="false" outlineLevel="0" collapsed="false">
      <c r="A34" s="25" t="n">
        <v>0.45</v>
      </c>
      <c r="B34" s="9" t="n">
        <f aca="false">IF(ISNUMBER($I$5),$I$5*(1-A34),"")</f>
        <v>19357161.8166667</v>
      </c>
      <c r="C34" s="26" t="n">
        <f aca="false">IF(ISNUMBER($I$5),$I$5*(1-A34)-N($I$11)-N($I$12),"")</f>
        <v>1061653.81666667</v>
      </c>
      <c r="D34" s="15" t="n">
        <f aca="false">IF(N($I$5)&gt;0,C34/$I$5,"")</f>
        <v>0.0301650419982498</v>
      </c>
      <c r="E34" s="9" t="n">
        <f aca="false">IF(A34&lt;1,(N($I$11)+N($I$12))/(1-A34),"")</f>
        <v>33264560</v>
      </c>
    </row>
    <row r="35" customFormat="false" ht="15" hidden="false" customHeight="true" outlineLevel="0" collapsed="false">
      <c r="A35" s="20" t="s">
        <v>69</v>
      </c>
      <c r="B35" s="20"/>
      <c r="C35" s="20"/>
      <c r="D35" s="20"/>
      <c r="E35" s="20"/>
      <c r="F35" s="20"/>
      <c r="G35" s="20"/>
      <c r="H35" s="20"/>
      <c r="I35" s="20"/>
      <c r="J35" s="20"/>
    </row>
    <row r="37" customFormat="false" ht="15" hidden="false" customHeight="false" outlineLevel="0" collapsed="false">
      <c r="A37" s="18" t="s">
        <v>70</v>
      </c>
      <c r="B37" s="19"/>
      <c r="C37" s="19"/>
      <c r="D37" s="19"/>
      <c r="E37" s="19"/>
      <c r="F37" s="19"/>
      <c r="G37" s="19"/>
      <c r="H37" s="19"/>
      <c r="I37" s="19"/>
      <c r="J37" s="19"/>
    </row>
    <row r="38" customFormat="false" ht="19.5" hidden="false" customHeight="true" outlineLevel="0" collapsed="false">
      <c r="A38" s="27" t="s">
        <v>71</v>
      </c>
      <c r="B38" s="27"/>
      <c r="C38" s="27"/>
      <c r="D38" s="27"/>
      <c r="E38" s="27"/>
      <c r="F38" s="27"/>
      <c r="G38" s="27"/>
      <c r="H38" s="27"/>
      <c r="I38" s="27"/>
      <c r="J38" s="27"/>
    </row>
    <row r="39" customFormat="false" ht="19.5" hidden="false" customHeight="true" outlineLevel="0" collapsed="false">
      <c r="A39" s="27" t="s">
        <v>72</v>
      </c>
      <c r="B39" s="27"/>
      <c r="C39" s="27"/>
      <c r="D39" s="27"/>
      <c r="E39" s="27"/>
      <c r="F39" s="27"/>
      <c r="G39" s="27"/>
      <c r="H39" s="27"/>
      <c r="I39" s="27"/>
      <c r="J39" s="27"/>
    </row>
    <row r="40" customFormat="false" ht="19.5" hidden="false" customHeight="true" outlineLevel="0" collapsed="false">
      <c r="A40" s="27" t="s">
        <v>73</v>
      </c>
      <c r="B40" s="27"/>
      <c r="C40" s="27"/>
      <c r="D40" s="27"/>
      <c r="E40" s="27"/>
      <c r="F40" s="27"/>
      <c r="G40" s="27"/>
      <c r="H40" s="27"/>
      <c r="I40" s="27"/>
      <c r="J40" s="27"/>
    </row>
    <row r="41" customFormat="false" ht="19.5" hidden="false" customHeight="true" outlineLevel="0" collapsed="false">
      <c r="A41" s="27" t="s">
        <v>74</v>
      </c>
      <c r="B41" s="27"/>
      <c r="C41" s="27"/>
      <c r="D41" s="27"/>
      <c r="E41" s="27"/>
      <c r="F41" s="27"/>
      <c r="G41" s="27"/>
      <c r="H41" s="27"/>
      <c r="I41" s="27"/>
      <c r="J41" s="27"/>
    </row>
    <row r="42" customFormat="false" ht="19.5" hidden="false" customHeight="true" outlineLevel="0" collapsed="false">
      <c r="A42" s="27" t="s">
        <v>75</v>
      </c>
      <c r="B42" s="27"/>
      <c r="C42" s="27"/>
      <c r="D42" s="27"/>
      <c r="E42" s="27"/>
      <c r="F42" s="27"/>
      <c r="G42" s="27"/>
      <c r="H42" s="27"/>
      <c r="I42" s="27"/>
      <c r="J42" s="27"/>
    </row>
  </sheetData>
  <mergeCells count="10">
    <mergeCell ref="C21:J21"/>
    <mergeCell ref="C22:J22"/>
    <mergeCell ref="C23:J23"/>
    <mergeCell ref="C24:J24"/>
    <mergeCell ref="A35:J35"/>
    <mergeCell ref="A38:J38"/>
    <mergeCell ref="A39:J39"/>
    <mergeCell ref="A40:J40"/>
    <mergeCell ref="A41:J41"/>
    <mergeCell ref="A42:J42"/>
  </mergeCells>
  <conditionalFormatting sqref="B18:I18">
    <cfRule type="cellIs" priority="2" operator="equal" aboveAverage="0" equalAverage="0" bottom="0" percent="0" rank="0" text="" dxfId="0">
      <formula>"GANA"</formula>
    </cfRule>
    <cfRule type="cellIs" priority="3" operator="equal" aboveAverage="0" equalAverage="0" bottom="0" percent="0" rank="0" text="" dxfId="1">
      <formula>"PIERDE"</formula>
    </cfRule>
  </conditionalFormatting>
  <conditionalFormatting sqref="B14:I14">
    <cfRule type="cellIs" priority="4" operator="lessThan" aboveAverage="0" equalAverage="0" bottom="0" percent="0" rank="0" text="" dxfId="2">
      <formula>0</formula>
    </cfRule>
  </conditionalFormatting>
  <conditionalFormatting sqref="C28:C34">
    <cfRule type="cellIs" priority="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9"/>
    <col collapsed="false" customWidth="true" hidden="false" outlineLevel="0" max="4" min="4" style="0" width="10"/>
    <col collapsed="false" customWidth="true" hidden="false" outlineLevel="0" max="5" min="5" style="0" width="24"/>
    <col collapsed="false" customWidth="true" hidden="false" outlineLevel="0" max="6" min="6" style="0" width="26"/>
    <col collapsed="false" customWidth="true" hidden="false" outlineLevel="0" max="7" min="7" style="0" width="18"/>
    <col collapsed="false" customWidth="true" hidden="false" outlineLevel="0" max="8" min="8" style="0" width="11"/>
    <col collapsed="false" customWidth="true" hidden="false" outlineLevel="0" max="9" min="9" style="0" width="12"/>
    <col collapsed="false" customWidth="true" hidden="false" outlineLevel="0" max="10" min="10" style="0" width="13"/>
    <col collapsed="false" customWidth="true" hidden="false" outlineLevel="0" max="11" min="11" style="0" width="38"/>
    <col collapsed="false" customWidth="true" hidden="false" outlineLevel="0" max="13" min="12" style="0" width="10"/>
    <col collapsed="false" customWidth="true" hidden="false" outlineLevel="0" max="14" min="14" style="0" width="11"/>
    <col collapsed="false" customWidth="true" hidden="false" outlineLevel="0" max="15" min="15" style="0" width="9"/>
    <col collapsed="false" customWidth="true" hidden="false" outlineLevel="0" max="16" min="16" style="0" width="12"/>
    <col collapsed="false" customWidth="true" hidden="false" outlineLevel="0" max="19" min="17" style="0" width="11"/>
    <col collapsed="false" customWidth="true" hidden="false" outlineLevel="0" max="20" min="20" style="0" width="9"/>
    <col collapsed="false" customWidth="true" hidden="false" outlineLevel="0" max="22" min="21" style="0" width="12"/>
    <col collapsed="false" customWidth="true" hidden="false" outlineLevel="0" max="23" min="23" style="0" width="13"/>
    <col collapsed="false" customWidth="true" hidden="false" outlineLevel="0" max="24" min="24" style="0" width="32"/>
    <col collapsed="false" customWidth="true" hidden="false" outlineLevel="0" max="27" min="25" style="0" width="11"/>
  </cols>
  <sheetData>
    <row r="1" customFormat="false" ht="17.35" hidden="false" customHeight="false" outlineLevel="0" collapsed="false">
      <c r="A1" s="1" t="s">
        <v>76</v>
      </c>
    </row>
    <row r="2" customFormat="false" ht="15" hidden="false" customHeight="false" outlineLevel="0" collapsed="false">
      <c r="A2" s="2" t="s">
        <v>77</v>
      </c>
    </row>
    <row r="3" customFormat="false" ht="15" hidden="false" customHeight="false" outlineLevel="0" collapsed="false">
      <c r="A3" s="28" t="str">
        <f aca="false">"Recargo usado: "&amp;TEXT(Parametros!$B$14,"0.0%")&amp;" del precio (fábrica "&amp;TEXT(Parametros!$B$12,"0.0%")&amp;" + comercial "&amp;TEXT(Parametros!$B$13,"0.0%")&amp;")   ·   Meta de ganancia: "&amp;TEXT(Parametros!$B$18,"0%")&amp;"   ·   Impresión: "&amp;IF(Parametros!$B$27=0,"SIN COSTO (pendiente)",TEXT(Parametros!$B$27,"$#,##0")&amp;" por metro")</f>
        <v>Recargo usado: 48.0% del precio (fábrica 35.3% + comercial 12.7%)   ·   Meta de ganancia: 10%   ·   Impresión: SIN COSTO (pendiente)</v>
      </c>
    </row>
    <row r="4" customFormat="false" ht="15" hidden="false" customHeight="false" outlineLevel="0" collapsed="false">
      <c r="A4" s="29" t="s">
        <v>78</v>
      </c>
      <c r="B4" s="29"/>
      <c r="C4" s="29"/>
      <c r="D4" s="29"/>
      <c r="E4" s="30" t="s">
        <v>79</v>
      </c>
      <c r="F4" s="30"/>
      <c r="G4" s="30"/>
      <c r="H4" s="30"/>
      <c r="I4" s="30"/>
      <c r="J4" s="30"/>
      <c r="K4" s="30"/>
      <c r="L4" s="31" t="s">
        <v>80</v>
      </c>
      <c r="M4" s="31"/>
      <c r="N4" s="31"/>
      <c r="O4" s="31"/>
      <c r="P4" s="31"/>
      <c r="Q4" s="32" t="s">
        <v>81</v>
      </c>
      <c r="R4" s="32"/>
      <c r="S4" s="32"/>
      <c r="T4" s="32"/>
      <c r="U4" s="32"/>
      <c r="V4" s="32"/>
      <c r="W4" s="32"/>
      <c r="X4" s="32"/>
    </row>
    <row r="5" customFormat="false" ht="42" hidden="false" customHeight="true" outlineLevel="0" collapsed="false">
      <c r="A5" s="5" t="s">
        <v>82</v>
      </c>
      <c r="B5" s="5" t="s">
        <v>83</v>
      </c>
      <c r="C5" s="5" t="s">
        <v>84</v>
      </c>
      <c r="D5" s="5" t="s">
        <v>85</v>
      </c>
      <c r="E5" s="5" t="s">
        <v>86</v>
      </c>
      <c r="F5" s="5" t="s">
        <v>87</v>
      </c>
      <c r="G5" s="5" t="s">
        <v>88</v>
      </c>
      <c r="H5" s="5" t="s">
        <v>89</v>
      </c>
      <c r="I5" s="5" t="s">
        <v>90</v>
      </c>
      <c r="J5" s="5" t="s">
        <v>91</v>
      </c>
      <c r="K5" s="5" t="s">
        <v>92</v>
      </c>
      <c r="L5" s="5" t="s">
        <v>93</v>
      </c>
      <c r="M5" s="5" t="s">
        <v>94</v>
      </c>
      <c r="N5" s="5" t="s">
        <v>95</v>
      </c>
      <c r="O5" s="5" t="s">
        <v>96</v>
      </c>
      <c r="P5" s="5" t="s">
        <v>97</v>
      </c>
      <c r="Q5" s="5" t="s">
        <v>98</v>
      </c>
      <c r="R5" s="5" t="s">
        <v>99</v>
      </c>
      <c r="S5" s="5" t="s">
        <v>100</v>
      </c>
      <c r="T5" s="5" t="s">
        <v>101</v>
      </c>
      <c r="U5" s="5" t="s">
        <v>102</v>
      </c>
      <c r="V5" s="5" t="s">
        <v>103</v>
      </c>
      <c r="W5" s="5" t="s">
        <v>104</v>
      </c>
      <c r="X5" s="5" t="s">
        <v>105</v>
      </c>
      <c r="Y5" s="33" t="s">
        <v>106</v>
      </c>
      <c r="Z5" s="33" t="s">
        <v>107</v>
      </c>
      <c r="AA5" s="33" t="s">
        <v>108</v>
      </c>
    </row>
    <row r="6" customFormat="false" ht="23.85" hidden="false" customHeight="false" outlineLevel="0" collapsed="false">
      <c r="A6" s="7" t="s">
        <v>109</v>
      </c>
      <c r="B6" s="7" t="s">
        <v>110</v>
      </c>
      <c r="C6" s="7" t="s">
        <v>111</v>
      </c>
      <c r="D6" s="7" t="n">
        <v>198</v>
      </c>
      <c r="E6" s="34" t="s">
        <v>112</v>
      </c>
      <c r="F6" s="34"/>
      <c r="G6" s="34"/>
      <c r="H6" s="8"/>
      <c r="I6" s="8" t="n">
        <v>15994</v>
      </c>
      <c r="J6" s="34" t="s">
        <v>113</v>
      </c>
      <c r="K6" s="10" t="s">
        <v>114</v>
      </c>
      <c r="L6" s="9" t="str">
        <f aca="false">IF(OR(B6="",E6=""),"",IFERROR(INDEX(Recetas!$R$5:$R$84,MATCH($E6,Recetas!$A$5:$A$84,0))*IFERROR(INDEX(Precios!$F$5:$F$120,MATCH(F6,Precios!$A$5:$A$120,0)),"")+IF(N(INDEX(Recetas!$S$5:$S$84,MATCH($E6,Recetas!$A$5:$A$84,0)))=0,0,INDEX(Recetas!$S$5:$S$84,MATCH($E6,Recetas!$A$5:$A$84,0))*IFERROR(INDEX(Precios!$F$5:$F$120,MATCH(G6,Precios!$A$5:$A$120,0)),"")),""))</f>
        <v/>
      </c>
      <c r="M6" s="9" t="n">
        <f aca="false">IF(OR(B6="",E6=""),"",IFERROR(N(INDEX(Recetas!$L$5:$L$84,MATCH($E6,Recetas!$A$5:$A$84,0)))*Parametros!$B$27,""))</f>
        <v>0</v>
      </c>
      <c r="N6" s="9" t="n">
        <f aca="false">IF(OR(B6="",E6=""),"",IFERROR(INDEX(Confeccion!$B$5:$B$100,MATCH(INDEX(Recetas!$M$5:$M$84,MATCH($E6,Recetas!$A$5:$A$84,0)),Confeccion!$A$5:$A$100,0)),""))</f>
        <v>2000</v>
      </c>
      <c r="O6" s="9" t="n">
        <f aca="false">IF(OR(B6="",E6=""),"",IFERROR(N(INDEX(Recetas!$O$5:$O$84,MATCH($E6,Recetas!$A$5:$A$84,0)))*INDEX(Precios!$D$5:$D$120,MATCH(INDEX(Recetas!$N$5:$N$84,MATCH($E6,Recetas!$A$5:$A$84,0)),Precios!$A$5:$A$120,0)),0))</f>
        <v>0</v>
      </c>
      <c r="P6" s="26" t="str">
        <f aca="false">IF(OR(B6="",E6=""),"",IF(AND(IFERROR(INDEX(Recetas!$T$5:$T$84,MATCH($E6,Recetas!$A$5:$A$84,0))="Lista",FALSE()),ISNUMBER(L6),ISNUMBER(M6),ISNUMBER(N6),N(N6)&gt;0),L6+M6+N6+N(O6)+N(H6),""))</f>
        <v/>
      </c>
      <c r="Q6" s="9" t="str">
        <f aca="false">IF(AND(ISNUMBER(P6),ISNUMBER(I6)),I6*Parametros!$B$12,"")</f>
        <v/>
      </c>
      <c r="R6" s="9" t="str">
        <f aca="false">IF(AND(ISNUMBER(P6),ISNUMBER(I6)),I6*Parametros!$B$13,"")</f>
        <v/>
      </c>
      <c r="S6" s="26" t="str">
        <f aca="false">IF(AND(ISNUMBER(P6),ISNUMBER(I6)),I6-P6-Q6-R6,"")</f>
        <v/>
      </c>
      <c r="T6" s="16" t="str">
        <f aca="false">IF(AND(ISNUMBER(P6),ISNUMBER(I6)),S6/I6,"")</f>
        <v/>
      </c>
      <c r="U6" s="9" t="str">
        <f aca="false">IF(OR(NOT(ISNUMBER(P6)),Parametros!$B$14&gt;=1),"",P6/(1-Parametros!$B$14))</f>
        <v/>
      </c>
      <c r="V6" s="9" t="str">
        <f aca="false">IF(OR(NOT(ISNUMBER(P6)),Parametros!$B$14+Parametros!$B$18&gt;=1),"",P6/(1-Parametros!$B$14-Parametros!$B$18))</f>
        <v/>
      </c>
      <c r="W6" s="35" t="str">
        <f aca="false">IF(B6="","",IF(E6="","SIN RECETA",IF(NOT(ISNUMBER(P6)),"FALTAN DATOS",IF(NOT(ISNUMBER(I6)),"FALTA PRECIO",IF(S6&lt;0,"PIERDE",IF(T6&lt;Parametros!$B$18,"BAJO META","OK"))))))</f>
        <v>FALTAN DATOS</v>
      </c>
      <c r="X6" s="36" t="str">
        <f aca="false">IF(B6="","",IF(E6="","Elegir receta (molde). ",IF(ISNA(MATCH(E6,Recetas!$A$5:$A$84,0)),"La receta no existe. ",IF(IFERROR(INDEX(Recetas!$T$5:$T$84,MATCH($E6,Recetas!$A$5:$A$84,0))="Lista",FALSE()),"","Receta "&amp;E6&amp;": "&amp;INDEX(Recetas!$T$5:$T$84,MATCH($E6,Recetas!$A$5:$A$84,0)))))&amp;IF(F6="","Elegir tela. ",IF(IFERROR(INDEX(Precios!$F$5:$F$120,MATCH(F6,Precios!$A$5:$A$120,0)),"")="","Tela sin $/metro (falta rendimiento o precio). ",""))&amp;IF(AND(E6&lt;&gt;"",N(IFERROR(INDEX(Recetas!$S$5:$S$84,MATCH($E6,Recetas!$A$5:$A$84,0)),0))&gt;0,G6=""),"Elegir tela 2. ","")&amp;IF(NOT(ISNUMBER(I6)),"Precio de venta.",""))</f>
        <v>Receta 02 · FUTHOMU01: Consumo de tela. Metros impresos. Elegir tela. </v>
      </c>
      <c r="Y6" s="37" t="n">
        <f aca="false">IF(AND(ISNUMBER(P6),ISNUMBER(I6),ISNUMBER(D6)),P6*D6,0)</f>
        <v>0</v>
      </c>
      <c r="Z6" s="37" t="n">
        <f aca="false">IF(AND(ISNUMBER(P6),ISNUMBER(I6),ISNUMBER(D6)),I6*D6,0)</f>
        <v>0</v>
      </c>
      <c r="AA6" s="38" t="n">
        <f aca="false">IF(AND(ISNUMBER(P6),ISNUMBER(I6),ISNUMBER(D6)),D6,0)</f>
        <v>0</v>
      </c>
    </row>
    <row r="7" customFormat="false" ht="23.85" hidden="false" customHeight="false" outlineLevel="0" collapsed="false">
      <c r="A7" s="7" t="s">
        <v>115</v>
      </c>
      <c r="B7" s="7" t="s">
        <v>116</v>
      </c>
      <c r="C7" s="7" t="s">
        <v>111</v>
      </c>
      <c r="D7" s="7" t="n">
        <v>190</v>
      </c>
      <c r="E7" s="34" t="s">
        <v>112</v>
      </c>
      <c r="F7" s="34"/>
      <c r="G7" s="34"/>
      <c r="H7" s="8"/>
      <c r="I7" s="8" t="n">
        <v>16073</v>
      </c>
      <c r="J7" s="34" t="s">
        <v>113</v>
      </c>
      <c r="K7" s="10" t="s">
        <v>117</v>
      </c>
      <c r="L7" s="9" t="str">
        <f aca="false">IF(OR(B7="",E7=""),"",IFERROR(INDEX(Recetas!$R$5:$R$84,MATCH($E7,Recetas!$A$5:$A$84,0))*IFERROR(INDEX(Precios!$F$5:$F$120,MATCH(F7,Precios!$A$5:$A$120,0)),"")+IF(N(INDEX(Recetas!$S$5:$S$84,MATCH($E7,Recetas!$A$5:$A$84,0)))=0,0,INDEX(Recetas!$S$5:$S$84,MATCH($E7,Recetas!$A$5:$A$84,0))*IFERROR(INDEX(Precios!$F$5:$F$120,MATCH(G7,Precios!$A$5:$A$120,0)),"")),""))</f>
        <v/>
      </c>
      <c r="M7" s="9" t="n">
        <f aca="false">IF(OR(B7="",E7=""),"",IFERROR(N(INDEX(Recetas!$L$5:$L$84,MATCH($E7,Recetas!$A$5:$A$84,0)))*Parametros!$B$27,""))</f>
        <v>0</v>
      </c>
      <c r="N7" s="9" t="n">
        <f aca="false">IF(OR(B7="",E7=""),"",IFERROR(INDEX(Confeccion!$B$5:$B$100,MATCH(INDEX(Recetas!$M$5:$M$84,MATCH($E7,Recetas!$A$5:$A$84,0)),Confeccion!$A$5:$A$100,0)),""))</f>
        <v>2000</v>
      </c>
      <c r="O7" s="9" t="n">
        <f aca="false">IF(OR(B7="",E7=""),"",IFERROR(N(INDEX(Recetas!$O$5:$O$84,MATCH($E7,Recetas!$A$5:$A$84,0)))*INDEX(Precios!$D$5:$D$120,MATCH(INDEX(Recetas!$N$5:$N$84,MATCH($E7,Recetas!$A$5:$A$84,0)),Precios!$A$5:$A$120,0)),0))</f>
        <v>0</v>
      </c>
      <c r="P7" s="26" t="str">
        <f aca="false">IF(OR(B7="",E7=""),"",IF(AND(IFERROR(INDEX(Recetas!$T$5:$T$84,MATCH($E7,Recetas!$A$5:$A$84,0))="Lista",FALSE()),ISNUMBER(L7),ISNUMBER(M7),ISNUMBER(N7),N(N7)&gt;0),L7+M7+N7+N(O7)+N(H7),""))</f>
        <v/>
      </c>
      <c r="Q7" s="9" t="str">
        <f aca="false">IF(AND(ISNUMBER(P7),ISNUMBER(I7)),I7*Parametros!$B$12,"")</f>
        <v/>
      </c>
      <c r="R7" s="9" t="str">
        <f aca="false">IF(AND(ISNUMBER(P7),ISNUMBER(I7)),I7*Parametros!$B$13,"")</f>
        <v/>
      </c>
      <c r="S7" s="26" t="str">
        <f aca="false">IF(AND(ISNUMBER(P7),ISNUMBER(I7)),I7-P7-Q7-R7,"")</f>
        <v/>
      </c>
      <c r="T7" s="16" t="str">
        <f aca="false">IF(AND(ISNUMBER(P7),ISNUMBER(I7)),S7/I7,"")</f>
        <v/>
      </c>
      <c r="U7" s="9" t="str">
        <f aca="false">IF(OR(NOT(ISNUMBER(P7)),Parametros!$B$14&gt;=1),"",P7/(1-Parametros!$B$14))</f>
        <v/>
      </c>
      <c r="V7" s="9" t="str">
        <f aca="false">IF(OR(NOT(ISNUMBER(P7)),Parametros!$B$14+Parametros!$B$18&gt;=1),"",P7/(1-Parametros!$B$14-Parametros!$B$18))</f>
        <v/>
      </c>
      <c r="W7" s="35" t="str">
        <f aca="false">IF(B7="","",IF(E7="","SIN RECETA",IF(NOT(ISNUMBER(P7)),"FALTAN DATOS",IF(NOT(ISNUMBER(I7)),"FALTA PRECIO",IF(S7&lt;0,"PIERDE",IF(T7&lt;Parametros!$B$18,"BAJO META","OK"))))))</f>
        <v>FALTAN DATOS</v>
      </c>
      <c r="X7" s="36" t="str">
        <f aca="false">IF(B7="","",IF(E7="","Elegir receta (molde). ",IF(ISNA(MATCH(E7,Recetas!$A$5:$A$84,0)),"La receta no existe. ",IF(IFERROR(INDEX(Recetas!$T$5:$T$84,MATCH($E7,Recetas!$A$5:$A$84,0))="Lista",FALSE()),"","Receta "&amp;E7&amp;": "&amp;INDEX(Recetas!$T$5:$T$84,MATCH($E7,Recetas!$A$5:$A$84,0)))))&amp;IF(F7="","Elegir tela. ",IF(IFERROR(INDEX(Precios!$F$5:$F$120,MATCH(F7,Precios!$A$5:$A$120,0)),"")="","Tela sin $/metro (falta rendimiento o precio). ",""))&amp;IF(AND(E7&lt;&gt;"",N(IFERROR(INDEX(Recetas!$S$5:$S$84,MATCH($E7,Recetas!$A$5:$A$84,0)),0))&gt;0,G7=""),"Elegir tela 2. ","")&amp;IF(NOT(ISNUMBER(I7)),"Precio de venta.",""))</f>
        <v>Receta 02 · FUTHOMU01: Consumo de tela. Metros impresos. Elegir tela. </v>
      </c>
      <c r="Y7" s="37" t="n">
        <f aca="false">IF(AND(ISNUMBER(P7),ISNUMBER(I7),ISNUMBER(D7)),P7*D7,0)</f>
        <v>0</v>
      </c>
      <c r="Z7" s="37" t="n">
        <f aca="false">IF(AND(ISNUMBER(P7),ISNUMBER(I7),ISNUMBER(D7)),I7*D7,0)</f>
        <v>0</v>
      </c>
      <c r="AA7" s="38" t="n">
        <f aca="false">IF(AND(ISNUMBER(P7),ISNUMBER(I7),ISNUMBER(D7)),D7,0)</f>
        <v>0</v>
      </c>
    </row>
    <row r="8" customFormat="false" ht="23.85" hidden="false" customHeight="false" outlineLevel="0" collapsed="false">
      <c r="A8" s="7" t="s">
        <v>118</v>
      </c>
      <c r="B8" s="7" t="s">
        <v>119</v>
      </c>
      <c r="C8" s="7" t="s">
        <v>111</v>
      </c>
      <c r="D8" s="7" t="n">
        <v>160</v>
      </c>
      <c r="E8" s="34" t="s">
        <v>120</v>
      </c>
      <c r="F8" s="34" t="s">
        <v>121</v>
      </c>
      <c r="G8" s="34" t="s">
        <v>122</v>
      </c>
      <c r="H8" s="8"/>
      <c r="I8" s="8" t="n">
        <v>18403</v>
      </c>
      <c r="J8" s="34" t="s">
        <v>113</v>
      </c>
      <c r="K8" s="10" t="s">
        <v>123</v>
      </c>
      <c r="L8" s="9" t="n">
        <f aca="false">IF(OR(B8="",E8=""),"",IFERROR(INDEX(Recetas!$R$5:$R$84,MATCH($E8,Recetas!$A$5:$A$84,0))*IFERROR(INDEX(Precios!$F$5:$F$120,MATCH(F8,Precios!$A$5:$A$120,0)),"")+IF(N(INDEX(Recetas!$S$5:$S$84,MATCH($E8,Recetas!$A$5:$A$84,0)))=0,0,INDEX(Recetas!$S$5:$S$84,MATCH($E8,Recetas!$A$5:$A$84,0))*IFERROR(INDEX(Precios!$F$5:$F$120,MATCH(G8,Precios!$A$5:$A$120,0)),"")),""))</f>
        <v>423.72</v>
      </c>
      <c r="M8" s="9" t="n">
        <f aca="false">IF(OR(B8="",E8=""),"",IFERROR(N(INDEX(Recetas!$L$5:$L$84,MATCH($E8,Recetas!$A$5:$A$84,0)))*Parametros!$B$27,""))</f>
        <v>0</v>
      </c>
      <c r="N8" s="9" t="n">
        <f aca="false">IF(OR(B8="",E8=""),"",IFERROR(INDEX(Confeccion!$B$5:$B$100,MATCH(INDEX(Recetas!$M$5:$M$84,MATCH($E8,Recetas!$A$5:$A$84,0)),Confeccion!$A$5:$A$100,0)),""))</f>
        <v>2000</v>
      </c>
      <c r="O8" s="9" t="n">
        <f aca="false">IF(OR(B8="",E8=""),"",IFERROR(N(INDEX(Recetas!$O$5:$O$84,MATCH($E8,Recetas!$A$5:$A$84,0)))*INDEX(Precios!$D$5:$D$120,MATCH(INDEX(Recetas!$N$5:$N$84,MATCH($E8,Recetas!$A$5:$A$84,0)),Precios!$A$5:$A$120,0)),0))</f>
        <v>0</v>
      </c>
      <c r="P8" s="26" t="str">
        <f aca="false">IF(OR(B8="",E8=""),"",IF(AND(IFERROR(INDEX(Recetas!$T$5:$T$84,MATCH($E8,Recetas!$A$5:$A$84,0))="Lista",FALSE()),ISNUMBER(L8),ISNUMBER(M8),ISNUMBER(N8),N(N8)&gt;0),L8+M8+N8+N(O8)+N(H8),""))</f>
        <v/>
      </c>
      <c r="Q8" s="9" t="str">
        <f aca="false">IF(AND(ISNUMBER(P8),ISNUMBER(I8)),I8*Parametros!$B$12,"")</f>
        <v/>
      </c>
      <c r="R8" s="9" t="str">
        <f aca="false">IF(AND(ISNUMBER(P8),ISNUMBER(I8)),I8*Parametros!$B$13,"")</f>
        <v/>
      </c>
      <c r="S8" s="26" t="str">
        <f aca="false">IF(AND(ISNUMBER(P8),ISNUMBER(I8)),I8-P8-Q8-R8,"")</f>
        <v/>
      </c>
      <c r="T8" s="16" t="str">
        <f aca="false">IF(AND(ISNUMBER(P8),ISNUMBER(I8)),S8/I8,"")</f>
        <v/>
      </c>
      <c r="U8" s="9" t="str">
        <f aca="false">IF(OR(NOT(ISNUMBER(P8)),Parametros!$B$14&gt;=1),"",P8/(1-Parametros!$B$14))</f>
        <v/>
      </c>
      <c r="V8" s="9" t="str">
        <f aca="false">IF(OR(NOT(ISNUMBER(P8)),Parametros!$B$14+Parametros!$B$18&gt;=1),"",P8/(1-Parametros!$B$14-Parametros!$B$18))</f>
        <v/>
      </c>
      <c r="W8" s="35" t="str">
        <f aca="false">IF(B8="","",IF(E8="","SIN RECETA",IF(NOT(ISNUMBER(P8)),"FALTAN DATOS",IF(NOT(ISNUMBER(I8)),"FALTA PRECIO",IF(S8&lt;0,"PIERDE",IF(T8&lt;Parametros!$B$18,"BAJO META","OK"))))))</f>
        <v>FALTAN DATOS</v>
      </c>
      <c r="X8" s="36" t="str">
        <f aca="false">IF(B8="","",IF(E8="","Elegir receta (molde). ",IF(ISNA(MATCH(E8,Recetas!$A$5:$A$84,0)),"La receta no existe. ",IF(IFERROR(INDEX(Recetas!$T$5:$T$84,MATCH($E8,Recetas!$A$5:$A$84,0))="Lista",FALSE()),"","Receta "&amp;E8&amp;": "&amp;INDEX(Recetas!$T$5:$T$84,MATCH($E8,Recetas!$A$5:$A$84,0)))))&amp;IF(F8="","Elegir tela. ",IF(IFERROR(INDEX(Precios!$F$5:$F$120,MATCH(F8,Precios!$A$5:$A$120,0)),"")="","Tela sin $/metro (falta rendimiento o precio). ",""))&amp;IF(AND(E8&lt;&gt;"",N(IFERROR(INDEX(Recetas!$S$5:$S$84,MATCH($E8,Recetas!$A$5:$A$84,0)),0))&gt;0,G8=""),"Elegir tela 2. ","")&amp;IF(NOT(ISNUMBER(I8)),"Precio de venta.",""))</f>
        <v>Receta 14 · FUTHOMU01PRO: Rendimiento de MESH (m/kg) en Precios. </v>
      </c>
      <c r="Y8" s="37" t="n">
        <f aca="false">IF(AND(ISNUMBER(P8),ISNUMBER(I8),ISNUMBER(D8)),P8*D8,0)</f>
        <v>0</v>
      </c>
      <c r="Z8" s="37" t="n">
        <f aca="false">IF(AND(ISNUMBER(P8),ISNUMBER(I8),ISNUMBER(D8)),I8*D8,0)</f>
        <v>0</v>
      </c>
      <c r="AA8" s="38" t="n">
        <f aca="false">IF(AND(ISNUMBER(P8),ISNUMBER(I8),ISNUMBER(D8)),D8,0)</f>
        <v>0</v>
      </c>
    </row>
    <row r="9" customFormat="false" ht="22.35" hidden="false" customHeight="false" outlineLevel="0" collapsed="false">
      <c r="A9" s="7" t="s">
        <v>124</v>
      </c>
      <c r="B9" s="7" t="s">
        <v>125</v>
      </c>
      <c r="C9" s="7" t="s">
        <v>111</v>
      </c>
      <c r="D9" s="7" t="n">
        <v>139</v>
      </c>
      <c r="E9" s="34"/>
      <c r="F9" s="34"/>
      <c r="G9" s="34"/>
      <c r="H9" s="8"/>
      <c r="I9" s="8" t="n">
        <v>17563</v>
      </c>
      <c r="J9" s="34" t="s">
        <v>113</v>
      </c>
      <c r="K9" s="10" t="s">
        <v>126</v>
      </c>
      <c r="L9" s="9" t="str">
        <f aca="false">IF(OR(B9="",E9=""),"",IFERROR(INDEX(Recetas!$R$5:$R$84,MATCH($E9,Recetas!$A$5:$A$84,0))*IFERROR(INDEX(Precios!$F$5:$F$120,MATCH(F9,Precios!$A$5:$A$120,0)),"")+IF(N(INDEX(Recetas!$S$5:$S$84,MATCH($E9,Recetas!$A$5:$A$84,0)))=0,0,INDEX(Recetas!$S$5:$S$84,MATCH($E9,Recetas!$A$5:$A$84,0))*IFERROR(INDEX(Precios!$F$5:$F$120,MATCH(G9,Precios!$A$5:$A$120,0)),"")),""))</f>
        <v/>
      </c>
      <c r="M9" s="9" t="str">
        <f aca="false">IF(OR(B9="",E9=""),"",IFERROR(N(INDEX(Recetas!$L$5:$L$84,MATCH($E9,Recetas!$A$5:$A$84,0)))*Parametros!$B$27,""))</f>
        <v/>
      </c>
      <c r="N9" s="9" t="str">
        <f aca="false">IF(OR(B9="",E9=""),"",IFERROR(INDEX(Confeccion!$B$5:$B$100,MATCH(INDEX(Recetas!$M$5:$M$84,MATCH($E9,Recetas!$A$5:$A$84,0)),Confeccion!$A$5:$A$100,0)),""))</f>
        <v/>
      </c>
      <c r="O9" s="9" t="str">
        <f aca="false">IF(OR(B9="",E9=""),"",IFERROR(N(INDEX(Recetas!$O$5:$O$84,MATCH($E9,Recetas!$A$5:$A$84,0)))*INDEX(Precios!$D$5:$D$120,MATCH(INDEX(Recetas!$N$5:$N$84,MATCH($E9,Recetas!$A$5:$A$84,0)),Precios!$A$5:$A$120,0)),0))</f>
        <v/>
      </c>
      <c r="P9" s="26" t="str">
        <f aca="false">IF(OR(B9="",E9=""),"",IF(AND(IFERROR(INDEX(Recetas!$T$5:$T$84,MATCH($E9,Recetas!$A$5:$A$84,0))="Lista",FALSE()),ISNUMBER(L9),ISNUMBER(M9),ISNUMBER(N9),N(N9)&gt;0),L9+M9+N9+N(O9)+N(H9),""))</f>
        <v/>
      </c>
      <c r="Q9" s="9" t="str">
        <f aca="false">IF(AND(ISNUMBER(P9),ISNUMBER(I9)),I9*Parametros!$B$12,"")</f>
        <v/>
      </c>
      <c r="R9" s="9" t="str">
        <f aca="false">IF(AND(ISNUMBER(P9),ISNUMBER(I9)),I9*Parametros!$B$13,"")</f>
        <v/>
      </c>
      <c r="S9" s="26" t="str">
        <f aca="false">IF(AND(ISNUMBER(P9),ISNUMBER(I9)),I9-P9-Q9-R9,"")</f>
        <v/>
      </c>
      <c r="T9" s="16" t="str">
        <f aca="false">IF(AND(ISNUMBER(P9),ISNUMBER(I9)),S9/I9,"")</f>
        <v/>
      </c>
      <c r="U9" s="9" t="str">
        <f aca="false">IF(OR(NOT(ISNUMBER(P9)),Parametros!$B$14&gt;=1),"",P9/(1-Parametros!$B$14))</f>
        <v/>
      </c>
      <c r="V9" s="9" t="str">
        <f aca="false">IF(OR(NOT(ISNUMBER(P9)),Parametros!$B$14+Parametros!$B$18&gt;=1),"",P9/(1-Parametros!$B$14-Parametros!$B$18))</f>
        <v/>
      </c>
      <c r="W9" s="35" t="str">
        <f aca="false">IF(B9="","",IF(E9="","SIN RECETA",IF(NOT(ISNUMBER(P9)),"FALTAN DATOS",IF(NOT(ISNUMBER(I9)),"FALTA PRECIO",IF(S9&lt;0,"PIERDE",IF(T9&lt;Parametros!$B$18,"BAJO META","OK"))))))</f>
        <v>SIN RECETA</v>
      </c>
      <c r="X9" s="36" t="str">
        <f aca="false">IF(B9="","",IF(E9="","Elegir receta (molde). ",IF(ISNA(MATCH(E9,Recetas!$A$5:$A$84,0)),"La receta no existe. ",IF(IFERROR(INDEX(Recetas!$T$5:$T$84,MATCH($E9,Recetas!$A$5:$A$84,0))="Lista",FALSE()),"","Receta "&amp;E9&amp;": "&amp;INDEX(Recetas!$T$5:$T$84,MATCH($E9,Recetas!$A$5:$A$84,0)))))&amp;IF(F9="","Elegir tela. ",IF(IFERROR(INDEX(Precios!$F$5:$F$120,MATCH(F9,Precios!$A$5:$A$120,0)),"")="","Tela sin $/metro (falta rendimiento o precio). ",""))&amp;IF(AND(E9&lt;&gt;"",N(IFERROR(INDEX(Recetas!$S$5:$S$84,MATCH($E9,Recetas!$A$5:$A$84,0)),0))&gt;0,G9=""),"Elegir tela 2. ","")&amp;IF(NOT(ISNUMBER(I9)),"Precio de venta.",""))</f>
        <v>Elegir receta (molde). Elegir tela. </v>
      </c>
      <c r="Y9" s="37" t="n">
        <f aca="false">IF(AND(ISNUMBER(P9),ISNUMBER(I9),ISNUMBER(D9)),P9*D9,0)</f>
        <v>0</v>
      </c>
      <c r="Z9" s="37" t="n">
        <f aca="false">IF(AND(ISNUMBER(P9),ISNUMBER(I9),ISNUMBER(D9)),I9*D9,0)</f>
        <v>0</v>
      </c>
      <c r="AA9" s="38" t="n">
        <f aca="false">IF(AND(ISNUMBER(P9),ISNUMBER(I9),ISNUMBER(D9)),D9,0)</f>
        <v>0</v>
      </c>
    </row>
    <row r="10" customFormat="false" ht="23.85" hidden="false" customHeight="false" outlineLevel="0" collapsed="false">
      <c r="A10" s="7" t="s">
        <v>127</v>
      </c>
      <c r="B10" s="7" t="s">
        <v>128</v>
      </c>
      <c r="C10" s="7" t="s">
        <v>111</v>
      </c>
      <c r="D10" s="7" t="n">
        <v>109</v>
      </c>
      <c r="E10" s="34" t="s">
        <v>120</v>
      </c>
      <c r="F10" s="34" t="s">
        <v>121</v>
      </c>
      <c r="G10" s="34" t="s">
        <v>122</v>
      </c>
      <c r="H10" s="8"/>
      <c r="I10" s="8" t="n">
        <v>18403</v>
      </c>
      <c r="J10" s="34" t="s">
        <v>113</v>
      </c>
      <c r="K10" s="10" t="s">
        <v>129</v>
      </c>
      <c r="L10" s="9" t="n">
        <f aca="false">IF(OR(B10="",E10=""),"",IFERROR(INDEX(Recetas!$R$5:$R$84,MATCH($E10,Recetas!$A$5:$A$84,0))*IFERROR(INDEX(Precios!$F$5:$F$120,MATCH(F10,Precios!$A$5:$A$120,0)),"")+IF(N(INDEX(Recetas!$S$5:$S$84,MATCH($E10,Recetas!$A$5:$A$84,0)))=0,0,INDEX(Recetas!$S$5:$S$84,MATCH($E10,Recetas!$A$5:$A$84,0))*IFERROR(INDEX(Precios!$F$5:$F$120,MATCH(G10,Precios!$A$5:$A$120,0)),"")),""))</f>
        <v>423.72</v>
      </c>
      <c r="M10" s="9" t="n">
        <f aca="false">IF(OR(B10="",E10=""),"",IFERROR(N(INDEX(Recetas!$L$5:$L$84,MATCH($E10,Recetas!$A$5:$A$84,0)))*Parametros!$B$27,""))</f>
        <v>0</v>
      </c>
      <c r="N10" s="9" t="n">
        <f aca="false">IF(OR(B10="",E10=""),"",IFERROR(INDEX(Confeccion!$B$5:$B$100,MATCH(INDEX(Recetas!$M$5:$M$84,MATCH($E10,Recetas!$A$5:$A$84,0)),Confeccion!$A$5:$A$100,0)),""))</f>
        <v>2000</v>
      </c>
      <c r="O10" s="9" t="n">
        <f aca="false">IF(OR(B10="",E10=""),"",IFERROR(N(INDEX(Recetas!$O$5:$O$84,MATCH($E10,Recetas!$A$5:$A$84,0)))*INDEX(Precios!$D$5:$D$120,MATCH(INDEX(Recetas!$N$5:$N$84,MATCH($E10,Recetas!$A$5:$A$84,0)),Precios!$A$5:$A$120,0)),0))</f>
        <v>0</v>
      </c>
      <c r="P10" s="26" t="str">
        <f aca="false">IF(OR(B10="",E10=""),"",IF(AND(IFERROR(INDEX(Recetas!$T$5:$T$84,MATCH($E10,Recetas!$A$5:$A$84,0))="Lista",FALSE()),ISNUMBER(L10),ISNUMBER(M10),ISNUMBER(N10),N(N10)&gt;0),L10+M10+N10+N(O10)+N(H10),""))</f>
        <v/>
      </c>
      <c r="Q10" s="9" t="str">
        <f aca="false">IF(AND(ISNUMBER(P10),ISNUMBER(I10)),I10*Parametros!$B$12,"")</f>
        <v/>
      </c>
      <c r="R10" s="9" t="str">
        <f aca="false">IF(AND(ISNUMBER(P10),ISNUMBER(I10)),I10*Parametros!$B$13,"")</f>
        <v/>
      </c>
      <c r="S10" s="26" t="str">
        <f aca="false">IF(AND(ISNUMBER(P10),ISNUMBER(I10)),I10-P10-Q10-R10,"")</f>
        <v/>
      </c>
      <c r="T10" s="16" t="str">
        <f aca="false">IF(AND(ISNUMBER(P10),ISNUMBER(I10)),S10/I10,"")</f>
        <v/>
      </c>
      <c r="U10" s="9" t="str">
        <f aca="false">IF(OR(NOT(ISNUMBER(P10)),Parametros!$B$14&gt;=1),"",P10/(1-Parametros!$B$14))</f>
        <v/>
      </c>
      <c r="V10" s="9" t="str">
        <f aca="false">IF(OR(NOT(ISNUMBER(P10)),Parametros!$B$14+Parametros!$B$18&gt;=1),"",P10/(1-Parametros!$B$14-Parametros!$B$18))</f>
        <v/>
      </c>
      <c r="W10" s="35" t="str">
        <f aca="false">IF(B10="","",IF(E10="","SIN RECETA",IF(NOT(ISNUMBER(P10)),"FALTAN DATOS",IF(NOT(ISNUMBER(I10)),"FALTA PRECIO",IF(S10&lt;0,"PIERDE",IF(T10&lt;Parametros!$B$18,"BAJO META","OK"))))))</f>
        <v>FALTAN DATOS</v>
      </c>
      <c r="X10" s="36" t="str">
        <f aca="false">IF(B10="","",IF(E10="","Elegir receta (molde). ",IF(ISNA(MATCH(E10,Recetas!$A$5:$A$84,0)),"La receta no existe. ",IF(IFERROR(INDEX(Recetas!$T$5:$T$84,MATCH($E10,Recetas!$A$5:$A$84,0))="Lista",FALSE()),"","Receta "&amp;E10&amp;": "&amp;INDEX(Recetas!$T$5:$T$84,MATCH($E10,Recetas!$A$5:$A$84,0)))))&amp;IF(F10="","Elegir tela. ",IF(IFERROR(INDEX(Precios!$F$5:$F$120,MATCH(F10,Precios!$A$5:$A$120,0)),"")="","Tela sin $/metro (falta rendimiento o precio). ",""))&amp;IF(AND(E10&lt;&gt;"",N(IFERROR(INDEX(Recetas!$S$5:$S$84,MATCH($E10,Recetas!$A$5:$A$84,0)),0))&gt;0,G10=""),"Elegir tela 2. ","")&amp;IF(NOT(ISNUMBER(I10)),"Precio de venta.",""))</f>
        <v>Receta 14 · FUTHOMU01PRO: Rendimiento de MESH (m/kg) en Precios. </v>
      </c>
      <c r="Y10" s="37" t="n">
        <f aca="false">IF(AND(ISNUMBER(P10),ISNUMBER(I10),ISNUMBER(D10)),P10*D10,0)</f>
        <v>0</v>
      </c>
      <c r="Z10" s="37" t="n">
        <f aca="false">IF(AND(ISNUMBER(P10),ISNUMBER(I10),ISNUMBER(D10)),I10*D10,0)</f>
        <v>0</v>
      </c>
      <c r="AA10" s="38" t="n">
        <f aca="false">IF(AND(ISNUMBER(P10),ISNUMBER(I10),ISNUMBER(D10)),D10,0)</f>
        <v>0</v>
      </c>
    </row>
    <row r="11" customFormat="false" ht="23.85" hidden="false" customHeight="false" outlineLevel="0" collapsed="false">
      <c r="A11" s="7" t="s">
        <v>130</v>
      </c>
      <c r="B11" s="7" t="s">
        <v>131</v>
      </c>
      <c r="C11" s="7" t="s">
        <v>111</v>
      </c>
      <c r="D11" s="7" t="n">
        <v>109</v>
      </c>
      <c r="E11" s="34" t="s">
        <v>132</v>
      </c>
      <c r="F11" s="34"/>
      <c r="G11" s="34"/>
      <c r="H11" s="8"/>
      <c r="I11" s="8" t="n">
        <v>16589</v>
      </c>
      <c r="J11" s="34" t="s">
        <v>113</v>
      </c>
      <c r="K11" s="10" t="s">
        <v>133</v>
      </c>
      <c r="L11" s="9" t="str">
        <f aca="false">IF(OR(B11="",E11=""),"",IFERROR(INDEX(Recetas!$R$5:$R$84,MATCH($E11,Recetas!$A$5:$A$84,0))*IFERROR(INDEX(Precios!$F$5:$F$120,MATCH(F11,Precios!$A$5:$A$120,0)),"")+IF(N(INDEX(Recetas!$S$5:$S$84,MATCH($E11,Recetas!$A$5:$A$84,0)))=0,0,INDEX(Recetas!$S$5:$S$84,MATCH($E11,Recetas!$A$5:$A$84,0))*IFERROR(INDEX(Precios!$F$5:$F$120,MATCH(G11,Precios!$A$5:$A$120,0)),"")),""))</f>
        <v/>
      </c>
      <c r="M11" s="9" t="n">
        <f aca="false">IF(OR(B11="",E11=""),"",IFERROR(N(INDEX(Recetas!$L$5:$L$84,MATCH($E11,Recetas!$A$5:$A$84,0)))*Parametros!$B$27,""))</f>
        <v>0</v>
      </c>
      <c r="N11" s="9" t="n">
        <f aca="false">IF(OR(B11="",E11=""),"",IFERROR(INDEX(Confeccion!$B$5:$B$100,MATCH(INDEX(Recetas!$M$5:$M$84,MATCH($E11,Recetas!$A$5:$A$84,0)),Confeccion!$A$5:$A$100,0)),""))</f>
        <v>2000</v>
      </c>
      <c r="O11" s="9" t="n">
        <f aca="false">IF(OR(B11="",E11=""),"",IFERROR(N(INDEX(Recetas!$O$5:$O$84,MATCH($E11,Recetas!$A$5:$A$84,0)))*INDEX(Precios!$D$5:$D$120,MATCH(INDEX(Recetas!$N$5:$N$84,MATCH($E11,Recetas!$A$5:$A$84,0)),Precios!$A$5:$A$120,0)),0))</f>
        <v>0</v>
      </c>
      <c r="P11" s="26" t="str">
        <f aca="false">IF(OR(B11="",E11=""),"",IF(AND(IFERROR(INDEX(Recetas!$T$5:$T$84,MATCH($E11,Recetas!$A$5:$A$84,0))="Lista",FALSE()),ISNUMBER(L11),ISNUMBER(M11),ISNUMBER(N11),N(N11)&gt;0),L11+M11+N11+N(O11)+N(H11),""))</f>
        <v/>
      </c>
      <c r="Q11" s="9" t="str">
        <f aca="false">IF(AND(ISNUMBER(P11),ISNUMBER(I11)),I11*Parametros!$B$12,"")</f>
        <v/>
      </c>
      <c r="R11" s="9" t="str">
        <f aca="false">IF(AND(ISNUMBER(P11),ISNUMBER(I11)),I11*Parametros!$B$13,"")</f>
        <v/>
      </c>
      <c r="S11" s="26" t="str">
        <f aca="false">IF(AND(ISNUMBER(P11),ISNUMBER(I11)),I11-P11-Q11-R11,"")</f>
        <v/>
      </c>
      <c r="T11" s="16" t="str">
        <f aca="false">IF(AND(ISNUMBER(P11),ISNUMBER(I11)),S11/I11,"")</f>
        <v/>
      </c>
      <c r="U11" s="9" t="str">
        <f aca="false">IF(OR(NOT(ISNUMBER(P11)),Parametros!$B$14&gt;=1),"",P11/(1-Parametros!$B$14))</f>
        <v/>
      </c>
      <c r="V11" s="9" t="str">
        <f aca="false">IF(OR(NOT(ISNUMBER(P11)),Parametros!$B$14+Parametros!$B$18&gt;=1),"",P11/(1-Parametros!$B$14-Parametros!$B$18))</f>
        <v/>
      </c>
      <c r="W11" s="35" t="str">
        <f aca="false">IF(B11="","",IF(E11="","SIN RECETA",IF(NOT(ISNUMBER(P11)),"FALTAN DATOS",IF(NOT(ISNUMBER(I11)),"FALTA PRECIO",IF(S11&lt;0,"PIERDE",IF(T11&lt;Parametros!$B$18,"BAJO META","OK"))))))</f>
        <v>FALTAN DATOS</v>
      </c>
      <c r="X11" s="36" t="str">
        <f aca="false">IF(B11="","",IF(E11="","Elegir receta (molde). ",IF(ISNA(MATCH(E11,Recetas!$A$5:$A$84,0)),"La receta no existe. ",IF(IFERROR(INDEX(Recetas!$T$5:$T$84,MATCH($E11,Recetas!$A$5:$A$84,0))="Lista",FALSE()),"","Receta "&amp;E11&amp;": "&amp;INDEX(Recetas!$T$5:$T$84,MATCH($E11,Recetas!$A$5:$A$84,0)))))&amp;IF(F11="","Elegir tela. ",IF(IFERROR(INDEX(Precios!$F$5:$F$120,MATCH(F11,Precios!$A$5:$A$120,0)),"")="","Tela sin $/metro (falta rendimiento o precio). ",""))&amp;IF(AND(E11&lt;&gt;"",N(IFERROR(INDEX(Recetas!$S$5:$S$84,MATCH($E11,Recetas!$A$5:$A$84,0)),0))&gt;0,G11=""),"Elegir tela 2. ","")&amp;IF(NOT(ISNUMBER(I11)),"Precio de venta.",""))</f>
        <v>Receta 06 · FUTHOMV01: Consumo de tela. Metros impresos. Elegir tela. </v>
      </c>
      <c r="Y11" s="37" t="n">
        <f aca="false">IF(AND(ISNUMBER(P11),ISNUMBER(I11),ISNUMBER(D11)),P11*D11,0)</f>
        <v>0</v>
      </c>
      <c r="Z11" s="37" t="n">
        <f aca="false">IF(AND(ISNUMBER(P11),ISNUMBER(I11),ISNUMBER(D11)),I11*D11,0)</f>
        <v>0</v>
      </c>
      <c r="AA11" s="38" t="n">
        <f aca="false">IF(AND(ISNUMBER(P11),ISNUMBER(I11),ISNUMBER(D11)),D11,0)</f>
        <v>0</v>
      </c>
    </row>
    <row r="12" customFormat="false" ht="22.35" hidden="false" customHeight="false" outlineLevel="0" collapsed="false">
      <c r="A12" s="7" t="s">
        <v>134</v>
      </c>
      <c r="B12" s="7" t="s">
        <v>135</v>
      </c>
      <c r="C12" s="7" t="s">
        <v>136</v>
      </c>
      <c r="D12" s="7" t="n">
        <v>109</v>
      </c>
      <c r="E12" s="34"/>
      <c r="F12" s="34"/>
      <c r="G12" s="34"/>
      <c r="H12" s="8"/>
      <c r="I12" s="8" t="n">
        <v>17004</v>
      </c>
      <c r="J12" s="34" t="s">
        <v>113</v>
      </c>
      <c r="K12" s="10" t="s">
        <v>126</v>
      </c>
      <c r="L12" s="9" t="str">
        <f aca="false">IF(OR(B12="",E12=""),"",IFERROR(INDEX(Recetas!$R$5:$R$84,MATCH($E12,Recetas!$A$5:$A$84,0))*IFERROR(INDEX(Precios!$F$5:$F$120,MATCH(F12,Precios!$A$5:$A$120,0)),"")+IF(N(INDEX(Recetas!$S$5:$S$84,MATCH($E12,Recetas!$A$5:$A$84,0)))=0,0,INDEX(Recetas!$S$5:$S$84,MATCH($E12,Recetas!$A$5:$A$84,0))*IFERROR(INDEX(Precios!$F$5:$F$120,MATCH(G12,Precios!$A$5:$A$120,0)),"")),""))</f>
        <v/>
      </c>
      <c r="M12" s="9" t="str">
        <f aca="false">IF(OR(B12="",E12=""),"",IFERROR(N(INDEX(Recetas!$L$5:$L$84,MATCH($E12,Recetas!$A$5:$A$84,0)))*Parametros!$B$27,""))</f>
        <v/>
      </c>
      <c r="N12" s="9" t="str">
        <f aca="false">IF(OR(B12="",E12=""),"",IFERROR(INDEX(Confeccion!$B$5:$B$100,MATCH(INDEX(Recetas!$M$5:$M$84,MATCH($E12,Recetas!$A$5:$A$84,0)),Confeccion!$A$5:$A$100,0)),""))</f>
        <v/>
      </c>
      <c r="O12" s="9" t="str">
        <f aca="false">IF(OR(B12="",E12=""),"",IFERROR(N(INDEX(Recetas!$O$5:$O$84,MATCH($E12,Recetas!$A$5:$A$84,0)))*INDEX(Precios!$D$5:$D$120,MATCH(INDEX(Recetas!$N$5:$N$84,MATCH($E12,Recetas!$A$5:$A$84,0)),Precios!$A$5:$A$120,0)),0))</f>
        <v/>
      </c>
      <c r="P12" s="26" t="str">
        <f aca="false">IF(OR(B12="",E12=""),"",IF(AND(IFERROR(INDEX(Recetas!$T$5:$T$84,MATCH($E12,Recetas!$A$5:$A$84,0))="Lista",FALSE()),ISNUMBER(L12),ISNUMBER(M12),ISNUMBER(N12),N(N12)&gt;0),L12+M12+N12+N(O12)+N(H12),""))</f>
        <v/>
      </c>
      <c r="Q12" s="9" t="str">
        <f aca="false">IF(AND(ISNUMBER(P12),ISNUMBER(I12)),I12*Parametros!$B$12,"")</f>
        <v/>
      </c>
      <c r="R12" s="9" t="str">
        <f aca="false">IF(AND(ISNUMBER(P12),ISNUMBER(I12)),I12*Parametros!$B$13,"")</f>
        <v/>
      </c>
      <c r="S12" s="26" t="str">
        <f aca="false">IF(AND(ISNUMBER(P12),ISNUMBER(I12)),I12-P12-Q12-R12,"")</f>
        <v/>
      </c>
      <c r="T12" s="16" t="str">
        <f aca="false">IF(AND(ISNUMBER(P12),ISNUMBER(I12)),S12/I12,"")</f>
        <v/>
      </c>
      <c r="U12" s="9" t="str">
        <f aca="false">IF(OR(NOT(ISNUMBER(P12)),Parametros!$B$14&gt;=1),"",P12/(1-Parametros!$B$14))</f>
        <v/>
      </c>
      <c r="V12" s="9" t="str">
        <f aca="false">IF(OR(NOT(ISNUMBER(P12)),Parametros!$B$14+Parametros!$B$18&gt;=1),"",P12/(1-Parametros!$B$14-Parametros!$B$18))</f>
        <v/>
      </c>
      <c r="W12" s="35" t="str">
        <f aca="false">IF(B12="","",IF(E12="","SIN RECETA",IF(NOT(ISNUMBER(P12)),"FALTAN DATOS",IF(NOT(ISNUMBER(I12)),"FALTA PRECIO",IF(S12&lt;0,"PIERDE",IF(T12&lt;Parametros!$B$18,"BAJO META","OK"))))))</f>
        <v>SIN RECETA</v>
      </c>
      <c r="X12" s="36" t="str">
        <f aca="false">IF(B12="","",IF(E12="","Elegir receta (molde). ",IF(ISNA(MATCH(E12,Recetas!$A$5:$A$84,0)),"La receta no existe. ",IF(IFERROR(INDEX(Recetas!$T$5:$T$84,MATCH($E12,Recetas!$A$5:$A$84,0))="Lista",FALSE()),"","Receta "&amp;E12&amp;": "&amp;INDEX(Recetas!$T$5:$T$84,MATCH($E12,Recetas!$A$5:$A$84,0)))))&amp;IF(F12="","Elegir tela. ",IF(IFERROR(INDEX(Precios!$F$5:$F$120,MATCH(F12,Precios!$A$5:$A$120,0)),"")="","Tela sin $/metro (falta rendimiento o precio). ",""))&amp;IF(AND(E12&lt;&gt;"",N(IFERROR(INDEX(Recetas!$S$5:$S$84,MATCH($E12,Recetas!$A$5:$A$84,0)),0))&gt;0,G12=""),"Elegir tela 2. ","")&amp;IF(NOT(ISNUMBER(I12)),"Precio de venta.",""))</f>
        <v>Elegir receta (molde). Elegir tela. </v>
      </c>
      <c r="Y12" s="37" t="n">
        <f aca="false">IF(AND(ISNUMBER(P12),ISNUMBER(I12),ISNUMBER(D12)),P12*D12,0)</f>
        <v>0</v>
      </c>
      <c r="Z12" s="37" t="n">
        <f aca="false">IF(AND(ISNUMBER(P12),ISNUMBER(I12),ISNUMBER(D12)),I12*D12,0)</f>
        <v>0</v>
      </c>
      <c r="AA12" s="38" t="n">
        <f aca="false">IF(AND(ISNUMBER(P12),ISNUMBER(I12),ISNUMBER(D12)),D12,0)</f>
        <v>0</v>
      </c>
    </row>
    <row r="13" customFormat="false" ht="22.35" hidden="false" customHeight="false" outlineLevel="0" collapsed="false">
      <c r="A13" s="7" t="s">
        <v>137</v>
      </c>
      <c r="B13" s="7" t="s">
        <v>138</v>
      </c>
      <c r="C13" s="7" t="s">
        <v>111</v>
      </c>
      <c r="D13" s="7" t="n">
        <v>100</v>
      </c>
      <c r="E13" s="34"/>
      <c r="F13" s="34"/>
      <c r="G13" s="34"/>
      <c r="H13" s="8"/>
      <c r="I13" s="8" t="n">
        <v>25714</v>
      </c>
      <c r="J13" s="34" t="s">
        <v>113</v>
      </c>
      <c r="K13" s="10" t="s">
        <v>126</v>
      </c>
      <c r="L13" s="9" t="str">
        <f aca="false">IF(OR(B13="",E13=""),"",IFERROR(INDEX(Recetas!$R$5:$R$84,MATCH($E13,Recetas!$A$5:$A$84,0))*IFERROR(INDEX(Precios!$F$5:$F$120,MATCH(F13,Precios!$A$5:$A$120,0)),"")+IF(N(INDEX(Recetas!$S$5:$S$84,MATCH($E13,Recetas!$A$5:$A$84,0)))=0,0,INDEX(Recetas!$S$5:$S$84,MATCH($E13,Recetas!$A$5:$A$84,0))*IFERROR(INDEX(Precios!$F$5:$F$120,MATCH(G13,Precios!$A$5:$A$120,0)),"")),""))</f>
        <v/>
      </c>
      <c r="M13" s="9" t="str">
        <f aca="false">IF(OR(B13="",E13=""),"",IFERROR(N(INDEX(Recetas!$L$5:$L$84,MATCH($E13,Recetas!$A$5:$A$84,0)))*Parametros!$B$27,""))</f>
        <v/>
      </c>
      <c r="N13" s="9" t="str">
        <f aca="false">IF(OR(B13="",E13=""),"",IFERROR(INDEX(Confeccion!$B$5:$B$100,MATCH(INDEX(Recetas!$M$5:$M$84,MATCH($E13,Recetas!$A$5:$A$84,0)),Confeccion!$A$5:$A$100,0)),""))</f>
        <v/>
      </c>
      <c r="O13" s="9" t="str">
        <f aca="false">IF(OR(B13="",E13=""),"",IFERROR(N(INDEX(Recetas!$O$5:$O$84,MATCH($E13,Recetas!$A$5:$A$84,0)))*INDEX(Precios!$D$5:$D$120,MATCH(INDEX(Recetas!$N$5:$N$84,MATCH($E13,Recetas!$A$5:$A$84,0)),Precios!$A$5:$A$120,0)),0))</f>
        <v/>
      </c>
      <c r="P13" s="26" t="str">
        <f aca="false">IF(OR(B13="",E13=""),"",IF(AND(IFERROR(INDEX(Recetas!$T$5:$T$84,MATCH($E13,Recetas!$A$5:$A$84,0))="Lista",FALSE()),ISNUMBER(L13),ISNUMBER(M13),ISNUMBER(N13),N(N13)&gt;0),L13+M13+N13+N(O13)+N(H13),""))</f>
        <v/>
      </c>
      <c r="Q13" s="9" t="str">
        <f aca="false">IF(AND(ISNUMBER(P13),ISNUMBER(I13)),I13*Parametros!$B$12,"")</f>
        <v/>
      </c>
      <c r="R13" s="9" t="str">
        <f aca="false">IF(AND(ISNUMBER(P13),ISNUMBER(I13)),I13*Parametros!$B$13,"")</f>
        <v/>
      </c>
      <c r="S13" s="26" t="str">
        <f aca="false">IF(AND(ISNUMBER(P13),ISNUMBER(I13)),I13-P13-Q13-R13,"")</f>
        <v/>
      </c>
      <c r="T13" s="16" t="str">
        <f aca="false">IF(AND(ISNUMBER(P13),ISNUMBER(I13)),S13/I13,"")</f>
        <v/>
      </c>
      <c r="U13" s="9" t="str">
        <f aca="false">IF(OR(NOT(ISNUMBER(P13)),Parametros!$B$14&gt;=1),"",P13/(1-Parametros!$B$14))</f>
        <v/>
      </c>
      <c r="V13" s="9" t="str">
        <f aca="false">IF(OR(NOT(ISNUMBER(P13)),Parametros!$B$14+Parametros!$B$18&gt;=1),"",P13/(1-Parametros!$B$14-Parametros!$B$18))</f>
        <v/>
      </c>
      <c r="W13" s="35" t="str">
        <f aca="false">IF(B13="","",IF(E13="","SIN RECETA",IF(NOT(ISNUMBER(P13)),"FALTAN DATOS",IF(NOT(ISNUMBER(I13)),"FALTA PRECIO",IF(S13&lt;0,"PIERDE",IF(T13&lt;Parametros!$B$18,"BAJO META","OK"))))))</f>
        <v>SIN RECETA</v>
      </c>
      <c r="X13" s="36" t="str">
        <f aca="false">IF(B13="","",IF(E13="","Elegir receta (molde). ",IF(ISNA(MATCH(E13,Recetas!$A$5:$A$84,0)),"La receta no existe. ",IF(IFERROR(INDEX(Recetas!$T$5:$T$84,MATCH($E13,Recetas!$A$5:$A$84,0))="Lista",FALSE()),"","Receta "&amp;E13&amp;": "&amp;INDEX(Recetas!$T$5:$T$84,MATCH($E13,Recetas!$A$5:$A$84,0)))))&amp;IF(F13="","Elegir tela. ",IF(IFERROR(INDEX(Precios!$F$5:$F$120,MATCH(F13,Precios!$A$5:$A$120,0)),"")="","Tela sin $/metro (falta rendimiento o precio). ",""))&amp;IF(AND(E13&lt;&gt;"",N(IFERROR(INDEX(Recetas!$S$5:$S$84,MATCH($E13,Recetas!$A$5:$A$84,0)),0))&gt;0,G13=""),"Elegir tela 2. ","")&amp;IF(NOT(ISNUMBER(I13)),"Precio de venta.",""))</f>
        <v>Elegir receta (molde). Elegir tela. </v>
      </c>
      <c r="Y13" s="37" t="n">
        <f aca="false">IF(AND(ISNUMBER(P13),ISNUMBER(I13),ISNUMBER(D13)),P13*D13,0)</f>
        <v>0</v>
      </c>
      <c r="Z13" s="37" t="n">
        <f aca="false">IF(AND(ISNUMBER(P13),ISNUMBER(I13),ISNUMBER(D13)),I13*D13,0)</f>
        <v>0</v>
      </c>
      <c r="AA13" s="38" t="n">
        <f aca="false">IF(AND(ISNUMBER(P13),ISNUMBER(I13),ISNUMBER(D13)),D13,0)</f>
        <v>0</v>
      </c>
    </row>
    <row r="14" customFormat="false" ht="22.35" hidden="false" customHeight="false" outlineLevel="0" collapsed="false">
      <c r="A14" s="7" t="s">
        <v>139</v>
      </c>
      <c r="B14" s="7" t="s">
        <v>140</v>
      </c>
      <c r="C14" s="7" t="s">
        <v>136</v>
      </c>
      <c r="D14" s="7" t="n">
        <v>99</v>
      </c>
      <c r="E14" s="34"/>
      <c r="F14" s="34"/>
      <c r="G14" s="34"/>
      <c r="H14" s="8"/>
      <c r="I14" s="8" t="n">
        <v>18729</v>
      </c>
      <c r="J14" s="34" t="s">
        <v>113</v>
      </c>
      <c r="K14" s="10" t="s">
        <v>126</v>
      </c>
      <c r="L14" s="9" t="str">
        <f aca="false">IF(OR(B14="",E14=""),"",IFERROR(INDEX(Recetas!$R$5:$R$84,MATCH($E14,Recetas!$A$5:$A$84,0))*IFERROR(INDEX(Precios!$F$5:$F$120,MATCH(F14,Precios!$A$5:$A$120,0)),"")+IF(N(INDEX(Recetas!$S$5:$S$84,MATCH($E14,Recetas!$A$5:$A$84,0)))=0,0,INDEX(Recetas!$S$5:$S$84,MATCH($E14,Recetas!$A$5:$A$84,0))*IFERROR(INDEX(Precios!$F$5:$F$120,MATCH(G14,Precios!$A$5:$A$120,0)),"")),""))</f>
        <v/>
      </c>
      <c r="M14" s="9" t="str">
        <f aca="false">IF(OR(B14="",E14=""),"",IFERROR(N(INDEX(Recetas!$L$5:$L$84,MATCH($E14,Recetas!$A$5:$A$84,0)))*Parametros!$B$27,""))</f>
        <v/>
      </c>
      <c r="N14" s="9" t="str">
        <f aca="false">IF(OR(B14="",E14=""),"",IFERROR(INDEX(Confeccion!$B$5:$B$100,MATCH(INDEX(Recetas!$M$5:$M$84,MATCH($E14,Recetas!$A$5:$A$84,0)),Confeccion!$A$5:$A$100,0)),""))</f>
        <v/>
      </c>
      <c r="O14" s="9" t="str">
        <f aca="false">IF(OR(B14="",E14=""),"",IFERROR(N(INDEX(Recetas!$O$5:$O$84,MATCH($E14,Recetas!$A$5:$A$84,0)))*INDEX(Precios!$D$5:$D$120,MATCH(INDEX(Recetas!$N$5:$N$84,MATCH($E14,Recetas!$A$5:$A$84,0)),Precios!$A$5:$A$120,0)),0))</f>
        <v/>
      </c>
      <c r="P14" s="26" t="str">
        <f aca="false">IF(OR(B14="",E14=""),"",IF(AND(IFERROR(INDEX(Recetas!$T$5:$T$84,MATCH($E14,Recetas!$A$5:$A$84,0))="Lista",FALSE()),ISNUMBER(L14),ISNUMBER(M14),ISNUMBER(N14),N(N14)&gt;0),L14+M14+N14+N(O14)+N(H14),""))</f>
        <v/>
      </c>
      <c r="Q14" s="9" t="str">
        <f aca="false">IF(AND(ISNUMBER(P14),ISNUMBER(I14)),I14*Parametros!$B$12,"")</f>
        <v/>
      </c>
      <c r="R14" s="9" t="str">
        <f aca="false">IF(AND(ISNUMBER(P14),ISNUMBER(I14)),I14*Parametros!$B$13,"")</f>
        <v/>
      </c>
      <c r="S14" s="26" t="str">
        <f aca="false">IF(AND(ISNUMBER(P14),ISNUMBER(I14)),I14-P14-Q14-R14,"")</f>
        <v/>
      </c>
      <c r="T14" s="16" t="str">
        <f aca="false">IF(AND(ISNUMBER(P14),ISNUMBER(I14)),S14/I14,"")</f>
        <v/>
      </c>
      <c r="U14" s="9" t="str">
        <f aca="false">IF(OR(NOT(ISNUMBER(P14)),Parametros!$B$14&gt;=1),"",P14/(1-Parametros!$B$14))</f>
        <v/>
      </c>
      <c r="V14" s="9" t="str">
        <f aca="false">IF(OR(NOT(ISNUMBER(P14)),Parametros!$B$14+Parametros!$B$18&gt;=1),"",P14/(1-Parametros!$B$14-Parametros!$B$18))</f>
        <v/>
      </c>
      <c r="W14" s="35" t="str">
        <f aca="false">IF(B14="","",IF(E14="","SIN RECETA",IF(NOT(ISNUMBER(P14)),"FALTAN DATOS",IF(NOT(ISNUMBER(I14)),"FALTA PRECIO",IF(S14&lt;0,"PIERDE",IF(T14&lt;Parametros!$B$18,"BAJO META","OK"))))))</f>
        <v>SIN RECETA</v>
      </c>
      <c r="X14" s="36" t="str">
        <f aca="false">IF(B14="","",IF(E14="","Elegir receta (molde). ",IF(ISNA(MATCH(E14,Recetas!$A$5:$A$84,0)),"La receta no existe. ",IF(IFERROR(INDEX(Recetas!$T$5:$T$84,MATCH($E14,Recetas!$A$5:$A$84,0))="Lista",FALSE()),"","Receta "&amp;E14&amp;": "&amp;INDEX(Recetas!$T$5:$T$84,MATCH($E14,Recetas!$A$5:$A$84,0)))))&amp;IF(F14="","Elegir tela. ",IF(IFERROR(INDEX(Precios!$F$5:$F$120,MATCH(F14,Precios!$A$5:$A$120,0)),"")="","Tela sin $/metro (falta rendimiento o precio). ",""))&amp;IF(AND(E14&lt;&gt;"",N(IFERROR(INDEX(Recetas!$S$5:$S$84,MATCH($E14,Recetas!$A$5:$A$84,0)),0))&gt;0,G14=""),"Elegir tela 2. ","")&amp;IF(NOT(ISNUMBER(I14)),"Precio de venta.",""))</f>
        <v>Elegir receta (molde). Elegir tela. </v>
      </c>
      <c r="Y14" s="37" t="n">
        <f aca="false">IF(AND(ISNUMBER(P14),ISNUMBER(I14),ISNUMBER(D14)),P14*D14,0)</f>
        <v>0</v>
      </c>
      <c r="Z14" s="37" t="n">
        <f aca="false">IF(AND(ISNUMBER(P14),ISNUMBER(I14),ISNUMBER(D14)),I14*D14,0)</f>
        <v>0</v>
      </c>
      <c r="AA14" s="38" t="n">
        <f aca="false">IF(AND(ISNUMBER(P14),ISNUMBER(I14),ISNUMBER(D14)),D14,0)</f>
        <v>0</v>
      </c>
    </row>
    <row r="15" customFormat="false" ht="22.35" hidden="false" customHeight="false" outlineLevel="0" collapsed="false">
      <c r="A15" s="7" t="s">
        <v>141</v>
      </c>
      <c r="B15" s="7" t="s">
        <v>142</v>
      </c>
      <c r="C15" s="7" t="s">
        <v>111</v>
      </c>
      <c r="D15" s="7" t="n">
        <v>96</v>
      </c>
      <c r="E15" s="34"/>
      <c r="F15" s="34"/>
      <c r="G15" s="34"/>
      <c r="H15" s="8"/>
      <c r="I15" s="8" t="n">
        <v>15588</v>
      </c>
      <c r="J15" s="34" t="s">
        <v>113</v>
      </c>
      <c r="K15" s="10" t="s">
        <v>126</v>
      </c>
      <c r="L15" s="9" t="str">
        <f aca="false">IF(OR(B15="",E15=""),"",IFERROR(INDEX(Recetas!$R$5:$R$84,MATCH($E15,Recetas!$A$5:$A$84,0))*IFERROR(INDEX(Precios!$F$5:$F$120,MATCH(F15,Precios!$A$5:$A$120,0)),"")+IF(N(INDEX(Recetas!$S$5:$S$84,MATCH($E15,Recetas!$A$5:$A$84,0)))=0,0,INDEX(Recetas!$S$5:$S$84,MATCH($E15,Recetas!$A$5:$A$84,0))*IFERROR(INDEX(Precios!$F$5:$F$120,MATCH(G15,Precios!$A$5:$A$120,0)),"")),""))</f>
        <v/>
      </c>
      <c r="M15" s="9" t="str">
        <f aca="false">IF(OR(B15="",E15=""),"",IFERROR(N(INDEX(Recetas!$L$5:$L$84,MATCH($E15,Recetas!$A$5:$A$84,0)))*Parametros!$B$27,""))</f>
        <v/>
      </c>
      <c r="N15" s="9" t="str">
        <f aca="false">IF(OR(B15="",E15=""),"",IFERROR(INDEX(Confeccion!$B$5:$B$100,MATCH(INDEX(Recetas!$M$5:$M$84,MATCH($E15,Recetas!$A$5:$A$84,0)),Confeccion!$A$5:$A$100,0)),""))</f>
        <v/>
      </c>
      <c r="O15" s="9" t="str">
        <f aca="false">IF(OR(B15="",E15=""),"",IFERROR(N(INDEX(Recetas!$O$5:$O$84,MATCH($E15,Recetas!$A$5:$A$84,0)))*INDEX(Precios!$D$5:$D$120,MATCH(INDEX(Recetas!$N$5:$N$84,MATCH($E15,Recetas!$A$5:$A$84,0)),Precios!$A$5:$A$120,0)),0))</f>
        <v/>
      </c>
      <c r="P15" s="26" t="str">
        <f aca="false">IF(OR(B15="",E15=""),"",IF(AND(IFERROR(INDEX(Recetas!$T$5:$T$84,MATCH($E15,Recetas!$A$5:$A$84,0))="Lista",FALSE()),ISNUMBER(L15),ISNUMBER(M15),ISNUMBER(N15),N(N15)&gt;0),L15+M15+N15+N(O15)+N(H15),""))</f>
        <v/>
      </c>
      <c r="Q15" s="9" t="str">
        <f aca="false">IF(AND(ISNUMBER(P15),ISNUMBER(I15)),I15*Parametros!$B$12,"")</f>
        <v/>
      </c>
      <c r="R15" s="9" t="str">
        <f aca="false">IF(AND(ISNUMBER(P15),ISNUMBER(I15)),I15*Parametros!$B$13,"")</f>
        <v/>
      </c>
      <c r="S15" s="26" t="str">
        <f aca="false">IF(AND(ISNUMBER(P15),ISNUMBER(I15)),I15-P15-Q15-R15,"")</f>
        <v/>
      </c>
      <c r="T15" s="16" t="str">
        <f aca="false">IF(AND(ISNUMBER(P15),ISNUMBER(I15)),S15/I15,"")</f>
        <v/>
      </c>
      <c r="U15" s="9" t="str">
        <f aca="false">IF(OR(NOT(ISNUMBER(P15)),Parametros!$B$14&gt;=1),"",P15/(1-Parametros!$B$14))</f>
        <v/>
      </c>
      <c r="V15" s="9" t="str">
        <f aca="false">IF(OR(NOT(ISNUMBER(P15)),Parametros!$B$14+Parametros!$B$18&gt;=1),"",P15/(1-Parametros!$B$14-Parametros!$B$18))</f>
        <v/>
      </c>
      <c r="W15" s="35" t="str">
        <f aca="false">IF(B15="","",IF(E15="","SIN RECETA",IF(NOT(ISNUMBER(P15)),"FALTAN DATOS",IF(NOT(ISNUMBER(I15)),"FALTA PRECIO",IF(S15&lt;0,"PIERDE",IF(T15&lt;Parametros!$B$18,"BAJO META","OK"))))))</f>
        <v>SIN RECETA</v>
      </c>
      <c r="X15" s="36" t="str">
        <f aca="false">IF(B15="","",IF(E15="","Elegir receta (molde). ",IF(ISNA(MATCH(E15,Recetas!$A$5:$A$84,0)),"La receta no existe. ",IF(IFERROR(INDEX(Recetas!$T$5:$T$84,MATCH($E15,Recetas!$A$5:$A$84,0))="Lista",FALSE()),"","Receta "&amp;E15&amp;": "&amp;INDEX(Recetas!$T$5:$T$84,MATCH($E15,Recetas!$A$5:$A$84,0)))))&amp;IF(F15="","Elegir tela. ",IF(IFERROR(INDEX(Precios!$F$5:$F$120,MATCH(F15,Precios!$A$5:$A$120,0)),"")="","Tela sin $/metro (falta rendimiento o precio). ",""))&amp;IF(AND(E15&lt;&gt;"",N(IFERROR(INDEX(Recetas!$S$5:$S$84,MATCH($E15,Recetas!$A$5:$A$84,0)),0))&gt;0,G15=""),"Elegir tela 2. ","")&amp;IF(NOT(ISNUMBER(I15)),"Precio de venta.",""))</f>
        <v>Elegir receta (molde). Elegir tela. </v>
      </c>
      <c r="Y15" s="37" t="n">
        <f aca="false">IF(AND(ISNUMBER(P15),ISNUMBER(I15),ISNUMBER(D15)),P15*D15,0)</f>
        <v>0</v>
      </c>
      <c r="Z15" s="37" t="n">
        <f aca="false">IF(AND(ISNUMBER(P15),ISNUMBER(I15),ISNUMBER(D15)),I15*D15,0)</f>
        <v>0</v>
      </c>
      <c r="AA15" s="38" t="n">
        <f aca="false">IF(AND(ISNUMBER(P15),ISNUMBER(I15),ISNUMBER(D15)),D15,0)</f>
        <v>0</v>
      </c>
    </row>
    <row r="16" customFormat="false" ht="22.35" hidden="false" customHeight="false" outlineLevel="0" collapsed="false">
      <c r="A16" s="7" t="s">
        <v>143</v>
      </c>
      <c r="B16" s="7" t="s">
        <v>144</v>
      </c>
      <c r="C16" s="7" t="s">
        <v>111</v>
      </c>
      <c r="D16" s="7" t="n">
        <v>93</v>
      </c>
      <c r="E16" s="34"/>
      <c r="F16" s="34"/>
      <c r="G16" s="34"/>
      <c r="H16" s="8"/>
      <c r="I16" s="8" t="n">
        <v>21765</v>
      </c>
      <c r="J16" s="34" t="s">
        <v>113</v>
      </c>
      <c r="K16" s="10" t="s">
        <v>126</v>
      </c>
      <c r="L16" s="9" t="str">
        <f aca="false">IF(OR(B16="",E16=""),"",IFERROR(INDEX(Recetas!$R$5:$R$84,MATCH($E16,Recetas!$A$5:$A$84,0))*IFERROR(INDEX(Precios!$F$5:$F$120,MATCH(F16,Precios!$A$5:$A$120,0)),"")+IF(N(INDEX(Recetas!$S$5:$S$84,MATCH($E16,Recetas!$A$5:$A$84,0)))=0,0,INDEX(Recetas!$S$5:$S$84,MATCH($E16,Recetas!$A$5:$A$84,0))*IFERROR(INDEX(Precios!$F$5:$F$120,MATCH(G16,Precios!$A$5:$A$120,0)),"")),""))</f>
        <v/>
      </c>
      <c r="M16" s="9" t="str">
        <f aca="false">IF(OR(B16="",E16=""),"",IFERROR(N(INDEX(Recetas!$L$5:$L$84,MATCH($E16,Recetas!$A$5:$A$84,0)))*Parametros!$B$27,""))</f>
        <v/>
      </c>
      <c r="N16" s="9" t="str">
        <f aca="false">IF(OR(B16="",E16=""),"",IFERROR(INDEX(Confeccion!$B$5:$B$100,MATCH(INDEX(Recetas!$M$5:$M$84,MATCH($E16,Recetas!$A$5:$A$84,0)),Confeccion!$A$5:$A$100,0)),""))</f>
        <v/>
      </c>
      <c r="O16" s="9" t="str">
        <f aca="false">IF(OR(B16="",E16=""),"",IFERROR(N(INDEX(Recetas!$O$5:$O$84,MATCH($E16,Recetas!$A$5:$A$84,0)))*INDEX(Precios!$D$5:$D$120,MATCH(INDEX(Recetas!$N$5:$N$84,MATCH($E16,Recetas!$A$5:$A$84,0)),Precios!$A$5:$A$120,0)),0))</f>
        <v/>
      </c>
      <c r="P16" s="26" t="str">
        <f aca="false">IF(OR(B16="",E16=""),"",IF(AND(IFERROR(INDEX(Recetas!$T$5:$T$84,MATCH($E16,Recetas!$A$5:$A$84,0))="Lista",FALSE()),ISNUMBER(L16),ISNUMBER(M16),ISNUMBER(N16),N(N16)&gt;0),L16+M16+N16+N(O16)+N(H16),""))</f>
        <v/>
      </c>
      <c r="Q16" s="9" t="str">
        <f aca="false">IF(AND(ISNUMBER(P16),ISNUMBER(I16)),I16*Parametros!$B$12,"")</f>
        <v/>
      </c>
      <c r="R16" s="9" t="str">
        <f aca="false">IF(AND(ISNUMBER(P16),ISNUMBER(I16)),I16*Parametros!$B$13,"")</f>
        <v/>
      </c>
      <c r="S16" s="26" t="str">
        <f aca="false">IF(AND(ISNUMBER(P16),ISNUMBER(I16)),I16-P16-Q16-R16,"")</f>
        <v/>
      </c>
      <c r="T16" s="16" t="str">
        <f aca="false">IF(AND(ISNUMBER(P16),ISNUMBER(I16)),S16/I16,"")</f>
        <v/>
      </c>
      <c r="U16" s="9" t="str">
        <f aca="false">IF(OR(NOT(ISNUMBER(P16)),Parametros!$B$14&gt;=1),"",P16/(1-Parametros!$B$14))</f>
        <v/>
      </c>
      <c r="V16" s="9" t="str">
        <f aca="false">IF(OR(NOT(ISNUMBER(P16)),Parametros!$B$14+Parametros!$B$18&gt;=1),"",P16/(1-Parametros!$B$14-Parametros!$B$18))</f>
        <v/>
      </c>
      <c r="W16" s="35" t="str">
        <f aca="false">IF(B16="","",IF(E16="","SIN RECETA",IF(NOT(ISNUMBER(P16)),"FALTAN DATOS",IF(NOT(ISNUMBER(I16)),"FALTA PRECIO",IF(S16&lt;0,"PIERDE",IF(T16&lt;Parametros!$B$18,"BAJO META","OK"))))))</f>
        <v>SIN RECETA</v>
      </c>
      <c r="X16" s="36" t="str">
        <f aca="false">IF(B16="","",IF(E16="","Elegir receta (molde). ",IF(ISNA(MATCH(E16,Recetas!$A$5:$A$84,0)),"La receta no existe. ",IF(IFERROR(INDEX(Recetas!$T$5:$T$84,MATCH($E16,Recetas!$A$5:$A$84,0))="Lista",FALSE()),"","Receta "&amp;E16&amp;": "&amp;INDEX(Recetas!$T$5:$T$84,MATCH($E16,Recetas!$A$5:$A$84,0)))))&amp;IF(F16="","Elegir tela. ",IF(IFERROR(INDEX(Precios!$F$5:$F$120,MATCH(F16,Precios!$A$5:$A$120,0)),"")="","Tela sin $/metro (falta rendimiento o precio). ",""))&amp;IF(AND(E16&lt;&gt;"",N(IFERROR(INDEX(Recetas!$S$5:$S$84,MATCH($E16,Recetas!$A$5:$A$84,0)),0))&gt;0,G16=""),"Elegir tela 2. ","")&amp;IF(NOT(ISNUMBER(I16)),"Precio de venta.",""))</f>
        <v>Elegir receta (molde). Elegir tela. </v>
      </c>
      <c r="Y16" s="37" t="n">
        <f aca="false">IF(AND(ISNUMBER(P16),ISNUMBER(I16),ISNUMBER(D16)),P16*D16,0)</f>
        <v>0</v>
      </c>
      <c r="Z16" s="37" t="n">
        <f aca="false">IF(AND(ISNUMBER(P16),ISNUMBER(I16),ISNUMBER(D16)),I16*D16,0)</f>
        <v>0</v>
      </c>
      <c r="AA16" s="38" t="n">
        <f aca="false">IF(AND(ISNUMBER(P16),ISNUMBER(I16),ISNUMBER(D16)),D16,0)</f>
        <v>0</v>
      </c>
    </row>
    <row r="17" customFormat="false" ht="22.35" hidden="false" customHeight="false" outlineLevel="0" collapsed="false">
      <c r="A17" s="7" t="s">
        <v>145</v>
      </c>
      <c r="B17" s="7" t="s">
        <v>146</v>
      </c>
      <c r="C17" s="7" t="s">
        <v>136</v>
      </c>
      <c r="D17" s="7" t="n">
        <v>76</v>
      </c>
      <c r="E17" s="34"/>
      <c r="F17" s="34"/>
      <c r="G17" s="34"/>
      <c r="H17" s="8"/>
      <c r="I17" s="8" t="n">
        <v>44010</v>
      </c>
      <c r="J17" s="34" t="s">
        <v>113</v>
      </c>
      <c r="K17" s="10" t="s">
        <v>126</v>
      </c>
      <c r="L17" s="9" t="str">
        <f aca="false">IF(OR(B17="",E17=""),"",IFERROR(INDEX(Recetas!$R$5:$R$84,MATCH($E17,Recetas!$A$5:$A$84,0))*IFERROR(INDEX(Precios!$F$5:$F$120,MATCH(F17,Precios!$A$5:$A$120,0)),"")+IF(N(INDEX(Recetas!$S$5:$S$84,MATCH($E17,Recetas!$A$5:$A$84,0)))=0,0,INDEX(Recetas!$S$5:$S$84,MATCH($E17,Recetas!$A$5:$A$84,0))*IFERROR(INDEX(Precios!$F$5:$F$120,MATCH(G17,Precios!$A$5:$A$120,0)),"")),""))</f>
        <v/>
      </c>
      <c r="M17" s="9" t="str">
        <f aca="false">IF(OR(B17="",E17=""),"",IFERROR(N(INDEX(Recetas!$L$5:$L$84,MATCH($E17,Recetas!$A$5:$A$84,0)))*Parametros!$B$27,""))</f>
        <v/>
      </c>
      <c r="N17" s="9" t="str">
        <f aca="false">IF(OR(B17="",E17=""),"",IFERROR(INDEX(Confeccion!$B$5:$B$100,MATCH(INDEX(Recetas!$M$5:$M$84,MATCH($E17,Recetas!$A$5:$A$84,0)),Confeccion!$A$5:$A$100,0)),""))</f>
        <v/>
      </c>
      <c r="O17" s="9" t="str">
        <f aca="false">IF(OR(B17="",E17=""),"",IFERROR(N(INDEX(Recetas!$O$5:$O$84,MATCH($E17,Recetas!$A$5:$A$84,0)))*INDEX(Precios!$D$5:$D$120,MATCH(INDEX(Recetas!$N$5:$N$84,MATCH($E17,Recetas!$A$5:$A$84,0)),Precios!$A$5:$A$120,0)),0))</f>
        <v/>
      </c>
      <c r="P17" s="26" t="str">
        <f aca="false">IF(OR(B17="",E17=""),"",IF(AND(IFERROR(INDEX(Recetas!$T$5:$T$84,MATCH($E17,Recetas!$A$5:$A$84,0))="Lista",FALSE()),ISNUMBER(L17),ISNUMBER(M17),ISNUMBER(N17),N(N17)&gt;0),L17+M17+N17+N(O17)+N(H17),""))</f>
        <v/>
      </c>
      <c r="Q17" s="9" t="str">
        <f aca="false">IF(AND(ISNUMBER(P17),ISNUMBER(I17)),I17*Parametros!$B$12,"")</f>
        <v/>
      </c>
      <c r="R17" s="9" t="str">
        <f aca="false">IF(AND(ISNUMBER(P17),ISNUMBER(I17)),I17*Parametros!$B$13,"")</f>
        <v/>
      </c>
      <c r="S17" s="26" t="str">
        <f aca="false">IF(AND(ISNUMBER(P17),ISNUMBER(I17)),I17-P17-Q17-R17,"")</f>
        <v/>
      </c>
      <c r="T17" s="16" t="str">
        <f aca="false">IF(AND(ISNUMBER(P17),ISNUMBER(I17)),S17/I17,"")</f>
        <v/>
      </c>
      <c r="U17" s="9" t="str">
        <f aca="false">IF(OR(NOT(ISNUMBER(P17)),Parametros!$B$14&gt;=1),"",P17/(1-Parametros!$B$14))</f>
        <v/>
      </c>
      <c r="V17" s="9" t="str">
        <f aca="false">IF(OR(NOT(ISNUMBER(P17)),Parametros!$B$14+Parametros!$B$18&gt;=1),"",P17/(1-Parametros!$B$14-Parametros!$B$18))</f>
        <v/>
      </c>
      <c r="W17" s="35" t="str">
        <f aca="false">IF(B17="","",IF(E17="","SIN RECETA",IF(NOT(ISNUMBER(P17)),"FALTAN DATOS",IF(NOT(ISNUMBER(I17)),"FALTA PRECIO",IF(S17&lt;0,"PIERDE",IF(T17&lt;Parametros!$B$18,"BAJO META","OK"))))))</f>
        <v>SIN RECETA</v>
      </c>
      <c r="X17" s="36" t="str">
        <f aca="false">IF(B17="","",IF(E17="","Elegir receta (molde). ",IF(ISNA(MATCH(E17,Recetas!$A$5:$A$84,0)),"La receta no existe. ",IF(IFERROR(INDEX(Recetas!$T$5:$T$84,MATCH($E17,Recetas!$A$5:$A$84,0))="Lista",FALSE()),"","Receta "&amp;E17&amp;": "&amp;INDEX(Recetas!$T$5:$T$84,MATCH($E17,Recetas!$A$5:$A$84,0)))))&amp;IF(F17="","Elegir tela. ",IF(IFERROR(INDEX(Precios!$F$5:$F$120,MATCH(F17,Precios!$A$5:$A$120,0)),"")="","Tela sin $/metro (falta rendimiento o precio). ",""))&amp;IF(AND(E17&lt;&gt;"",N(IFERROR(INDEX(Recetas!$S$5:$S$84,MATCH($E17,Recetas!$A$5:$A$84,0)),0))&gt;0,G17=""),"Elegir tela 2. ","")&amp;IF(NOT(ISNUMBER(I17)),"Precio de venta.",""))</f>
        <v>Elegir receta (molde). Elegir tela. </v>
      </c>
      <c r="Y17" s="37" t="n">
        <f aca="false">IF(AND(ISNUMBER(P17),ISNUMBER(I17),ISNUMBER(D17)),P17*D17,0)</f>
        <v>0</v>
      </c>
      <c r="Z17" s="37" t="n">
        <f aca="false">IF(AND(ISNUMBER(P17),ISNUMBER(I17),ISNUMBER(D17)),I17*D17,0)</f>
        <v>0</v>
      </c>
      <c r="AA17" s="38" t="n">
        <f aca="false">IF(AND(ISNUMBER(P17),ISNUMBER(I17),ISNUMBER(D17)),D17,0)</f>
        <v>0</v>
      </c>
    </row>
    <row r="18" customFormat="false" ht="22.35" hidden="false" customHeight="false" outlineLevel="0" collapsed="false">
      <c r="A18" s="7" t="s">
        <v>147</v>
      </c>
      <c r="B18" s="7" t="s">
        <v>148</v>
      </c>
      <c r="C18" s="7" t="s">
        <v>111</v>
      </c>
      <c r="D18" s="7" t="n">
        <v>66</v>
      </c>
      <c r="E18" s="34"/>
      <c r="F18" s="34"/>
      <c r="G18" s="34"/>
      <c r="H18" s="8"/>
      <c r="I18" s="8" t="n">
        <v>21554</v>
      </c>
      <c r="J18" s="34" t="s">
        <v>113</v>
      </c>
      <c r="K18" s="10" t="s">
        <v>126</v>
      </c>
      <c r="L18" s="9" t="str">
        <f aca="false">IF(OR(B18="",E18=""),"",IFERROR(INDEX(Recetas!$R$5:$R$84,MATCH($E18,Recetas!$A$5:$A$84,0))*IFERROR(INDEX(Precios!$F$5:$F$120,MATCH(F18,Precios!$A$5:$A$120,0)),"")+IF(N(INDEX(Recetas!$S$5:$S$84,MATCH($E18,Recetas!$A$5:$A$84,0)))=0,0,INDEX(Recetas!$S$5:$S$84,MATCH($E18,Recetas!$A$5:$A$84,0))*IFERROR(INDEX(Precios!$F$5:$F$120,MATCH(G18,Precios!$A$5:$A$120,0)),"")),""))</f>
        <v/>
      </c>
      <c r="M18" s="9" t="str">
        <f aca="false">IF(OR(B18="",E18=""),"",IFERROR(N(INDEX(Recetas!$L$5:$L$84,MATCH($E18,Recetas!$A$5:$A$84,0)))*Parametros!$B$27,""))</f>
        <v/>
      </c>
      <c r="N18" s="9" t="str">
        <f aca="false">IF(OR(B18="",E18=""),"",IFERROR(INDEX(Confeccion!$B$5:$B$100,MATCH(INDEX(Recetas!$M$5:$M$84,MATCH($E18,Recetas!$A$5:$A$84,0)),Confeccion!$A$5:$A$100,0)),""))</f>
        <v/>
      </c>
      <c r="O18" s="9" t="str">
        <f aca="false">IF(OR(B18="",E18=""),"",IFERROR(N(INDEX(Recetas!$O$5:$O$84,MATCH($E18,Recetas!$A$5:$A$84,0)))*INDEX(Precios!$D$5:$D$120,MATCH(INDEX(Recetas!$N$5:$N$84,MATCH($E18,Recetas!$A$5:$A$84,0)),Precios!$A$5:$A$120,0)),0))</f>
        <v/>
      </c>
      <c r="P18" s="26" t="str">
        <f aca="false">IF(OR(B18="",E18=""),"",IF(AND(IFERROR(INDEX(Recetas!$T$5:$T$84,MATCH($E18,Recetas!$A$5:$A$84,0))="Lista",FALSE()),ISNUMBER(L18),ISNUMBER(M18),ISNUMBER(N18),N(N18)&gt;0),L18+M18+N18+N(O18)+N(H18),""))</f>
        <v/>
      </c>
      <c r="Q18" s="9" t="str">
        <f aca="false">IF(AND(ISNUMBER(P18),ISNUMBER(I18)),I18*Parametros!$B$12,"")</f>
        <v/>
      </c>
      <c r="R18" s="9" t="str">
        <f aca="false">IF(AND(ISNUMBER(P18),ISNUMBER(I18)),I18*Parametros!$B$13,"")</f>
        <v/>
      </c>
      <c r="S18" s="26" t="str">
        <f aca="false">IF(AND(ISNUMBER(P18),ISNUMBER(I18)),I18-P18-Q18-R18,"")</f>
        <v/>
      </c>
      <c r="T18" s="16" t="str">
        <f aca="false">IF(AND(ISNUMBER(P18),ISNUMBER(I18)),S18/I18,"")</f>
        <v/>
      </c>
      <c r="U18" s="9" t="str">
        <f aca="false">IF(OR(NOT(ISNUMBER(P18)),Parametros!$B$14&gt;=1),"",P18/(1-Parametros!$B$14))</f>
        <v/>
      </c>
      <c r="V18" s="9" t="str">
        <f aca="false">IF(OR(NOT(ISNUMBER(P18)),Parametros!$B$14+Parametros!$B$18&gt;=1),"",P18/(1-Parametros!$B$14-Parametros!$B$18))</f>
        <v/>
      </c>
      <c r="W18" s="35" t="str">
        <f aca="false">IF(B18="","",IF(E18="","SIN RECETA",IF(NOT(ISNUMBER(P18)),"FALTAN DATOS",IF(NOT(ISNUMBER(I18)),"FALTA PRECIO",IF(S18&lt;0,"PIERDE",IF(T18&lt;Parametros!$B$18,"BAJO META","OK"))))))</f>
        <v>SIN RECETA</v>
      </c>
      <c r="X18" s="36" t="str">
        <f aca="false">IF(B18="","",IF(E18="","Elegir receta (molde). ",IF(ISNA(MATCH(E18,Recetas!$A$5:$A$84,0)),"La receta no existe. ",IF(IFERROR(INDEX(Recetas!$T$5:$T$84,MATCH($E18,Recetas!$A$5:$A$84,0))="Lista",FALSE()),"","Receta "&amp;E18&amp;": "&amp;INDEX(Recetas!$T$5:$T$84,MATCH($E18,Recetas!$A$5:$A$84,0)))))&amp;IF(F18="","Elegir tela. ",IF(IFERROR(INDEX(Precios!$F$5:$F$120,MATCH(F18,Precios!$A$5:$A$120,0)),"")="","Tela sin $/metro (falta rendimiento o precio). ",""))&amp;IF(AND(E18&lt;&gt;"",N(IFERROR(INDEX(Recetas!$S$5:$S$84,MATCH($E18,Recetas!$A$5:$A$84,0)),0))&gt;0,G18=""),"Elegir tela 2. ","")&amp;IF(NOT(ISNUMBER(I18)),"Precio de venta.",""))</f>
        <v>Elegir receta (molde). Elegir tela. </v>
      </c>
      <c r="Y18" s="37" t="n">
        <f aca="false">IF(AND(ISNUMBER(P18),ISNUMBER(I18),ISNUMBER(D18)),P18*D18,0)</f>
        <v>0</v>
      </c>
      <c r="Z18" s="37" t="n">
        <f aca="false">IF(AND(ISNUMBER(P18),ISNUMBER(I18),ISNUMBER(D18)),I18*D18,0)</f>
        <v>0</v>
      </c>
      <c r="AA18" s="38" t="n">
        <f aca="false">IF(AND(ISNUMBER(P18),ISNUMBER(I18),ISNUMBER(D18)),D18,0)</f>
        <v>0</v>
      </c>
    </row>
    <row r="19" customFormat="false" ht="15" hidden="false" customHeight="false" outlineLevel="0" collapsed="false">
      <c r="A19" s="7" t="s">
        <v>149</v>
      </c>
      <c r="B19" s="7" t="s">
        <v>150</v>
      </c>
      <c r="C19" s="7" t="s">
        <v>111</v>
      </c>
      <c r="D19" s="7" t="n">
        <v>65</v>
      </c>
      <c r="E19" s="34" t="s">
        <v>151</v>
      </c>
      <c r="F19" s="34" t="s">
        <v>152</v>
      </c>
      <c r="G19" s="34"/>
      <c r="H19" s="8"/>
      <c r="I19" s="8" t="n">
        <v>19244</v>
      </c>
      <c r="J19" s="34" t="s">
        <v>113</v>
      </c>
      <c r="K19" s="10"/>
      <c r="L19" s="9" t="n">
        <f aca="false">IF(OR(B19="",E19=""),"",IFERROR(INDEX(Recetas!$R$5:$R$84,MATCH($E19,Recetas!$A$5:$A$84,0))*IFERROR(INDEX(Precios!$F$5:$F$120,MATCH(F19,Precios!$A$5:$A$120,0)),"")+IF(N(INDEX(Recetas!$S$5:$S$84,MATCH($E19,Recetas!$A$5:$A$84,0)))=0,0,INDEX(Recetas!$S$5:$S$84,MATCH($E19,Recetas!$A$5:$A$84,0))*IFERROR(INDEX(Precios!$F$5:$F$120,MATCH(G19,Precios!$A$5:$A$120,0)),"")),""))</f>
        <v>348.008</v>
      </c>
      <c r="M19" s="9" t="n">
        <f aca="false">IF(OR(B19="",E19=""),"",IFERROR(N(INDEX(Recetas!$L$5:$L$84,MATCH($E19,Recetas!$A$5:$A$84,0)))*Parametros!$B$27,""))</f>
        <v>0</v>
      </c>
      <c r="N19" s="9" t="n">
        <f aca="false">IF(OR(B19="",E19=""),"",IFERROR(INDEX(Confeccion!$B$5:$B$100,MATCH(INDEX(Recetas!$M$5:$M$84,MATCH($E19,Recetas!$A$5:$A$84,0)),Confeccion!$A$5:$A$100,0)),""))</f>
        <v>1800</v>
      </c>
      <c r="O19" s="9" t="n">
        <f aca="false">IF(OR(B19="",E19=""),"",IFERROR(N(INDEX(Recetas!$O$5:$O$84,MATCH($E19,Recetas!$A$5:$A$84,0)))*INDEX(Precios!$D$5:$D$120,MATCH(INDEX(Recetas!$N$5:$N$84,MATCH($E19,Recetas!$A$5:$A$84,0)),Precios!$A$5:$A$120,0)),0))</f>
        <v>0</v>
      </c>
      <c r="P19" s="26" t="n">
        <f aca="false">IF(OR(B19="",E19=""),"",IF(AND(IFERROR(INDEX(Recetas!$T$5:$T$84,MATCH($E19,Recetas!$A$5:$A$84,0))="Lista",FALSE()),ISNUMBER(L19),ISNUMBER(M19),ISNUMBER(N19),N(N19)&gt;0),L19+M19+N19+N(O19)+N(H19),""))</f>
        <v>2148.008</v>
      </c>
      <c r="Q19" s="9" t="n">
        <f aca="false">IF(AND(ISNUMBER(P19),ISNUMBER(I19)),I19*Parametros!$B$12,"")</f>
        <v>6792.1032779815</v>
      </c>
      <c r="R19" s="9" t="n">
        <f aca="false">IF(AND(ISNUMBER(P19),ISNUMBER(I19)),I19*Parametros!$B$13,"")</f>
        <v>2438.14635033759</v>
      </c>
      <c r="S19" s="26" t="n">
        <f aca="false">IF(AND(ISNUMBER(P19),ISNUMBER(I19)),I19-P19-Q19-R19,"")</f>
        <v>7865.74237168091</v>
      </c>
      <c r="T19" s="16" t="n">
        <f aca="false">IF(AND(ISNUMBER(P19),ISNUMBER(I19)),S19/I19,"")</f>
        <v>0.40873739200171</v>
      </c>
      <c r="U19" s="9" t="n">
        <f aca="false">IF(OR(NOT(ISNUMBER(P19)),Parametros!$B$14&gt;=1),"",P19/(1-Parametros!$B$14))</f>
        <v>4127.95050982096</v>
      </c>
      <c r="V19" s="9" t="n">
        <f aca="false">IF(OR(NOT(ISNUMBER(P19)),Parametros!$B$14+Parametros!$B$18&gt;=1),"",P19/(1-Parametros!$B$14-Parametros!$B$18))</f>
        <v>5109.9611282396</v>
      </c>
      <c r="W19" s="35" t="str">
        <f aca="false">IF(B19="","",IF(E19="","SIN RECETA",IF(NOT(ISNUMBER(P19)),"FALTAN DATOS",IF(NOT(ISNUMBER(I19)),"FALTA PRECIO",IF(S19&lt;0,"PIERDE",IF(T19&lt;Parametros!$B$18,"BAJO META","OK"))))))</f>
        <v>OK</v>
      </c>
      <c r="X19" s="36" t="str">
        <f aca="false">IF(B19="","",IF(E19="","Elegir receta (molde). ",IF(ISNA(MATCH(E19,Recetas!$A$5:$A$84,0)),"La receta no existe. ",IF(IFERROR(INDEX(Recetas!$T$5:$T$84,MATCH($E19,Recetas!$A$5:$A$84,0))="Lista",FALSE()),"","Receta "&amp;E19&amp;": "&amp;INDEX(Recetas!$T$5:$T$84,MATCH($E19,Recetas!$A$5:$A$84,0)))))&amp;IF(F19="","Elegir tela. ",IF(IFERROR(INDEX(Precios!$F$5:$F$120,MATCH(F19,Precios!$A$5:$A$120,0)),"")="","Tela sin $/metro (falta rendimiento o precio). ",""))&amp;IF(AND(E19&lt;&gt;"",N(IFERROR(INDEX(Recetas!$S$5:$S$84,MATCH($E19,Recetas!$A$5:$A$84,0)),0))&gt;0,G19=""),"Elegir tela 2. ","")&amp;IF(NOT(ISNUMBER(I19)),"Precio de venta.",""))</f>
        <v/>
      </c>
      <c r="Y19" s="37" t="n">
        <f aca="false">IF(AND(ISNUMBER(P19),ISNUMBER(I19),ISNUMBER(D19)),P19*D19,0)</f>
        <v>139620.52</v>
      </c>
      <c r="Z19" s="37" t="n">
        <f aca="false">IF(AND(ISNUMBER(P19),ISNUMBER(I19),ISNUMBER(D19)),I19*D19,0)</f>
        <v>1250860</v>
      </c>
      <c r="AA19" s="38" t="n">
        <f aca="false">IF(AND(ISNUMBER(P19),ISNUMBER(I19),ISNUMBER(D19)),D19,0)</f>
        <v>65</v>
      </c>
    </row>
    <row r="20" customFormat="false" ht="22.35" hidden="false" customHeight="false" outlineLevel="0" collapsed="false">
      <c r="A20" s="7" t="s">
        <v>153</v>
      </c>
      <c r="B20" s="7" t="s">
        <v>154</v>
      </c>
      <c r="C20" s="7" t="s">
        <v>136</v>
      </c>
      <c r="D20" s="7" t="n">
        <v>62</v>
      </c>
      <c r="E20" s="34"/>
      <c r="F20" s="34"/>
      <c r="G20" s="34"/>
      <c r="H20" s="8"/>
      <c r="I20" s="8" t="n">
        <v>36050</v>
      </c>
      <c r="J20" s="34" t="s">
        <v>113</v>
      </c>
      <c r="K20" s="10" t="s">
        <v>126</v>
      </c>
      <c r="L20" s="9" t="str">
        <f aca="false">IF(OR(B20="",E20=""),"",IFERROR(INDEX(Recetas!$R$5:$R$84,MATCH($E20,Recetas!$A$5:$A$84,0))*IFERROR(INDEX(Precios!$F$5:$F$120,MATCH(F20,Precios!$A$5:$A$120,0)),"")+IF(N(INDEX(Recetas!$S$5:$S$84,MATCH($E20,Recetas!$A$5:$A$84,0)))=0,0,INDEX(Recetas!$S$5:$S$84,MATCH($E20,Recetas!$A$5:$A$84,0))*IFERROR(INDEX(Precios!$F$5:$F$120,MATCH(G20,Precios!$A$5:$A$120,0)),"")),""))</f>
        <v/>
      </c>
      <c r="M20" s="9" t="str">
        <f aca="false">IF(OR(B20="",E20=""),"",IFERROR(N(INDEX(Recetas!$L$5:$L$84,MATCH($E20,Recetas!$A$5:$A$84,0)))*Parametros!$B$27,""))</f>
        <v/>
      </c>
      <c r="N20" s="9" t="str">
        <f aca="false">IF(OR(B20="",E20=""),"",IFERROR(INDEX(Confeccion!$B$5:$B$100,MATCH(INDEX(Recetas!$M$5:$M$84,MATCH($E20,Recetas!$A$5:$A$84,0)),Confeccion!$A$5:$A$100,0)),""))</f>
        <v/>
      </c>
      <c r="O20" s="9" t="str">
        <f aca="false">IF(OR(B20="",E20=""),"",IFERROR(N(INDEX(Recetas!$O$5:$O$84,MATCH($E20,Recetas!$A$5:$A$84,0)))*INDEX(Precios!$D$5:$D$120,MATCH(INDEX(Recetas!$N$5:$N$84,MATCH($E20,Recetas!$A$5:$A$84,0)),Precios!$A$5:$A$120,0)),0))</f>
        <v/>
      </c>
      <c r="P20" s="26" t="str">
        <f aca="false">IF(OR(B20="",E20=""),"",IF(AND(IFERROR(INDEX(Recetas!$T$5:$T$84,MATCH($E20,Recetas!$A$5:$A$84,0))="Lista",FALSE()),ISNUMBER(L20),ISNUMBER(M20),ISNUMBER(N20),N(N20)&gt;0),L20+M20+N20+N(O20)+N(H20),""))</f>
        <v/>
      </c>
      <c r="Q20" s="9" t="str">
        <f aca="false">IF(AND(ISNUMBER(P20),ISNUMBER(I20)),I20*Parametros!$B$12,"")</f>
        <v/>
      </c>
      <c r="R20" s="9" t="str">
        <f aca="false">IF(AND(ISNUMBER(P20),ISNUMBER(I20)),I20*Parametros!$B$13,"")</f>
        <v/>
      </c>
      <c r="S20" s="26" t="str">
        <f aca="false">IF(AND(ISNUMBER(P20),ISNUMBER(I20)),I20-P20-Q20-R20,"")</f>
        <v/>
      </c>
      <c r="T20" s="16" t="str">
        <f aca="false">IF(AND(ISNUMBER(P20),ISNUMBER(I20)),S20/I20,"")</f>
        <v/>
      </c>
      <c r="U20" s="9" t="str">
        <f aca="false">IF(OR(NOT(ISNUMBER(P20)),Parametros!$B$14&gt;=1),"",P20/(1-Parametros!$B$14))</f>
        <v/>
      </c>
      <c r="V20" s="9" t="str">
        <f aca="false">IF(OR(NOT(ISNUMBER(P20)),Parametros!$B$14+Parametros!$B$18&gt;=1),"",P20/(1-Parametros!$B$14-Parametros!$B$18))</f>
        <v/>
      </c>
      <c r="W20" s="35" t="str">
        <f aca="false">IF(B20="","",IF(E20="","SIN RECETA",IF(NOT(ISNUMBER(P20)),"FALTAN DATOS",IF(NOT(ISNUMBER(I20)),"FALTA PRECIO",IF(S20&lt;0,"PIERDE",IF(T20&lt;Parametros!$B$18,"BAJO META","OK"))))))</f>
        <v>SIN RECETA</v>
      </c>
      <c r="X20" s="36" t="str">
        <f aca="false">IF(B20="","",IF(E20="","Elegir receta (molde). ",IF(ISNA(MATCH(E20,Recetas!$A$5:$A$84,0)),"La receta no existe. ",IF(IFERROR(INDEX(Recetas!$T$5:$T$84,MATCH($E20,Recetas!$A$5:$A$84,0))="Lista",FALSE()),"","Receta "&amp;E20&amp;": "&amp;INDEX(Recetas!$T$5:$T$84,MATCH($E20,Recetas!$A$5:$A$84,0)))))&amp;IF(F20="","Elegir tela. ",IF(IFERROR(INDEX(Precios!$F$5:$F$120,MATCH(F20,Precios!$A$5:$A$120,0)),"")="","Tela sin $/metro (falta rendimiento o precio). ",""))&amp;IF(AND(E20&lt;&gt;"",N(IFERROR(INDEX(Recetas!$S$5:$S$84,MATCH($E20,Recetas!$A$5:$A$84,0)),0))&gt;0,G20=""),"Elegir tela 2. ","")&amp;IF(NOT(ISNUMBER(I20)),"Precio de venta.",""))</f>
        <v>Elegir receta (molde). Elegir tela. </v>
      </c>
      <c r="Y20" s="37" t="n">
        <f aca="false">IF(AND(ISNUMBER(P20),ISNUMBER(I20),ISNUMBER(D20)),P20*D20,0)</f>
        <v>0</v>
      </c>
      <c r="Z20" s="37" t="n">
        <f aca="false">IF(AND(ISNUMBER(P20),ISNUMBER(I20),ISNUMBER(D20)),I20*D20,0)</f>
        <v>0</v>
      </c>
      <c r="AA20" s="38" t="n">
        <f aca="false">IF(AND(ISNUMBER(P20),ISNUMBER(I20),ISNUMBER(D20)),D20,0)</f>
        <v>0</v>
      </c>
    </row>
    <row r="21" customFormat="false" ht="35.05" hidden="false" customHeight="false" outlineLevel="0" collapsed="false">
      <c r="A21" s="7" t="s">
        <v>155</v>
      </c>
      <c r="B21" s="7" t="s">
        <v>156</v>
      </c>
      <c r="C21" s="7" t="s">
        <v>111</v>
      </c>
      <c r="D21" s="7" t="n">
        <v>61</v>
      </c>
      <c r="E21" s="34" t="s">
        <v>157</v>
      </c>
      <c r="F21" s="34" t="s">
        <v>158</v>
      </c>
      <c r="G21" s="34"/>
      <c r="H21" s="8"/>
      <c r="I21" s="8" t="n">
        <v>12507</v>
      </c>
      <c r="J21" s="34" t="s">
        <v>113</v>
      </c>
      <c r="K21" s="10"/>
      <c r="L21" s="9" t="str">
        <f aca="false">IF(OR(B21="",E21=""),"",IFERROR(INDEX(Recetas!$R$5:$R$84,MATCH($E21,Recetas!$A$5:$A$84,0))*IFERROR(INDEX(Precios!$F$5:$F$120,MATCH(F21,Precios!$A$5:$A$120,0)),"")+IF(N(INDEX(Recetas!$S$5:$S$84,MATCH($E21,Recetas!$A$5:$A$84,0)))=0,0,INDEX(Recetas!$S$5:$S$84,MATCH($E21,Recetas!$A$5:$A$84,0))*IFERROR(INDEX(Precios!$F$5:$F$120,MATCH(G21,Precios!$A$5:$A$120,0)),"")),""))</f>
        <v/>
      </c>
      <c r="M21" s="9" t="n">
        <f aca="false">IF(OR(B21="",E21=""),"",IFERROR(N(INDEX(Recetas!$L$5:$L$84,MATCH($E21,Recetas!$A$5:$A$84,0)))*Parametros!$B$27,""))</f>
        <v>0</v>
      </c>
      <c r="N21" s="9" t="n">
        <f aca="false">IF(OR(B21="",E21=""),"",IFERROR(INDEX(Confeccion!$B$5:$B$100,MATCH(INDEX(Recetas!$M$5:$M$84,MATCH($E21,Recetas!$A$5:$A$84,0)),Confeccion!$A$5:$A$100,0)),""))</f>
        <v>2200</v>
      </c>
      <c r="O21" s="9" t="n">
        <f aca="false">IF(OR(B21="",E21=""),"",IFERROR(N(INDEX(Recetas!$O$5:$O$84,MATCH($E21,Recetas!$A$5:$A$84,0)))*INDEX(Precios!$D$5:$D$120,MATCH(INDEX(Recetas!$N$5:$N$84,MATCH($E21,Recetas!$A$5:$A$84,0)),Precios!$A$5:$A$120,0)),0))</f>
        <v>0</v>
      </c>
      <c r="P21" s="26" t="str">
        <f aca="false">IF(OR(B21="",E21=""),"",IF(AND(IFERROR(INDEX(Recetas!$T$5:$T$84,MATCH($E21,Recetas!$A$5:$A$84,0))="Lista",FALSE()),ISNUMBER(L21),ISNUMBER(M21),ISNUMBER(N21),N(N21)&gt;0),L21+M21+N21+N(O21)+N(H21),""))</f>
        <v/>
      </c>
      <c r="Q21" s="9" t="str">
        <f aca="false">IF(AND(ISNUMBER(P21),ISNUMBER(I21)),I21*Parametros!$B$12,"")</f>
        <v/>
      </c>
      <c r="R21" s="9" t="str">
        <f aca="false">IF(AND(ISNUMBER(P21),ISNUMBER(I21)),I21*Parametros!$B$13,"")</f>
        <v/>
      </c>
      <c r="S21" s="26" t="str">
        <f aca="false">IF(AND(ISNUMBER(P21),ISNUMBER(I21)),I21-P21-Q21-R21,"")</f>
        <v/>
      </c>
      <c r="T21" s="16" t="str">
        <f aca="false">IF(AND(ISNUMBER(P21),ISNUMBER(I21)),S21/I21,"")</f>
        <v/>
      </c>
      <c r="U21" s="9" t="str">
        <f aca="false">IF(OR(NOT(ISNUMBER(P21)),Parametros!$B$14&gt;=1),"",P21/(1-Parametros!$B$14))</f>
        <v/>
      </c>
      <c r="V21" s="9" t="str">
        <f aca="false">IF(OR(NOT(ISNUMBER(P21)),Parametros!$B$14+Parametros!$B$18&gt;=1),"",P21/(1-Parametros!$B$14-Parametros!$B$18))</f>
        <v/>
      </c>
      <c r="W21" s="35" t="str">
        <f aca="false">IF(B21="","",IF(E21="","SIN RECETA",IF(NOT(ISNUMBER(P21)),"FALTAN DATOS",IF(NOT(ISNUMBER(I21)),"FALTA PRECIO",IF(S21&lt;0,"PIERDE",IF(T21&lt;Parametros!$B$18,"BAJO META","OK"))))))</f>
        <v>FALTAN DATOS</v>
      </c>
      <c r="X21" s="36" t="str">
        <f aca="false">IF(B21="","",IF(E21="","Elegir receta (molde). ",IF(ISNA(MATCH(E21,Recetas!$A$5:$A$84,0)),"La receta no existe. ",IF(IFERROR(INDEX(Recetas!$T$5:$T$84,MATCH($E21,Recetas!$A$5:$A$84,0))="Lista",FALSE()),"","Receta "&amp;E21&amp;": "&amp;INDEX(Recetas!$T$5:$T$84,MATCH($E21,Recetas!$A$5:$A$84,0)))))&amp;IF(F21="","Elegir tela. ",IF(IFERROR(INDEX(Precios!$F$5:$F$120,MATCH(F21,Precios!$A$5:$A$120,0)),"")="","Tela sin $/metro (falta rendimiento o precio). ",""))&amp;IF(AND(E21&lt;&gt;"",N(IFERROR(INDEX(Recetas!$S$5:$S$84,MATCH($E21,Recetas!$A$5:$A$84,0)),0))&gt;0,G21=""),"Elegir tela 2. ","")&amp;IF(NOT(ISNUMBER(I21)),"Precio de venta.",""))</f>
        <v>Receta SM-02 · Short Rugby: Rendimiento de GABARDINA (m/kg) en Precios. Tela sin $/metro (falta rendimiento o precio). </v>
      </c>
      <c r="Y21" s="37" t="n">
        <f aca="false">IF(AND(ISNUMBER(P21),ISNUMBER(I21),ISNUMBER(D21)),P21*D21,0)</f>
        <v>0</v>
      </c>
      <c r="Z21" s="37" t="n">
        <f aca="false">IF(AND(ISNUMBER(P21),ISNUMBER(I21),ISNUMBER(D21)),I21*D21,0)</f>
        <v>0</v>
      </c>
      <c r="AA21" s="38" t="n">
        <f aca="false">IF(AND(ISNUMBER(P21),ISNUMBER(I21),ISNUMBER(D21)),D21,0)</f>
        <v>0</v>
      </c>
    </row>
    <row r="22" customFormat="false" ht="22.35" hidden="false" customHeight="false" outlineLevel="0" collapsed="false">
      <c r="A22" s="7" t="s">
        <v>159</v>
      </c>
      <c r="B22" s="7" t="s">
        <v>160</v>
      </c>
      <c r="C22" s="7" t="s">
        <v>136</v>
      </c>
      <c r="D22" s="7" t="n">
        <v>60</v>
      </c>
      <c r="E22" s="34"/>
      <c r="F22" s="34"/>
      <c r="G22" s="34"/>
      <c r="H22" s="8"/>
      <c r="I22" s="8" t="n">
        <v>41933</v>
      </c>
      <c r="J22" s="34" t="s">
        <v>113</v>
      </c>
      <c r="K22" s="10" t="s">
        <v>126</v>
      </c>
      <c r="L22" s="9" t="str">
        <f aca="false">IF(OR(B22="",E22=""),"",IFERROR(INDEX(Recetas!$R$5:$R$84,MATCH($E22,Recetas!$A$5:$A$84,0))*IFERROR(INDEX(Precios!$F$5:$F$120,MATCH(F22,Precios!$A$5:$A$120,0)),"")+IF(N(INDEX(Recetas!$S$5:$S$84,MATCH($E22,Recetas!$A$5:$A$84,0)))=0,0,INDEX(Recetas!$S$5:$S$84,MATCH($E22,Recetas!$A$5:$A$84,0))*IFERROR(INDEX(Precios!$F$5:$F$120,MATCH(G22,Precios!$A$5:$A$120,0)),"")),""))</f>
        <v/>
      </c>
      <c r="M22" s="9" t="str">
        <f aca="false">IF(OR(B22="",E22=""),"",IFERROR(N(INDEX(Recetas!$L$5:$L$84,MATCH($E22,Recetas!$A$5:$A$84,0)))*Parametros!$B$27,""))</f>
        <v/>
      </c>
      <c r="N22" s="9" t="str">
        <f aca="false">IF(OR(B22="",E22=""),"",IFERROR(INDEX(Confeccion!$B$5:$B$100,MATCH(INDEX(Recetas!$M$5:$M$84,MATCH($E22,Recetas!$A$5:$A$84,0)),Confeccion!$A$5:$A$100,0)),""))</f>
        <v/>
      </c>
      <c r="O22" s="9" t="str">
        <f aca="false">IF(OR(B22="",E22=""),"",IFERROR(N(INDEX(Recetas!$O$5:$O$84,MATCH($E22,Recetas!$A$5:$A$84,0)))*INDEX(Precios!$D$5:$D$120,MATCH(INDEX(Recetas!$N$5:$N$84,MATCH($E22,Recetas!$A$5:$A$84,0)),Precios!$A$5:$A$120,0)),0))</f>
        <v/>
      </c>
      <c r="P22" s="26" t="str">
        <f aca="false">IF(OR(B22="",E22=""),"",IF(AND(IFERROR(INDEX(Recetas!$T$5:$T$84,MATCH($E22,Recetas!$A$5:$A$84,0))="Lista",FALSE()),ISNUMBER(L22),ISNUMBER(M22),ISNUMBER(N22),N(N22)&gt;0),L22+M22+N22+N(O22)+N(H22),""))</f>
        <v/>
      </c>
      <c r="Q22" s="9" t="str">
        <f aca="false">IF(AND(ISNUMBER(P22),ISNUMBER(I22)),I22*Parametros!$B$12,"")</f>
        <v/>
      </c>
      <c r="R22" s="9" t="str">
        <f aca="false">IF(AND(ISNUMBER(P22),ISNUMBER(I22)),I22*Parametros!$B$13,"")</f>
        <v/>
      </c>
      <c r="S22" s="26" t="str">
        <f aca="false">IF(AND(ISNUMBER(P22),ISNUMBER(I22)),I22-P22-Q22-R22,"")</f>
        <v/>
      </c>
      <c r="T22" s="16" t="str">
        <f aca="false">IF(AND(ISNUMBER(P22),ISNUMBER(I22)),S22/I22,"")</f>
        <v/>
      </c>
      <c r="U22" s="9" t="str">
        <f aca="false">IF(OR(NOT(ISNUMBER(P22)),Parametros!$B$14&gt;=1),"",P22/(1-Parametros!$B$14))</f>
        <v/>
      </c>
      <c r="V22" s="9" t="str">
        <f aca="false">IF(OR(NOT(ISNUMBER(P22)),Parametros!$B$14+Parametros!$B$18&gt;=1),"",P22/(1-Parametros!$B$14-Parametros!$B$18))</f>
        <v/>
      </c>
      <c r="W22" s="35" t="str">
        <f aca="false">IF(B22="","",IF(E22="","SIN RECETA",IF(NOT(ISNUMBER(P22)),"FALTAN DATOS",IF(NOT(ISNUMBER(I22)),"FALTA PRECIO",IF(S22&lt;0,"PIERDE",IF(T22&lt;Parametros!$B$18,"BAJO META","OK"))))))</f>
        <v>SIN RECETA</v>
      </c>
      <c r="X22" s="36" t="str">
        <f aca="false">IF(B22="","",IF(E22="","Elegir receta (molde). ",IF(ISNA(MATCH(E22,Recetas!$A$5:$A$84,0)),"La receta no existe. ",IF(IFERROR(INDEX(Recetas!$T$5:$T$84,MATCH($E22,Recetas!$A$5:$A$84,0))="Lista",FALSE()),"","Receta "&amp;E22&amp;": "&amp;INDEX(Recetas!$T$5:$T$84,MATCH($E22,Recetas!$A$5:$A$84,0)))))&amp;IF(F22="","Elegir tela. ",IF(IFERROR(INDEX(Precios!$F$5:$F$120,MATCH(F22,Precios!$A$5:$A$120,0)),"")="","Tela sin $/metro (falta rendimiento o precio). ",""))&amp;IF(AND(E22&lt;&gt;"",N(IFERROR(INDEX(Recetas!$S$5:$S$84,MATCH($E22,Recetas!$A$5:$A$84,0)),0))&gt;0,G22=""),"Elegir tela 2. ","")&amp;IF(NOT(ISNUMBER(I22)),"Precio de venta.",""))</f>
        <v>Elegir receta (molde). Elegir tela. </v>
      </c>
      <c r="Y22" s="37" t="n">
        <f aca="false">IF(AND(ISNUMBER(P22),ISNUMBER(I22),ISNUMBER(D22)),P22*D22,0)</f>
        <v>0</v>
      </c>
      <c r="Z22" s="37" t="n">
        <f aca="false">IF(AND(ISNUMBER(P22),ISNUMBER(I22),ISNUMBER(D22)),I22*D22,0)</f>
        <v>0</v>
      </c>
      <c r="AA22" s="38" t="n">
        <f aca="false">IF(AND(ISNUMBER(P22),ISNUMBER(I22),ISNUMBER(D22)),D22,0)</f>
        <v>0</v>
      </c>
    </row>
    <row r="23" customFormat="false" ht="35.05" hidden="false" customHeight="false" outlineLevel="0" collapsed="false">
      <c r="A23" s="7" t="s">
        <v>161</v>
      </c>
      <c r="B23" s="7" t="s">
        <v>162</v>
      </c>
      <c r="C23" s="7" t="s">
        <v>111</v>
      </c>
      <c r="D23" s="7" t="n">
        <v>55</v>
      </c>
      <c r="E23" s="34" t="s">
        <v>163</v>
      </c>
      <c r="F23" s="34" t="s">
        <v>164</v>
      </c>
      <c r="G23" s="34"/>
      <c r="H23" s="8"/>
      <c r="I23" s="8" t="n">
        <v>8059</v>
      </c>
      <c r="J23" s="34" t="s">
        <v>113</v>
      </c>
      <c r="K23" s="10" t="s">
        <v>165</v>
      </c>
      <c r="L23" s="9" t="str">
        <f aca="false">IF(OR(B23="",E23=""),"",IFERROR(INDEX(Recetas!$R$5:$R$84,MATCH($E23,Recetas!$A$5:$A$84,0))*IFERROR(INDEX(Precios!$F$5:$F$120,MATCH(F23,Precios!$A$5:$A$120,0)),"")+IF(N(INDEX(Recetas!$S$5:$S$84,MATCH($E23,Recetas!$A$5:$A$84,0)))=0,0,INDEX(Recetas!$S$5:$S$84,MATCH($E23,Recetas!$A$5:$A$84,0))*IFERROR(INDEX(Precios!$F$5:$F$120,MATCH(G23,Precios!$A$5:$A$120,0)),"")),""))</f>
        <v/>
      </c>
      <c r="M23" s="9" t="n">
        <f aca="false">IF(OR(B23="",E23=""),"",IFERROR(N(INDEX(Recetas!$L$5:$L$84,MATCH($E23,Recetas!$A$5:$A$84,0)))*Parametros!$B$27,""))</f>
        <v>0</v>
      </c>
      <c r="N23" s="9" t="n">
        <f aca="false">IF(OR(B23="",E23=""),"",IFERROR(INDEX(Confeccion!$B$5:$B$100,MATCH(INDEX(Recetas!$M$5:$M$84,MATCH($E23,Recetas!$A$5:$A$84,0)),Confeccion!$A$5:$A$100,0)),""))</f>
        <v>1700</v>
      </c>
      <c r="O23" s="9" t="n">
        <f aca="false">IF(OR(B23="",E23=""),"",IFERROR(N(INDEX(Recetas!$O$5:$O$84,MATCH($E23,Recetas!$A$5:$A$84,0)))*INDEX(Precios!$D$5:$D$120,MATCH(INDEX(Recetas!$N$5:$N$84,MATCH($E23,Recetas!$A$5:$A$84,0)),Precios!$A$5:$A$120,0)),0))</f>
        <v>0</v>
      </c>
      <c r="P23" s="26" t="str">
        <f aca="false">IF(OR(B23="",E23=""),"",IF(AND(IFERROR(INDEX(Recetas!$T$5:$T$84,MATCH($E23,Recetas!$A$5:$A$84,0))="Lista",FALSE()),ISNUMBER(L23),ISNUMBER(M23),ISNUMBER(N23),N(N23)&gt;0),L23+M23+N23+N(O23)+N(H23),""))</f>
        <v/>
      </c>
      <c r="Q23" s="9" t="str">
        <f aca="false">IF(AND(ISNUMBER(P23),ISNUMBER(I23)),I23*Parametros!$B$12,"")</f>
        <v/>
      </c>
      <c r="R23" s="9" t="str">
        <f aca="false">IF(AND(ISNUMBER(P23),ISNUMBER(I23)),I23*Parametros!$B$13,"")</f>
        <v/>
      </c>
      <c r="S23" s="26" t="str">
        <f aca="false">IF(AND(ISNUMBER(P23),ISNUMBER(I23)),I23-P23-Q23-R23,"")</f>
        <v/>
      </c>
      <c r="T23" s="16" t="str">
        <f aca="false">IF(AND(ISNUMBER(P23),ISNUMBER(I23)),S23/I23,"")</f>
        <v/>
      </c>
      <c r="U23" s="9" t="str">
        <f aca="false">IF(OR(NOT(ISNUMBER(P23)),Parametros!$B$14&gt;=1),"",P23/(1-Parametros!$B$14))</f>
        <v/>
      </c>
      <c r="V23" s="9" t="str">
        <f aca="false">IF(OR(NOT(ISNUMBER(P23)),Parametros!$B$14+Parametros!$B$18&gt;=1),"",P23/(1-Parametros!$B$14-Parametros!$B$18))</f>
        <v/>
      </c>
      <c r="W23" s="35" t="str">
        <f aca="false">IF(B23="","",IF(E23="","SIN RECETA",IF(NOT(ISNUMBER(P23)),"FALTAN DATOS",IF(NOT(ISNUMBER(I23)),"FALTA PRECIO",IF(S23&lt;0,"PIERDE",IF(T23&lt;Parametros!$B$18,"BAJO META","OK"))))))</f>
        <v>FALTAN DATOS</v>
      </c>
      <c r="X23" s="36" t="str">
        <f aca="false">IF(B23="","",IF(E23="","Elegir receta (molde). ",IF(ISNA(MATCH(E23,Recetas!$A$5:$A$84,0)),"La receta no existe. ",IF(IFERROR(INDEX(Recetas!$T$5:$T$84,MATCH($E23,Recetas!$A$5:$A$84,0))="Lista",FALSE()),"","Receta "&amp;E23&amp;": "&amp;INDEX(Recetas!$T$5:$T$84,MATCH($E23,Recetas!$A$5:$A$84,0)))))&amp;IF(F23="","Elegir tela. ",IF(IFERROR(INDEX(Precios!$F$5:$F$120,MATCH(F23,Precios!$A$5:$A$120,0)),"")="","Tela sin $/metro (falta rendimiento o precio). ",""))&amp;IF(AND(E23&lt;&gt;"",N(IFERROR(INDEX(Recetas!$S$5:$S$84,MATCH($E23,Recetas!$A$5:$A$84,0)),0))&gt;0,G23=""),"Elegir tela 2. ","")&amp;IF(NOT(ISNUMBER(I23)),"Precio de venta.",""))</f>
        <v>Receta SM-01 · Short Fútbol: Rendimiento de CIRE BLANCO (m/kg) en Precios. Tela sin $/metro (falta rendimiento o precio). </v>
      </c>
      <c r="Y23" s="37" t="n">
        <f aca="false">IF(AND(ISNUMBER(P23),ISNUMBER(I23),ISNUMBER(D23)),P23*D23,0)</f>
        <v>0</v>
      </c>
      <c r="Z23" s="37" t="n">
        <f aca="false">IF(AND(ISNUMBER(P23),ISNUMBER(I23),ISNUMBER(D23)),I23*D23,0)</f>
        <v>0</v>
      </c>
      <c r="AA23" s="38" t="n">
        <f aca="false">IF(AND(ISNUMBER(P23),ISNUMBER(I23),ISNUMBER(D23)),D23,0)</f>
        <v>0</v>
      </c>
    </row>
    <row r="24" customFormat="false" ht="22.35" hidden="false" customHeight="false" outlineLevel="0" collapsed="false">
      <c r="A24" s="7" t="s">
        <v>166</v>
      </c>
      <c r="B24" s="7" t="s">
        <v>167</v>
      </c>
      <c r="C24" s="7" t="s">
        <v>111</v>
      </c>
      <c r="D24" s="7" t="n">
        <v>50</v>
      </c>
      <c r="E24" s="34"/>
      <c r="F24" s="34"/>
      <c r="G24" s="34"/>
      <c r="H24" s="8"/>
      <c r="I24" s="8" t="n">
        <v>19244</v>
      </c>
      <c r="J24" s="34" t="s">
        <v>113</v>
      </c>
      <c r="K24" s="10" t="s">
        <v>126</v>
      </c>
      <c r="L24" s="9" t="str">
        <f aca="false">IF(OR(B24="",E24=""),"",IFERROR(INDEX(Recetas!$R$5:$R$84,MATCH($E24,Recetas!$A$5:$A$84,0))*IFERROR(INDEX(Precios!$F$5:$F$120,MATCH(F24,Precios!$A$5:$A$120,0)),"")+IF(N(INDEX(Recetas!$S$5:$S$84,MATCH($E24,Recetas!$A$5:$A$84,0)))=0,0,INDEX(Recetas!$S$5:$S$84,MATCH($E24,Recetas!$A$5:$A$84,0))*IFERROR(INDEX(Precios!$F$5:$F$120,MATCH(G24,Precios!$A$5:$A$120,0)),"")),""))</f>
        <v/>
      </c>
      <c r="M24" s="9" t="str">
        <f aca="false">IF(OR(B24="",E24=""),"",IFERROR(N(INDEX(Recetas!$L$5:$L$84,MATCH($E24,Recetas!$A$5:$A$84,0)))*Parametros!$B$27,""))</f>
        <v/>
      </c>
      <c r="N24" s="9" t="str">
        <f aca="false">IF(OR(B24="",E24=""),"",IFERROR(INDEX(Confeccion!$B$5:$B$100,MATCH(INDEX(Recetas!$M$5:$M$84,MATCH($E24,Recetas!$A$5:$A$84,0)),Confeccion!$A$5:$A$100,0)),""))</f>
        <v/>
      </c>
      <c r="O24" s="9" t="str">
        <f aca="false">IF(OR(B24="",E24=""),"",IFERROR(N(INDEX(Recetas!$O$5:$O$84,MATCH($E24,Recetas!$A$5:$A$84,0)))*INDEX(Precios!$D$5:$D$120,MATCH(INDEX(Recetas!$N$5:$N$84,MATCH($E24,Recetas!$A$5:$A$84,0)),Precios!$A$5:$A$120,0)),0))</f>
        <v/>
      </c>
      <c r="P24" s="26" t="str">
        <f aca="false">IF(OR(B24="",E24=""),"",IF(AND(IFERROR(INDEX(Recetas!$T$5:$T$84,MATCH($E24,Recetas!$A$5:$A$84,0))="Lista",FALSE()),ISNUMBER(L24),ISNUMBER(M24),ISNUMBER(N24),N(N24)&gt;0),L24+M24+N24+N(O24)+N(H24),""))</f>
        <v/>
      </c>
      <c r="Q24" s="9" t="str">
        <f aca="false">IF(AND(ISNUMBER(P24),ISNUMBER(I24)),I24*Parametros!$B$12,"")</f>
        <v/>
      </c>
      <c r="R24" s="9" t="str">
        <f aca="false">IF(AND(ISNUMBER(P24),ISNUMBER(I24)),I24*Parametros!$B$13,"")</f>
        <v/>
      </c>
      <c r="S24" s="26" t="str">
        <f aca="false">IF(AND(ISNUMBER(P24),ISNUMBER(I24)),I24-P24-Q24-R24,"")</f>
        <v/>
      </c>
      <c r="T24" s="16" t="str">
        <f aca="false">IF(AND(ISNUMBER(P24),ISNUMBER(I24)),S24/I24,"")</f>
        <v/>
      </c>
      <c r="U24" s="9" t="str">
        <f aca="false">IF(OR(NOT(ISNUMBER(P24)),Parametros!$B$14&gt;=1),"",P24/(1-Parametros!$B$14))</f>
        <v/>
      </c>
      <c r="V24" s="9" t="str">
        <f aca="false">IF(OR(NOT(ISNUMBER(P24)),Parametros!$B$14+Parametros!$B$18&gt;=1),"",P24/(1-Parametros!$B$14-Parametros!$B$18))</f>
        <v/>
      </c>
      <c r="W24" s="35" t="str">
        <f aca="false">IF(B24="","",IF(E24="","SIN RECETA",IF(NOT(ISNUMBER(P24)),"FALTAN DATOS",IF(NOT(ISNUMBER(I24)),"FALTA PRECIO",IF(S24&lt;0,"PIERDE",IF(T24&lt;Parametros!$B$18,"BAJO META","OK"))))))</f>
        <v>SIN RECETA</v>
      </c>
      <c r="X24" s="36" t="str">
        <f aca="false">IF(B24="","",IF(E24="","Elegir receta (molde). ",IF(ISNA(MATCH(E24,Recetas!$A$5:$A$84,0)),"La receta no existe. ",IF(IFERROR(INDEX(Recetas!$T$5:$T$84,MATCH($E24,Recetas!$A$5:$A$84,0))="Lista",FALSE()),"","Receta "&amp;E24&amp;": "&amp;INDEX(Recetas!$T$5:$T$84,MATCH($E24,Recetas!$A$5:$A$84,0)))))&amp;IF(F24="","Elegir tela. ",IF(IFERROR(INDEX(Precios!$F$5:$F$120,MATCH(F24,Precios!$A$5:$A$120,0)),"")="","Tela sin $/metro (falta rendimiento o precio). ",""))&amp;IF(AND(E24&lt;&gt;"",N(IFERROR(INDEX(Recetas!$S$5:$S$84,MATCH($E24,Recetas!$A$5:$A$84,0)),0))&gt;0,G24=""),"Elegir tela 2. ","")&amp;IF(NOT(ISNUMBER(I24)),"Precio de venta.",""))</f>
        <v>Elegir receta (molde). Elegir tela. </v>
      </c>
      <c r="Y24" s="37" t="n">
        <f aca="false">IF(AND(ISNUMBER(P24),ISNUMBER(I24),ISNUMBER(D24)),P24*D24,0)</f>
        <v>0</v>
      </c>
      <c r="Z24" s="37" t="n">
        <f aca="false">IF(AND(ISNUMBER(P24),ISNUMBER(I24),ISNUMBER(D24)),I24*D24,0)</f>
        <v>0</v>
      </c>
      <c r="AA24" s="38" t="n">
        <f aca="false">IF(AND(ISNUMBER(P24),ISNUMBER(I24),ISNUMBER(D24)),D24,0)</f>
        <v>0</v>
      </c>
    </row>
    <row r="25" customFormat="false" ht="22.35" hidden="false" customHeight="false" outlineLevel="0" collapsed="false">
      <c r="A25" s="7" t="s">
        <v>168</v>
      </c>
      <c r="B25" s="7" t="s">
        <v>169</v>
      </c>
      <c r="C25" s="7" t="s">
        <v>111</v>
      </c>
      <c r="D25" s="7" t="n">
        <v>48</v>
      </c>
      <c r="E25" s="34"/>
      <c r="F25" s="34"/>
      <c r="G25" s="34"/>
      <c r="H25" s="8"/>
      <c r="I25" s="8" t="n">
        <v>8319</v>
      </c>
      <c r="J25" s="34" t="s">
        <v>113</v>
      </c>
      <c r="K25" s="10" t="s">
        <v>126</v>
      </c>
      <c r="L25" s="9" t="str">
        <f aca="false">IF(OR(B25="",E25=""),"",IFERROR(INDEX(Recetas!$R$5:$R$84,MATCH($E25,Recetas!$A$5:$A$84,0))*IFERROR(INDEX(Precios!$F$5:$F$120,MATCH(F25,Precios!$A$5:$A$120,0)),"")+IF(N(INDEX(Recetas!$S$5:$S$84,MATCH($E25,Recetas!$A$5:$A$84,0)))=0,0,INDEX(Recetas!$S$5:$S$84,MATCH($E25,Recetas!$A$5:$A$84,0))*IFERROR(INDEX(Precios!$F$5:$F$120,MATCH(G25,Precios!$A$5:$A$120,0)),"")),""))</f>
        <v/>
      </c>
      <c r="M25" s="9" t="str">
        <f aca="false">IF(OR(B25="",E25=""),"",IFERROR(N(INDEX(Recetas!$L$5:$L$84,MATCH($E25,Recetas!$A$5:$A$84,0)))*Parametros!$B$27,""))</f>
        <v/>
      </c>
      <c r="N25" s="9" t="str">
        <f aca="false">IF(OR(B25="",E25=""),"",IFERROR(INDEX(Confeccion!$B$5:$B$100,MATCH(INDEX(Recetas!$M$5:$M$84,MATCH($E25,Recetas!$A$5:$A$84,0)),Confeccion!$A$5:$A$100,0)),""))</f>
        <v/>
      </c>
      <c r="O25" s="9" t="str">
        <f aca="false">IF(OR(B25="",E25=""),"",IFERROR(N(INDEX(Recetas!$O$5:$O$84,MATCH($E25,Recetas!$A$5:$A$84,0)))*INDEX(Precios!$D$5:$D$120,MATCH(INDEX(Recetas!$N$5:$N$84,MATCH($E25,Recetas!$A$5:$A$84,0)),Precios!$A$5:$A$120,0)),0))</f>
        <v/>
      </c>
      <c r="P25" s="26" t="str">
        <f aca="false">IF(OR(B25="",E25=""),"",IF(AND(IFERROR(INDEX(Recetas!$T$5:$T$84,MATCH($E25,Recetas!$A$5:$A$84,0))="Lista",FALSE()),ISNUMBER(L25),ISNUMBER(M25),ISNUMBER(N25),N(N25)&gt;0),L25+M25+N25+N(O25)+N(H25),""))</f>
        <v/>
      </c>
      <c r="Q25" s="9" t="str">
        <f aca="false">IF(AND(ISNUMBER(P25),ISNUMBER(I25)),I25*Parametros!$B$12,"")</f>
        <v/>
      </c>
      <c r="R25" s="9" t="str">
        <f aca="false">IF(AND(ISNUMBER(P25),ISNUMBER(I25)),I25*Parametros!$B$13,"")</f>
        <v/>
      </c>
      <c r="S25" s="26" t="str">
        <f aca="false">IF(AND(ISNUMBER(P25),ISNUMBER(I25)),I25-P25-Q25-R25,"")</f>
        <v/>
      </c>
      <c r="T25" s="16" t="str">
        <f aca="false">IF(AND(ISNUMBER(P25),ISNUMBER(I25)),S25/I25,"")</f>
        <v/>
      </c>
      <c r="U25" s="9" t="str">
        <f aca="false">IF(OR(NOT(ISNUMBER(P25)),Parametros!$B$14&gt;=1),"",P25/(1-Parametros!$B$14))</f>
        <v/>
      </c>
      <c r="V25" s="9" t="str">
        <f aca="false">IF(OR(NOT(ISNUMBER(P25)),Parametros!$B$14+Parametros!$B$18&gt;=1),"",P25/(1-Parametros!$B$14-Parametros!$B$18))</f>
        <v/>
      </c>
      <c r="W25" s="35" t="str">
        <f aca="false">IF(B25="","",IF(E25="","SIN RECETA",IF(NOT(ISNUMBER(P25)),"FALTAN DATOS",IF(NOT(ISNUMBER(I25)),"FALTA PRECIO",IF(S25&lt;0,"PIERDE",IF(T25&lt;Parametros!$B$18,"BAJO META","OK"))))))</f>
        <v>SIN RECETA</v>
      </c>
      <c r="X25" s="36" t="str">
        <f aca="false">IF(B25="","",IF(E25="","Elegir receta (molde). ",IF(ISNA(MATCH(E25,Recetas!$A$5:$A$84,0)),"La receta no existe. ",IF(IFERROR(INDEX(Recetas!$T$5:$T$84,MATCH($E25,Recetas!$A$5:$A$84,0))="Lista",FALSE()),"","Receta "&amp;E25&amp;": "&amp;INDEX(Recetas!$T$5:$T$84,MATCH($E25,Recetas!$A$5:$A$84,0)))))&amp;IF(F25="","Elegir tela. ",IF(IFERROR(INDEX(Precios!$F$5:$F$120,MATCH(F25,Precios!$A$5:$A$120,0)),"")="","Tela sin $/metro (falta rendimiento o precio). ",""))&amp;IF(AND(E25&lt;&gt;"",N(IFERROR(INDEX(Recetas!$S$5:$S$84,MATCH($E25,Recetas!$A$5:$A$84,0)),0))&gt;0,G25=""),"Elegir tela 2. ","")&amp;IF(NOT(ISNUMBER(I25)),"Precio de venta.",""))</f>
        <v>Elegir receta (molde). Elegir tela. </v>
      </c>
      <c r="Y25" s="37" t="n">
        <f aca="false">IF(AND(ISNUMBER(P25),ISNUMBER(I25),ISNUMBER(D25)),P25*D25,0)</f>
        <v>0</v>
      </c>
      <c r="Z25" s="37" t="n">
        <f aca="false">IF(AND(ISNUMBER(P25),ISNUMBER(I25),ISNUMBER(D25)),I25*D25,0)</f>
        <v>0</v>
      </c>
      <c r="AA25" s="38" t="n">
        <f aca="false">IF(AND(ISNUMBER(P25),ISNUMBER(I25),ISNUMBER(D25)),D25,0)</f>
        <v>0</v>
      </c>
    </row>
    <row r="26" customFormat="false" ht="22.35" hidden="false" customHeight="false" outlineLevel="0" collapsed="false">
      <c r="A26" s="7" t="s">
        <v>170</v>
      </c>
      <c r="B26" s="7" t="s">
        <v>171</v>
      </c>
      <c r="C26" s="7" t="s">
        <v>111</v>
      </c>
      <c r="D26" s="7" t="n">
        <v>48</v>
      </c>
      <c r="E26" s="34"/>
      <c r="F26" s="34"/>
      <c r="G26" s="34"/>
      <c r="H26" s="8"/>
      <c r="I26" s="8" t="n">
        <v>16723</v>
      </c>
      <c r="J26" s="34" t="s">
        <v>113</v>
      </c>
      <c r="K26" s="10" t="s">
        <v>126</v>
      </c>
      <c r="L26" s="9" t="str">
        <f aca="false">IF(OR(B26="",E26=""),"",IFERROR(INDEX(Recetas!$R$5:$R$84,MATCH($E26,Recetas!$A$5:$A$84,0))*IFERROR(INDEX(Precios!$F$5:$F$120,MATCH(F26,Precios!$A$5:$A$120,0)),"")+IF(N(INDEX(Recetas!$S$5:$S$84,MATCH($E26,Recetas!$A$5:$A$84,0)))=0,0,INDEX(Recetas!$S$5:$S$84,MATCH($E26,Recetas!$A$5:$A$84,0))*IFERROR(INDEX(Precios!$F$5:$F$120,MATCH(G26,Precios!$A$5:$A$120,0)),"")),""))</f>
        <v/>
      </c>
      <c r="M26" s="9" t="str">
        <f aca="false">IF(OR(B26="",E26=""),"",IFERROR(N(INDEX(Recetas!$L$5:$L$84,MATCH($E26,Recetas!$A$5:$A$84,0)))*Parametros!$B$27,""))</f>
        <v/>
      </c>
      <c r="N26" s="9" t="str">
        <f aca="false">IF(OR(B26="",E26=""),"",IFERROR(INDEX(Confeccion!$B$5:$B$100,MATCH(INDEX(Recetas!$M$5:$M$84,MATCH($E26,Recetas!$A$5:$A$84,0)),Confeccion!$A$5:$A$100,0)),""))</f>
        <v/>
      </c>
      <c r="O26" s="9" t="str">
        <f aca="false">IF(OR(B26="",E26=""),"",IFERROR(N(INDEX(Recetas!$O$5:$O$84,MATCH($E26,Recetas!$A$5:$A$84,0)))*INDEX(Precios!$D$5:$D$120,MATCH(INDEX(Recetas!$N$5:$N$84,MATCH($E26,Recetas!$A$5:$A$84,0)),Precios!$A$5:$A$120,0)),0))</f>
        <v/>
      </c>
      <c r="P26" s="26" t="str">
        <f aca="false">IF(OR(B26="",E26=""),"",IF(AND(IFERROR(INDEX(Recetas!$T$5:$T$84,MATCH($E26,Recetas!$A$5:$A$84,0))="Lista",FALSE()),ISNUMBER(L26),ISNUMBER(M26),ISNUMBER(N26),N(N26)&gt;0),L26+M26+N26+N(O26)+N(H26),""))</f>
        <v/>
      </c>
      <c r="Q26" s="9" t="str">
        <f aca="false">IF(AND(ISNUMBER(P26),ISNUMBER(I26)),I26*Parametros!$B$12,"")</f>
        <v/>
      </c>
      <c r="R26" s="9" t="str">
        <f aca="false">IF(AND(ISNUMBER(P26),ISNUMBER(I26)),I26*Parametros!$B$13,"")</f>
        <v/>
      </c>
      <c r="S26" s="26" t="str">
        <f aca="false">IF(AND(ISNUMBER(P26),ISNUMBER(I26)),I26-P26-Q26-R26,"")</f>
        <v/>
      </c>
      <c r="T26" s="16" t="str">
        <f aca="false">IF(AND(ISNUMBER(P26),ISNUMBER(I26)),S26/I26,"")</f>
        <v/>
      </c>
      <c r="U26" s="9" t="str">
        <f aca="false">IF(OR(NOT(ISNUMBER(P26)),Parametros!$B$14&gt;=1),"",P26/(1-Parametros!$B$14))</f>
        <v/>
      </c>
      <c r="V26" s="9" t="str">
        <f aca="false">IF(OR(NOT(ISNUMBER(P26)),Parametros!$B$14+Parametros!$B$18&gt;=1),"",P26/(1-Parametros!$B$14-Parametros!$B$18))</f>
        <v/>
      </c>
      <c r="W26" s="35" t="str">
        <f aca="false">IF(B26="","",IF(E26="","SIN RECETA",IF(NOT(ISNUMBER(P26)),"FALTAN DATOS",IF(NOT(ISNUMBER(I26)),"FALTA PRECIO",IF(S26&lt;0,"PIERDE",IF(T26&lt;Parametros!$B$18,"BAJO META","OK"))))))</f>
        <v>SIN RECETA</v>
      </c>
      <c r="X26" s="36" t="str">
        <f aca="false">IF(B26="","",IF(E26="","Elegir receta (molde). ",IF(ISNA(MATCH(E26,Recetas!$A$5:$A$84,0)),"La receta no existe. ",IF(IFERROR(INDEX(Recetas!$T$5:$T$84,MATCH($E26,Recetas!$A$5:$A$84,0))="Lista",FALSE()),"","Receta "&amp;E26&amp;": "&amp;INDEX(Recetas!$T$5:$T$84,MATCH($E26,Recetas!$A$5:$A$84,0)))))&amp;IF(F26="","Elegir tela. ",IF(IFERROR(INDEX(Precios!$F$5:$F$120,MATCH(F26,Precios!$A$5:$A$120,0)),"")="","Tela sin $/metro (falta rendimiento o precio). ",""))&amp;IF(AND(E26&lt;&gt;"",N(IFERROR(INDEX(Recetas!$S$5:$S$84,MATCH($E26,Recetas!$A$5:$A$84,0)),0))&gt;0,G26=""),"Elegir tela 2. ","")&amp;IF(NOT(ISNUMBER(I26)),"Precio de venta.",""))</f>
        <v>Elegir receta (molde). Elegir tela. </v>
      </c>
      <c r="Y26" s="37" t="n">
        <f aca="false">IF(AND(ISNUMBER(P26),ISNUMBER(I26),ISNUMBER(D26)),P26*D26,0)</f>
        <v>0</v>
      </c>
      <c r="Z26" s="37" t="n">
        <f aca="false">IF(AND(ISNUMBER(P26),ISNUMBER(I26),ISNUMBER(D26)),I26*D26,0)</f>
        <v>0</v>
      </c>
      <c r="AA26" s="38" t="n">
        <f aca="false">IF(AND(ISNUMBER(P26),ISNUMBER(I26),ISNUMBER(D26)),D26,0)</f>
        <v>0</v>
      </c>
    </row>
    <row r="27" customFormat="false" ht="22.35" hidden="false" customHeight="false" outlineLevel="0" collapsed="false">
      <c r="A27" s="7" t="s">
        <v>172</v>
      </c>
      <c r="B27" s="7" t="s">
        <v>173</v>
      </c>
      <c r="C27" s="7" t="s">
        <v>136</v>
      </c>
      <c r="D27" s="7" t="n">
        <v>47</v>
      </c>
      <c r="E27" s="34"/>
      <c r="F27" s="34"/>
      <c r="G27" s="34"/>
      <c r="H27" s="8"/>
      <c r="I27" s="8" t="n">
        <v>26134</v>
      </c>
      <c r="J27" s="34" t="s">
        <v>113</v>
      </c>
      <c r="K27" s="10" t="s">
        <v>126</v>
      </c>
      <c r="L27" s="9" t="str">
        <f aca="false">IF(OR(B27="",E27=""),"",IFERROR(INDEX(Recetas!$R$5:$R$84,MATCH($E27,Recetas!$A$5:$A$84,0))*IFERROR(INDEX(Precios!$F$5:$F$120,MATCH(F27,Precios!$A$5:$A$120,0)),"")+IF(N(INDEX(Recetas!$S$5:$S$84,MATCH($E27,Recetas!$A$5:$A$84,0)))=0,0,INDEX(Recetas!$S$5:$S$84,MATCH($E27,Recetas!$A$5:$A$84,0))*IFERROR(INDEX(Precios!$F$5:$F$120,MATCH(G27,Precios!$A$5:$A$120,0)),"")),""))</f>
        <v/>
      </c>
      <c r="M27" s="9" t="str">
        <f aca="false">IF(OR(B27="",E27=""),"",IFERROR(N(INDEX(Recetas!$L$5:$L$84,MATCH($E27,Recetas!$A$5:$A$84,0)))*Parametros!$B$27,""))</f>
        <v/>
      </c>
      <c r="N27" s="9" t="str">
        <f aca="false">IF(OR(B27="",E27=""),"",IFERROR(INDEX(Confeccion!$B$5:$B$100,MATCH(INDEX(Recetas!$M$5:$M$84,MATCH($E27,Recetas!$A$5:$A$84,0)),Confeccion!$A$5:$A$100,0)),""))</f>
        <v/>
      </c>
      <c r="O27" s="9" t="str">
        <f aca="false">IF(OR(B27="",E27=""),"",IFERROR(N(INDEX(Recetas!$O$5:$O$84,MATCH($E27,Recetas!$A$5:$A$84,0)))*INDEX(Precios!$D$5:$D$120,MATCH(INDEX(Recetas!$N$5:$N$84,MATCH($E27,Recetas!$A$5:$A$84,0)),Precios!$A$5:$A$120,0)),0))</f>
        <v/>
      </c>
      <c r="P27" s="26" t="str">
        <f aca="false">IF(OR(B27="",E27=""),"",IF(AND(IFERROR(INDEX(Recetas!$T$5:$T$84,MATCH($E27,Recetas!$A$5:$A$84,0))="Lista",FALSE()),ISNUMBER(L27),ISNUMBER(M27),ISNUMBER(N27),N(N27)&gt;0),L27+M27+N27+N(O27)+N(H27),""))</f>
        <v/>
      </c>
      <c r="Q27" s="9" t="str">
        <f aca="false">IF(AND(ISNUMBER(P27),ISNUMBER(I27)),I27*Parametros!$B$12,"")</f>
        <v/>
      </c>
      <c r="R27" s="9" t="str">
        <f aca="false">IF(AND(ISNUMBER(P27),ISNUMBER(I27)),I27*Parametros!$B$13,"")</f>
        <v/>
      </c>
      <c r="S27" s="26" t="str">
        <f aca="false">IF(AND(ISNUMBER(P27),ISNUMBER(I27)),I27-P27-Q27-R27,"")</f>
        <v/>
      </c>
      <c r="T27" s="16" t="str">
        <f aca="false">IF(AND(ISNUMBER(P27),ISNUMBER(I27)),S27/I27,"")</f>
        <v/>
      </c>
      <c r="U27" s="9" t="str">
        <f aca="false">IF(OR(NOT(ISNUMBER(P27)),Parametros!$B$14&gt;=1),"",P27/(1-Parametros!$B$14))</f>
        <v/>
      </c>
      <c r="V27" s="9" t="str">
        <f aca="false">IF(OR(NOT(ISNUMBER(P27)),Parametros!$B$14+Parametros!$B$18&gt;=1),"",P27/(1-Parametros!$B$14-Parametros!$B$18))</f>
        <v/>
      </c>
      <c r="W27" s="35" t="str">
        <f aca="false">IF(B27="","",IF(E27="","SIN RECETA",IF(NOT(ISNUMBER(P27)),"FALTAN DATOS",IF(NOT(ISNUMBER(I27)),"FALTA PRECIO",IF(S27&lt;0,"PIERDE",IF(T27&lt;Parametros!$B$18,"BAJO META","OK"))))))</f>
        <v>SIN RECETA</v>
      </c>
      <c r="X27" s="36" t="str">
        <f aca="false">IF(B27="","",IF(E27="","Elegir receta (molde). ",IF(ISNA(MATCH(E27,Recetas!$A$5:$A$84,0)),"La receta no existe. ",IF(IFERROR(INDEX(Recetas!$T$5:$T$84,MATCH($E27,Recetas!$A$5:$A$84,0))="Lista",FALSE()),"","Receta "&amp;E27&amp;": "&amp;INDEX(Recetas!$T$5:$T$84,MATCH($E27,Recetas!$A$5:$A$84,0)))))&amp;IF(F27="","Elegir tela. ",IF(IFERROR(INDEX(Precios!$F$5:$F$120,MATCH(F27,Precios!$A$5:$A$120,0)),"")="","Tela sin $/metro (falta rendimiento o precio). ",""))&amp;IF(AND(E27&lt;&gt;"",N(IFERROR(INDEX(Recetas!$S$5:$S$84,MATCH($E27,Recetas!$A$5:$A$84,0)),0))&gt;0,G27=""),"Elegir tela 2. ","")&amp;IF(NOT(ISNUMBER(I27)),"Precio de venta.",""))</f>
        <v>Elegir receta (molde). Elegir tela. </v>
      </c>
      <c r="Y27" s="37" t="n">
        <f aca="false">IF(AND(ISNUMBER(P27),ISNUMBER(I27),ISNUMBER(D27)),P27*D27,0)</f>
        <v>0</v>
      </c>
      <c r="Z27" s="37" t="n">
        <f aca="false">IF(AND(ISNUMBER(P27),ISNUMBER(I27),ISNUMBER(D27)),I27*D27,0)</f>
        <v>0</v>
      </c>
      <c r="AA27" s="38" t="n">
        <f aca="false">IF(AND(ISNUMBER(P27),ISNUMBER(I27),ISNUMBER(D27)),D27,0)</f>
        <v>0</v>
      </c>
    </row>
    <row r="28" customFormat="false" ht="22.35" hidden="false" customHeight="false" outlineLevel="0" collapsed="false">
      <c r="A28" s="7" t="s">
        <v>174</v>
      </c>
      <c r="B28" s="7" t="s">
        <v>175</v>
      </c>
      <c r="C28" s="7" t="s">
        <v>111</v>
      </c>
      <c r="D28" s="7" t="n">
        <v>44</v>
      </c>
      <c r="E28" s="34"/>
      <c r="F28" s="34"/>
      <c r="G28" s="34"/>
      <c r="H28" s="8"/>
      <c r="I28" s="8" t="n">
        <v>27605</v>
      </c>
      <c r="J28" s="34" t="s">
        <v>113</v>
      </c>
      <c r="K28" s="10" t="s">
        <v>126</v>
      </c>
      <c r="L28" s="9" t="str">
        <f aca="false">IF(OR(B28="",E28=""),"",IFERROR(INDEX(Recetas!$R$5:$R$84,MATCH($E28,Recetas!$A$5:$A$84,0))*IFERROR(INDEX(Precios!$F$5:$F$120,MATCH(F28,Precios!$A$5:$A$120,0)),"")+IF(N(INDEX(Recetas!$S$5:$S$84,MATCH($E28,Recetas!$A$5:$A$84,0)))=0,0,INDEX(Recetas!$S$5:$S$84,MATCH($E28,Recetas!$A$5:$A$84,0))*IFERROR(INDEX(Precios!$F$5:$F$120,MATCH(G28,Precios!$A$5:$A$120,0)),"")),""))</f>
        <v/>
      </c>
      <c r="M28" s="9" t="str">
        <f aca="false">IF(OR(B28="",E28=""),"",IFERROR(N(INDEX(Recetas!$L$5:$L$84,MATCH($E28,Recetas!$A$5:$A$84,0)))*Parametros!$B$27,""))</f>
        <v/>
      </c>
      <c r="N28" s="9" t="str">
        <f aca="false">IF(OR(B28="",E28=""),"",IFERROR(INDEX(Confeccion!$B$5:$B$100,MATCH(INDEX(Recetas!$M$5:$M$84,MATCH($E28,Recetas!$A$5:$A$84,0)),Confeccion!$A$5:$A$100,0)),""))</f>
        <v/>
      </c>
      <c r="O28" s="9" t="str">
        <f aca="false">IF(OR(B28="",E28=""),"",IFERROR(N(INDEX(Recetas!$O$5:$O$84,MATCH($E28,Recetas!$A$5:$A$84,0)))*INDEX(Precios!$D$5:$D$120,MATCH(INDEX(Recetas!$N$5:$N$84,MATCH($E28,Recetas!$A$5:$A$84,0)),Precios!$A$5:$A$120,0)),0))</f>
        <v/>
      </c>
      <c r="P28" s="26" t="str">
        <f aca="false">IF(OR(B28="",E28=""),"",IF(AND(IFERROR(INDEX(Recetas!$T$5:$T$84,MATCH($E28,Recetas!$A$5:$A$84,0))="Lista",FALSE()),ISNUMBER(L28),ISNUMBER(M28),ISNUMBER(N28),N(N28)&gt;0),L28+M28+N28+N(O28)+N(H28),""))</f>
        <v/>
      </c>
      <c r="Q28" s="9" t="str">
        <f aca="false">IF(AND(ISNUMBER(P28),ISNUMBER(I28)),I28*Parametros!$B$12,"")</f>
        <v/>
      </c>
      <c r="R28" s="9" t="str">
        <f aca="false">IF(AND(ISNUMBER(P28),ISNUMBER(I28)),I28*Parametros!$B$13,"")</f>
        <v/>
      </c>
      <c r="S28" s="26" t="str">
        <f aca="false">IF(AND(ISNUMBER(P28),ISNUMBER(I28)),I28-P28-Q28-R28,"")</f>
        <v/>
      </c>
      <c r="T28" s="16" t="str">
        <f aca="false">IF(AND(ISNUMBER(P28),ISNUMBER(I28)),S28/I28,"")</f>
        <v/>
      </c>
      <c r="U28" s="9" t="str">
        <f aca="false">IF(OR(NOT(ISNUMBER(P28)),Parametros!$B$14&gt;=1),"",P28/(1-Parametros!$B$14))</f>
        <v/>
      </c>
      <c r="V28" s="9" t="str">
        <f aca="false">IF(OR(NOT(ISNUMBER(P28)),Parametros!$B$14+Parametros!$B$18&gt;=1),"",P28/(1-Parametros!$B$14-Parametros!$B$18))</f>
        <v/>
      </c>
      <c r="W28" s="35" t="str">
        <f aca="false">IF(B28="","",IF(E28="","SIN RECETA",IF(NOT(ISNUMBER(P28)),"FALTAN DATOS",IF(NOT(ISNUMBER(I28)),"FALTA PRECIO",IF(S28&lt;0,"PIERDE",IF(T28&lt;Parametros!$B$18,"BAJO META","OK"))))))</f>
        <v>SIN RECETA</v>
      </c>
      <c r="X28" s="36" t="str">
        <f aca="false">IF(B28="","",IF(E28="","Elegir receta (molde). ",IF(ISNA(MATCH(E28,Recetas!$A$5:$A$84,0)),"La receta no existe. ",IF(IFERROR(INDEX(Recetas!$T$5:$T$84,MATCH($E28,Recetas!$A$5:$A$84,0))="Lista",FALSE()),"","Receta "&amp;E28&amp;": "&amp;INDEX(Recetas!$T$5:$T$84,MATCH($E28,Recetas!$A$5:$A$84,0)))))&amp;IF(F28="","Elegir tela. ",IF(IFERROR(INDEX(Precios!$F$5:$F$120,MATCH(F28,Precios!$A$5:$A$120,0)),"")="","Tela sin $/metro (falta rendimiento o precio). ",""))&amp;IF(AND(E28&lt;&gt;"",N(IFERROR(INDEX(Recetas!$S$5:$S$84,MATCH($E28,Recetas!$A$5:$A$84,0)),0))&gt;0,G28=""),"Elegir tela 2. ","")&amp;IF(NOT(ISNUMBER(I28)),"Precio de venta.",""))</f>
        <v>Elegir receta (molde). Elegir tela. </v>
      </c>
      <c r="Y28" s="37" t="n">
        <f aca="false">IF(AND(ISNUMBER(P28),ISNUMBER(I28),ISNUMBER(D28)),P28*D28,0)</f>
        <v>0</v>
      </c>
      <c r="Z28" s="37" t="n">
        <f aca="false">IF(AND(ISNUMBER(P28),ISNUMBER(I28),ISNUMBER(D28)),I28*D28,0)</f>
        <v>0</v>
      </c>
      <c r="AA28" s="38" t="n">
        <f aca="false">IF(AND(ISNUMBER(P28),ISNUMBER(I28),ISNUMBER(D28)),D28,0)</f>
        <v>0</v>
      </c>
    </row>
    <row r="29" customFormat="false" ht="22.35" hidden="false" customHeight="false" outlineLevel="0" collapsed="false">
      <c r="A29" s="7" t="s">
        <v>176</v>
      </c>
      <c r="B29" s="7" t="s">
        <v>177</v>
      </c>
      <c r="C29" s="7" t="s">
        <v>136</v>
      </c>
      <c r="D29" s="7" t="n">
        <v>40</v>
      </c>
      <c r="E29" s="34"/>
      <c r="F29" s="34"/>
      <c r="G29" s="34"/>
      <c r="H29" s="8"/>
      <c r="I29" s="8" t="n">
        <v>32689</v>
      </c>
      <c r="J29" s="34" t="s">
        <v>113</v>
      </c>
      <c r="K29" s="10" t="s">
        <v>126</v>
      </c>
      <c r="L29" s="9" t="str">
        <f aca="false">IF(OR(B29="",E29=""),"",IFERROR(INDEX(Recetas!$R$5:$R$84,MATCH($E29,Recetas!$A$5:$A$84,0))*IFERROR(INDEX(Precios!$F$5:$F$120,MATCH(F29,Precios!$A$5:$A$120,0)),"")+IF(N(INDEX(Recetas!$S$5:$S$84,MATCH($E29,Recetas!$A$5:$A$84,0)))=0,0,INDEX(Recetas!$S$5:$S$84,MATCH($E29,Recetas!$A$5:$A$84,0))*IFERROR(INDEX(Precios!$F$5:$F$120,MATCH(G29,Precios!$A$5:$A$120,0)),"")),""))</f>
        <v/>
      </c>
      <c r="M29" s="9" t="str">
        <f aca="false">IF(OR(B29="",E29=""),"",IFERROR(N(INDEX(Recetas!$L$5:$L$84,MATCH($E29,Recetas!$A$5:$A$84,0)))*Parametros!$B$27,""))</f>
        <v/>
      </c>
      <c r="N29" s="9" t="str">
        <f aca="false">IF(OR(B29="",E29=""),"",IFERROR(INDEX(Confeccion!$B$5:$B$100,MATCH(INDEX(Recetas!$M$5:$M$84,MATCH($E29,Recetas!$A$5:$A$84,0)),Confeccion!$A$5:$A$100,0)),""))</f>
        <v/>
      </c>
      <c r="O29" s="9" t="str">
        <f aca="false">IF(OR(B29="",E29=""),"",IFERROR(N(INDEX(Recetas!$O$5:$O$84,MATCH($E29,Recetas!$A$5:$A$84,0)))*INDEX(Precios!$D$5:$D$120,MATCH(INDEX(Recetas!$N$5:$N$84,MATCH($E29,Recetas!$A$5:$A$84,0)),Precios!$A$5:$A$120,0)),0))</f>
        <v/>
      </c>
      <c r="P29" s="26" t="str">
        <f aca="false">IF(OR(B29="",E29=""),"",IF(AND(IFERROR(INDEX(Recetas!$T$5:$T$84,MATCH($E29,Recetas!$A$5:$A$84,0))="Lista",FALSE()),ISNUMBER(L29),ISNUMBER(M29),ISNUMBER(N29),N(N29)&gt;0),L29+M29+N29+N(O29)+N(H29),""))</f>
        <v/>
      </c>
      <c r="Q29" s="9" t="str">
        <f aca="false">IF(AND(ISNUMBER(P29),ISNUMBER(I29)),I29*Parametros!$B$12,"")</f>
        <v/>
      </c>
      <c r="R29" s="9" t="str">
        <f aca="false">IF(AND(ISNUMBER(P29),ISNUMBER(I29)),I29*Parametros!$B$13,"")</f>
        <v/>
      </c>
      <c r="S29" s="26" t="str">
        <f aca="false">IF(AND(ISNUMBER(P29),ISNUMBER(I29)),I29-P29-Q29-R29,"")</f>
        <v/>
      </c>
      <c r="T29" s="16" t="str">
        <f aca="false">IF(AND(ISNUMBER(P29),ISNUMBER(I29)),S29/I29,"")</f>
        <v/>
      </c>
      <c r="U29" s="9" t="str">
        <f aca="false">IF(OR(NOT(ISNUMBER(P29)),Parametros!$B$14&gt;=1),"",P29/(1-Parametros!$B$14))</f>
        <v/>
      </c>
      <c r="V29" s="9" t="str">
        <f aca="false">IF(OR(NOT(ISNUMBER(P29)),Parametros!$B$14+Parametros!$B$18&gt;=1),"",P29/(1-Parametros!$B$14-Parametros!$B$18))</f>
        <v/>
      </c>
      <c r="W29" s="35" t="str">
        <f aca="false">IF(B29="","",IF(E29="","SIN RECETA",IF(NOT(ISNUMBER(P29)),"FALTAN DATOS",IF(NOT(ISNUMBER(I29)),"FALTA PRECIO",IF(S29&lt;0,"PIERDE",IF(T29&lt;Parametros!$B$18,"BAJO META","OK"))))))</f>
        <v>SIN RECETA</v>
      </c>
      <c r="X29" s="36" t="str">
        <f aca="false">IF(B29="","",IF(E29="","Elegir receta (molde). ",IF(ISNA(MATCH(E29,Recetas!$A$5:$A$84,0)),"La receta no existe. ",IF(IFERROR(INDEX(Recetas!$T$5:$T$84,MATCH($E29,Recetas!$A$5:$A$84,0))="Lista",FALSE()),"","Receta "&amp;E29&amp;": "&amp;INDEX(Recetas!$T$5:$T$84,MATCH($E29,Recetas!$A$5:$A$84,0)))))&amp;IF(F29="","Elegir tela. ",IF(IFERROR(INDEX(Precios!$F$5:$F$120,MATCH(F29,Precios!$A$5:$A$120,0)),"")="","Tela sin $/metro (falta rendimiento o precio). ",""))&amp;IF(AND(E29&lt;&gt;"",N(IFERROR(INDEX(Recetas!$S$5:$S$84,MATCH($E29,Recetas!$A$5:$A$84,0)),0))&gt;0,G29=""),"Elegir tela 2. ","")&amp;IF(NOT(ISNUMBER(I29)),"Precio de venta.",""))</f>
        <v>Elegir receta (molde). Elegir tela. </v>
      </c>
      <c r="Y29" s="37" t="n">
        <f aca="false">IF(AND(ISNUMBER(P29),ISNUMBER(I29),ISNUMBER(D29)),P29*D29,0)</f>
        <v>0</v>
      </c>
      <c r="Z29" s="37" t="n">
        <f aca="false">IF(AND(ISNUMBER(P29),ISNUMBER(I29),ISNUMBER(D29)),I29*D29,0)</f>
        <v>0</v>
      </c>
      <c r="AA29" s="38" t="n">
        <f aca="false">IF(AND(ISNUMBER(P29),ISNUMBER(I29),ISNUMBER(D29)),D29,0)</f>
        <v>0</v>
      </c>
    </row>
    <row r="30" customFormat="false" ht="22.35" hidden="false" customHeight="false" outlineLevel="0" collapsed="false">
      <c r="A30" s="7" t="s">
        <v>178</v>
      </c>
      <c r="B30" s="7" t="s">
        <v>179</v>
      </c>
      <c r="C30" s="7" t="s">
        <v>111</v>
      </c>
      <c r="D30" s="7" t="n">
        <v>37</v>
      </c>
      <c r="E30" s="34"/>
      <c r="F30" s="34"/>
      <c r="G30" s="34"/>
      <c r="H30" s="8"/>
      <c r="I30" s="8" t="n">
        <v>17563</v>
      </c>
      <c r="J30" s="34" t="s">
        <v>113</v>
      </c>
      <c r="K30" s="10" t="s">
        <v>126</v>
      </c>
      <c r="L30" s="9" t="str">
        <f aca="false">IF(OR(B30="",E30=""),"",IFERROR(INDEX(Recetas!$R$5:$R$84,MATCH($E30,Recetas!$A$5:$A$84,0))*IFERROR(INDEX(Precios!$F$5:$F$120,MATCH(F30,Precios!$A$5:$A$120,0)),"")+IF(N(INDEX(Recetas!$S$5:$S$84,MATCH($E30,Recetas!$A$5:$A$84,0)))=0,0,INDEX(Recetas!$S$5:$S$84,MATCH($E30,Recetas!$A$5:$A$84,0))*IFERROR(INDEX(Precios!$F$5:$F$120,MATCH(G30,Precios!$A$5:$A$120,0)),"")),""))</f>
        <v/>
      </c>
      <c r="M30" s="9" t="str">
        <f aca="false">IF(OR(B30="",E30=""),"",IFERROR(N(INDEX(Recetas!$L$5:$L$84,MATCH($E30,Recetas!$A$5:$A$84,0)))*Parametros!$B$27,""))</f>
        <v/>
      </c>
      <c r="N30" s="9" t="str">
        <f aca="false">IF(OR(B30="",E30=""),"",IFERROR(INDEX(Confeccion!$B$5:$B$100,MATCH(INDEX(Recetas!$M$5:$M$84,MATCH($E30,Recetas!$A$5:$A$84,0)),Confeccion!$A$5:$A$100,0)),""))</f>
        <v/>
      </c>
      <c r="O30" s="9" t="str">
        <f aca="false">IF(OR(B30="",E30=""),"",IFERROR(N(INDEX(Recetas!$O$5:$O$84,MATCH($E30,Recetas!$A$5:$A$84,0)))*INDEX(Precios!$D$5:$D$120,MATCH(INDEX(Recetas!$N$5:$N$84,MATCH($E30,Recetas!$A$5:$A$84,0)),Precios!$A$5:$A$120,0)),0))</f>
        <v/>
      </c>
      <c r="P30" s="26" t="str">
        <f aca="false">IF(OR(B30="",E30=""),"",IF(AND(IFERROR(INDEX(Recetas!$T$5:$T$84,MATCH($E30,Recetas!$A$5:$A$84,0))="Lista",FALSE()),ISNUMBER(L30),ISNUMBER(M30),ISNUMBER(N30),N(N30)&gt;0),L30+M30+N30+N(O30)+N(H30),""))</f>
        <v/>
      </c>
      <c r="Q30" s="9" t="str">
        <f aca="false">IF(AND(ISNUMBER(P30),ISNUMBER(I30)),I30*Parametros!$B$12,"")</f>
        <v/>
      </c>
      <c r="R30" s="9" t="str">
        <f aca="false">IF(AND(ISNUMBER(P30),ISNUMBER(I30)),I30*Parametros!$B$13,"")</f>
        <v/>
      </c>
      <c r="S30" s="26" t="str">
        <f aca="false">IF(AND(ISNUMBER(P30),ISNUMBER(I30)),I30-P30-Q30-R30,"")</f>
        <v/>
      </c>
      <c r="T30" s="16" t="str">
        <f aca="false">IF(AND(ISNUMBER(P30),ISNUMBER(I30)),S30/I30,"")</f>
        <v/>
      </c>
      <c r="U30" s="9" t="str">
        <f aca="false">IF(OR(NOT(ISNUMBER(P30)),Parametros!$B$14&gt;=1),"",P30/(1-Parametros!$B$14))</f>
        <v/>
      </c>
      <c r="V30" s="9" t="str">
        <f aca="false">IF(OR(NOT(ISNUMBER(P30)),Parametros!$B$14+Parametros!$B$18&gt;=1),"",P30/(1-Parametros!$B$14-Parametros!$B$18))</f>
        <v/>
      </c>
      <c r="W30" s="35" t="str">
        <f aca="false">IF(B30="","",IF(E30="","SIN RECETA",IF(NOT(ISNUMBER(P30)),"FALTAN DATOS",IF(NOT(ISNUMBER(I30)),"FALTA PRECIO",IF(S30&lt;0,"PIERDE",IF(T30&lt;Parametros!$B$18,"BAJO META","OK"))))))</f>
        <v>SIN RECETA</v>
      </c>
      <c r="X30" s="36" t="str">
        <f aca="false">IF(B30="","",IF(E30="","Elegir receta (molde). ",IF(ISNA(MATCH(E30,Recetas!$A$5:$A$84,0)),"La receta no existe. ",IF(IFERROR(INDEX(Recetas!$T$5:$T$84,MATCH($E30,Recetas!$A$5:$A$84,0))="Lista",FALSE()),"","Receta "&amp;E30&amp;": "&amp;INDEX(Recetas!$T$5:$T$84,MATCH($E30,Recetas!$A$5:$A$84,0)))))&amp;IF(F30="","Elegir tela. ",IF(IFERROR(INDEX(Precios!$F$5:$F$120,MATCH(F30,Precios!$A$5:$A$120,0)),"")="","Tela sin $/metro (falta rendimiento o precio). ",""))&amp;IF(AND(E30&lt;&gt;"",N(IFERROR(INDEX(Recetas!$S$5:$S$84,MATCH($E30,Recetas!$A$5:$A$84,0)),0))&gt;0,G30=""),"Elegir tela 2. ","")&amp;IF(NOT(ISNUMBER(I30)),"Precio de venta.",""))</f>
        <v>Elegir receta (molde). Elegir tela. </v>
      </c>
      <c r="Y30" s="37" t="n">
        <f aca="false">IF(AND(ISNUMBER(P30),ISNUMBER(I30),ISNUMBER(D30)),P30*D30,0)</f>
        <v>0</v>
      </c>
      <c r="Z30" s="37" t="n">
        <f aca="false">IF(AND(ISNUMBER(P30),ISNUMBER(I30),ISNUMBER(D30)),I30*D30,0)</f>
        <v>0</v>
      </c>
      <c r="AA30" s="38" t="n">
        <f aca="false">IF(AND(ISNUMBER(P30),ISNUMBER(I30),ISNUMBER(D30)),D30,0)</f>
        <v>0</v>
      </c>
    </row>
    <row r="31" customFormat="false" ht="22.35" hidden="false" customHeight="false" outlineLevel="0" collapsed="false">
      <c r="A31" s="7" t="s">
        <v>180</v>
      </c>
      <c r="B31" s="7" t="s">
        <v>181</v>
      </c>
      <c r="C31" s="7" t="s">
        <v>136</v>
      </c>
      <c r="D31" s="7" t="n">
        <v>37</v>
      </c>
      <c r="E31" s="34"/>
      <c r="F31" s="34"/>
      <c r="G31" s="34"/>
      <c r="H31" s="8"/>
      <c r="I31" s="8" t="n">
        <v>54022</v>
      </c>
      <c r="J31" s="34" t="s">
        <v>113</v>
      </c>
      <c r="K31" s="10" t="s">
        <v>126</v>
      </c>
      <c r="L31" s="9" t="str">
        <f aca="false">IF(OR(B31="",E31=""),"",IFERROR(INDEX(Recetas!$R$5:$R$84,MATCH($E31,Recetas!$A$5:$A$84,0))*IFERROR(INDEX(Precios!$F$5:$F$120,MATCH(F31,Precios!$A$5:$A$120,0)),"")+IF(N(INDEX(Recetas!$S$5:$S$84,MATCH($E31,Recetas!$A$5:$A$84,0)))=0,0,INDEX(Recetas!$S$5:$S$84,MATCH($E31,Recetas!$A$5:$A$84,0))*IFERROR(INDEX(Precios!$F$5:$F$120,MATCH(G31,Precios!$A$5:$A$120,0)),"")),""))</f>
        <v/>
      </c>
      <c r="M31" s="9" t="str">
        <f aca="false">IF(OR(B31="",E31=""),"",IFERROR(N(INDEX(Recetas!$L$5:$L$84,MATCH($E31,Recetas!$A$5:$A$84,0)))*Parametros!$B$27,""))</f>
        <v/>
      </c>
      <c r="N31" s="9" t="str">
        <f aca="false">IF(OR(B31="",E31=""),"",IFERROR(INDEX(Confeccion!$B$5:$B$100,MATCH(INDEX(Recetas!$M$5:$M$84,MATCH($E31,Recetas!$A$5:$A$84,0)),Confeccion!$A$5:$A$100,0)),""))</f>
        <v/>
      </c>
      <c r="O31" s="9" t="str">
        <f aca="false">IF(OR(B31="",E31=""),"",IFERROR(N(INDEX(Recetas!$O$5:$O$84,MATCH($E31,Recetas!$A$5:$A$84,0)))*INDEX(Precios!$D$5:$D$120,MATCH(INDEX(Recetas!$N$5:$N$84,MATCH($E31,Recetas!$A$5:$A$84,0)),Precios!$A$5:$A$120,0)),0))</f>
        <v/>
      </c>
      <c r="P31" s="26" t="str">
        <f aca="false">IF(OR(B31="",E31=""),"",IF(AND(IFERROR(INDEX(Recetas!$T$5:$T$84,MATCH($E31,Recetas!$A$5:$A$84,0))="Lista",FALSE()),ISNUMBER(L31),ISNUMBER(M31),ISNUMBER(N31),N(N31)&gt;0),L31+M31+N31+N(O31)+N(H31),""))</f>
        <v/>
      </c>
      <c r="Q31" s="9" t="str">
        <f aca="false">IF(AND(ISNUMBER(P31),ISNUMBER(I31)),I31*Parametros!$B$12,"")</f>
        <v/>
      </c>
      <c r="R31" s="9" t="str">
        <f aca="false">IF(AND(ISNUMBER(P31),ISNUMBER(I31)),I31*Parametros!$B$13,"")</f>
        <v/>
      </c>
      <c r="S31" s="26" t="str">
        <f aca="false">IF(AND(ISNUMBER(P31),ISNUMBER(I31)),I31-P31-Q31-R31,"")</f>
        <v/>
      </c>
      <c r="T31" s="16" t="str">
        <f aca="false">IF(AND(ISNUMBER(P31),ISNUMBER(I31)),S31/I31,"")</f>
        <v/>
      </c>
      <c r="U31" s="9" t="str">
        <f aca="false">IF(OR(NOT(ISNUMBER(P31)),Parametros!$B$14&gt;=1),"",P31/(1-Parametros!$B$14))</f>
        <v/>
      </c>
      <c r="V31" s="9" t="str">
        <f aca="false">IF(OR(NOT(ISNUMBER(P31)),Parametros!$B$14+Parametros!$B$18&gt;=1),"",P31/(1-Parametros!$B$14-Parametros!$B$18))</f>
        <v/>
      </c>
      <c r="W31" s="35" t="str">
        <f aca="false">IF(B31="","",IF(E31="","SIN RECETA",IF(NOT(ISNUMBER(P31)),"FALTAN DATOS",IF(NOT(ISNUMBER(I31)),"FALTA PRECIO",IF(S31&lt;0,"PIERDE",IF(T31&lt;Parametros!$B$18,"BAJO META","OK"))))))</f>
        <v>SIN RECETA</v>
      </c>
      <c r="X31" s="36" t="str">
        <f aca="false">IF(B31="","",IF(E31="","Elegir receta (molde). ",IF(ISNA(MATCH(E31,Recetas!$A$5:$A$84,0)),"La receta no existe. ",IF(IFERROR(INDEX(Recetas!$T$5:$T$84,MATCH($E31,Recetas!$A$5:$A$84,0))="Lista",FALSE()),"","Receta "&amp;E31&amp;": "&amp;INDEX(Recetas!$T$5:$T$84,MATCH($E31,Recetas!$A$5:$A$84,0)))))&amp;IF(F31="","Elegir tela. ",IF(IFERROR(INDEX(Precios!$F$5:$F$120,MATCH(F31,Precios!$A$5:$A$120,0)),"")="","Tela sin $/metro (falta rendimiento o precio). ",""))&amp;IF(AND(E31&lt;&gt;"",N(IFERROR(INDEX(Recetas!$S$5:$S$84,MATCH($E31,Recetas!$A$5:$A$84,0)),0))&gt;0,G31=""),"Elegir tela 2. ","")&amp;IF(NOT(ISNUMBER(I31)),"Precio de venta.",""))</f>
        <v>Elegir receta (molde). Elegir tela. </v>
      </c>
      <c r="Y31" s="37" t="n">
        <f aca="false">IF(AND(ISNUMBER(P31),ISNUMBER(I31),ISNUMBER(D31)),P31*D31,0)</f>
        <v>0</v>
      </c>
      <c r="Z31" s="37" t="n">
        <f aca="false">IF(AND(ISNUMBER(P31),ISNUMBER(I31),ISNUMBER(D31)),I31*D31,0)</f>
        <v>0</v>
      </c>
      <c r="AA31" s="38" t="n">
        <f aca="false">IF(AND(ISNUMBER(P31),ISNUMBER(I31),ISNUMBER(D31)),D31,0)</f>
        <v>0</v>
      </c>
    </row>
    <row r="32" customFormat="false" ht="35.05" hidden="false" customHeight="false" outlineLevel="0" collapsed="false">
      <c r="A32" s="7" t="s">
        <v>182</v>
      </c>
      <c r="B32" s="7" t="s">
        <v>183</v>
      </c>
      <c r="C32" s="7" t="s">
        <v>111</v>
      </c>
      <c r="D32" s="7" t="n">
        <v>35</v>
      </c>
      <c r="E32" s="34" t="s">
        <v>157</v>
      </c>
      <c r="F32" s="34" t="s">
        <v>158</v>
      </c>
      <c r="G32" s="34"/>
      <c r="H32" s="8"/>
      <c r="I32" s="8" t="n">
        <v>14202</v>
      </c>
      <c r="J32" s="34" t="s">
        <v>113</v>
      </c>
      <c r="K32" s="10" t="s">
        <v>184</v>
      </c>
      <c r="L32" s="9" t="str">
        <f aca="false">IF(OR(B32="",E32=""),"",IFERROR(INDEX(Recetas!$R$5:$R$84,MATCH($E32,Recetas!$A$5:$A$84,0))*IFERROR(INDEX(Precios!$F$5:$F$120,MATCH(F32,Precios!$A$5:$A$120,0)),"")+IF(N(INDEX(Recetas!$S$5:$S$84,MATCH($E32,Recetas!$A$5:$A$84,0)))=0,0,INDEX(Recetas!$S$5:$S$84,MATCH($E32,Recetas!$A$5:$A$84,0))*IFERROR(INDEX(Precios!$F$5:$F$120,MATCH(G32,Precios!$A$5:$A$120,0)),"")),""))</f>
        <v/>
      </c>
      <c r="M32" s="9" t="n">
        <f aca="false">IF(OR(B32="",E32=""),"",IFERROR(N(INDEX(Recetas!$L$5:$L$84,MATCH($E32,Recetas!$A$5:$A$84,0)))*Parametros!$B$27,""))</f>
        <v>0</v>
      </c>
      <c r="N32" s="9" t="n">
        <f aca="false">IF(OR(B32="",E32=""),"",IFERROR(INDEX(Confeccion!$B$5:$B$100,MATCH(INDEX(Recetas!$M$5:$M$84,MATCH($E32,Recetas!$A$5:$A$84,0)),Confeccion!$A$5:$A$100,0)),""))</f>
        <v>2200</v>
      </c>
      <c r="O32" s="9" t="n">
        <f aca="false">IF(OR(B32="",E32=""),"",IFERROR(N(INDEX(Recetas!$O$5:$O$84,MATCH($E32,Recetas!$A$5:$A$84,0)))*INDEX(Precios!$D$5:$D$120,MATCH(INDEX(Recetas!$N$5:$N$84,MATCH($E32,Recetas!$A$5:$A$84,0)),Precios!$A$5:$A$120,0)),0))</f>
        <v>0</v>
      </c>
      <c r="P32" s="26" t="str">
        <f aca="false">IF(OR(B32="",E32=""),"",IF(AND(IFERROR(INDEX(Recetas!$T$5:$T$84,MATCH($E32,Recetas!$A$5:$A$84,0))="Lista",FALSE()),ISNUMBER(L32),ISNUMBER(M32),ISNUMBER(N32),N(N32)&gt;0),L32+M32+N32+N(O32)+N(H32),""))</f>
        <v/>
      </c>
      <c r="Q32" s="9" t="str">
        <f aca="false">IF(AND(ISNUMBER(P32),ISNUMBER(I32)),I32*Parametros!$B$12,"")</f>
        <v/>
      </c>
      <c r="R32" s="9" t="str">
        <f aca="false">IF(AND(ISNUMBER(P32),ISNUMBER(I32)),I32*Parametros!$B$13,"")</f>
        <v/>
      </c>
      <c r="S32" s="26" t="str">
        <f aca="false">IF(AND(ISNUMBER(P32),ISNUMBER(I32)),I32-P32-Q32-R32,"")</f>
        <v/>
      </c>
      <c r="T32" s="16" t="str">
        <f aca="false">IF(AND(ISNUMBER(P32),ISNUMBER(I32)),S32/I32,"")</f>
        <v/>
      </c>
      <c r="U32" s="9" t="str">
        <f aca="false">IF(OR(NOT(ISNUMBER(P32)),Parametros!$B$14&gt;=1),"",P32/(1-Parametros!$B$14))</f>
        <v/>
      </c>
      <c r="V32" s="9" t="str">
        <f aca="false">IF(OR(NOT(ISNUMBER(P32)),Parametros!$B$14+Parametros!$B$18&gt;=1),"",P32/(1-Parametros!$B$14-Parametros!$B$18))</f>
        <v/>
      </c>
      <c r="W32" s="35" t="str">
        <f aca="false">IF(B32="","",IF(E32="","SIN RECETA",IF(NOT(ISNUMBER(P32)),"FALTAN DATOS",IF(NOT(ISNUMBER(I32)),"FALTA PRECIO",IF(S32&lt;0,"PIERDE",IF(T32&lt;Parametros!$B$18,"BAJO META","OK"))))))</f>
        <v>FALTAN DATOS</v>
      </c>
      <c r="X32" s="36" t="str">
        <f aca="false">IF(B32="","",IF(E32="","Elegir receta (molde). ",IF(ISNA(MATCH(E32,Recetas!$A$5:$A$84,0)),"La receta no existe. ",IF(IFERROR(INDEX(Recetas!$T$5:$T$84,MATCH($E32,Recetas!$A$5:$A$84,0))="Lista",FALSE()),"","Receta "&amp;E32&amp;": "&amp;INDEX(Recetas!$T$5:$T$84,MATCH($E32,Recetas!$A$5:$A$84,0)))))&amp;IF(F32="","Elegir tela. ",IF(IFERROR(INDEX(Precios!$F$5:$F$120,MATCH(F32,Precios!$A$5:$A$120,0)),"")="","Tela sin $/metro (falta rendimiento o precio). ",""))&amp;IF(AND(E32&lt;&gt;"",N(IFERROR(INDEX(Recetas!$S$5:$S$84,MATCH($E32,Recetas!$A$5:$A$84,0)),0))&gt;0,G32=""),"Elegir tela 2. ","")&amp;IF(NOT(ISNUMBER(I32)),"Precio de venta.",""))</f>
        <v>Receta SM-02 · Short Rugby: Rendimiento de GABARDINA (m/kg) en Precios. Tela sin $/metro (falta rendimiento o precio). </v>
      </c>
      <c r="Y32" s="37" t="n">
        <f aca="false">IF(AND(ISNUMBER(P32),ISNUMBER(I32),ISNUMBER(D32)),P32*D32,0)</f>
        <v>0</v>
      </c>
      <c r="Z32" s="37" t="n">
        <f aca="false">IF(AND(ISNUMBER(P32),ISNUMBER(I32),ISNUMBER(D32)),I32*D32,0)</f>
        <v>0</v>
      </c>
      <c r="AA32" s="38" t="n">
        <f aca="false">IF(AND(ISNUMBER(P32),ISNUMBER(I32),ISNUMBER(D32)),D32,0)</f>
        <v>0</v>
      </c>
    </row>
    <row r="33" customFormat="false" ht="22.35" hidden="false" customHeight="false" outlineLevel="0" collapsed="false">
      <c r="A33" s="7" t="s">
        <v>185</v>
      </c>
      <c r="B33" s="7" t="s">
        <v>186</v>
      </c>
      <c r="C33" s="7" t="s">
        <v>136</v>
      </c>
      <c r="D33" s="7" t="n">
        <v>35</v>
      </c>
      <c r="E33" s="34"/>
      <c r="F33" s="34"/>
      <c r="G33" s="34"/>
      <c r="H33" s="8"/>
      <c r="I33" s="8" t="n">
        <v>27647</v>
      </c>
      <c r="J33" s="34" t="s">
        <v>113</v>
      </c>
      <c r="K33" s="10" t="s">
        <v>126</v>
      </c>
      <c r="L33" s="9" t="str">
        <f aca="false">IF(OR(B33="",E33=""),"",IFERROR(INDEX(Recetas!$R$5:$R$84,MATCH($E33,Recetas!$A$5:$A$84,0))*IFERROR(INDEX(Precios!$F$5:$F$120,MATCH(F33,Precios!$A$5:$A$120,0)),"")+IF(N(INDEX(Recetas!$S$5:$S$84,MATCH($E33,Recetas!$A$5:$A$84,0)))=0,0,INDEX(Recetas!$S$5:$S$84,MATCH($E33,Recetas!$A$5:$A$84,0))*IFERROR(INDEX(Precios!$F$5:$F$120,MATCH(G33,Precios!$A$5:$A$120,0)),"")),""))</f>
        <v/>
      </c>
      <c r="M33" s="9" t="str">
        <f aca="false">IF(OR(B33="",E33=""),"",IFERROR(N(INDEX(Recetas!$L$5:$L$84,MATCH($E33,Recetas!$A$5:$A$84,0)))*Parametros!$B$27,""))</f>
        <v/>
      </c>
      <c r="N33" s="9" t="str">
        <f aca="false">IF(OR(B33="",E33=""),"",IFERROR(INDEX(Confeccion!$B$5:$B$100,MATCH(INDEX(Recetas!$M$5:$M$84,MATCH($E33,Recetas!$A$5:$A$84,0)),Confeccion!$A$5:$A$100,0)),""))</f>
        <v/>
      </c>
      <c r="O33" s="9" t="str">
        <f aca="false">IF(OR(B33="",E33=""),"",IFERROR(N(INDEX(Recetas!$O$5:$O$84,MATCH($E33,Recetas!$A$5:$A$84,0)))*INDEX(Precios!$D$5:$D$120,MATCH(INDEX(Recetas!$N$5:$N$84,MATCH($E33,Recetas!$A$5:$A$84,0)),Precios!$A$5:$A$120,0)),0))</f>
        <v/>
      </c>
      <c r="P33" s="26" t="str">
        <f aca="false">IF(OR(B33="",E33=""),"",IF(AND(IFERROR(INDEX(Recetas!$T$5:$T$84,MATCH($E33,Recetas!$A$5:$A$84,0))="Lista",FALSE()),ISNUMBER(L33),ISNUMBER(M33),ISNUMBER(N33),N(N33)&gt;0),L33+M33+N33+N(O33)+N(H33),""))</f>
        <v/>
      </c>
      <c r="Q33" s="9" t="str">
        <f aca="false">IF(AND(ISNUMBER(P33),ISNUMBER(I33)),I33*Parametros!$B$12,"")</f>
        <v/>
      </c>
      <c r="R33" s="9" t="str">
        <f aca="false">IF(AND(ISNUMBER(P33),ISNUMBER(I33)),I33*Parametros!$B$13,"")</f>
        <v/>
      </c>
      <c r="S33" s="26" t="str">
        <f aca="false">IF(AND(ISNUMBER(P33),ISNUMBER(I33)),I33-P33-Q33-R33,"")</f>
        <v/>
      </c>
      <c r="T33" s="16" t="str">
        <f aca="false">IF(AND(ISNUMBER(P33),ISNUMBER(I33)),S33/I33,"")</f>
        <v/>
      </c>
      <c r="U33" s="9" t="str">
        <f aca="false">IF(OR(NOT(ISNUMBER(P33)),Parametros!$B$14&gt;=1),"",P33/(1-Parametros!$B$14))</f>
        <v/>
      </c>
      <c r="V33" s="9" t="str">
        <f aca="false">IF(OR(NOT(ISNUMBER(P33)),Parametros!$B$14+Parametros!$B$18&gt;=1),"",P33/(1-Parametros!$B$14-Parametros!$B$18))</f>
        <v/>
      </c>
      <c r="W33" s="35" t="str">
        <f aca="false">IF(B33="","",IF(E33="","SIN RECETA",IF(NOT(ISNUMBER(P33)),"FALTAN DATOS",IF(NOT(ISNUMBER(I33)),"FALTA PRECIO",IF(S33&lt;0,"PIERDE",IF(T33&lt;Parametros!$B$18,"BAJO META","OK"))))))</f>
        <v>SIN RECETA</v>
      </c>
      <c r="X33" s="36" t="str">
        <f aca="false">IF(B33="","",IF(E33="","Elegir receta (molde). ",IF(ISNA(MATCH(E33,Recetas!$A$5:$A$84,0)),"La receta no existe. ",IF(IFERROR(INDEX(Recetas!$T$5:$T$84,MATCH($E33,Recetas!$A$5:$A$84,0))="Lista",FALSE()),"","Receta "&amp;E33&amp;": "&amp;INDEX(Recetas!$T$5:$T$84,MATCH($E33,Recetas!$A$5:$A$84,0)))))&amp;IF(F33="","Elegir tela. ",IF(IFERROR(INDEX(Precios!$F$5:$F$120,MATCH(F33,Precios!$A$5:$A$120,0)),"")="","Tela sin $/metro (falta rendimiento o precio). ",""))&amp;IF(AND(E33&lt;&gt;"",N(IFERROR(INDEX(Recetas!$S$5:$S$84,MATCH($E33,Recetas!$A$5:$A$84,0)),0))&gt;0,G33=""),"Elegir tela 2. ","")&amp;IF(NOT(ISNUMBER(I33)),"Precio de venta.",""))</f>
        <v>Elegir receta (molde). Elegir tela. </v>
      </c>
      <c r="Y33" s="37" t="n">
        <f aca="false">IF(AND(ISNUMBER(P33),ISNUMBER(I33),ISNUMBER(D33)),P33*D33,0)</f>
        <v>0</v>
      </c>
      <c r="Z33" s="37" t="n">
        <f aca="false">IF(AND(ISNUMBER(P33),ISNUMBER(I33),ISNUMBER(D33)),I33*D33,0)</f>
        <v>0</v>
      </c>
      <c r="AA33" s="38" t="n">
        <f aca="false">IF(AND(ISNUMBER(P33),ISNUMBER(I33),ISNUMBER(D33)),D33,0)</f>
        <v>0</v>
      </c>
    </row>
    <row r="34" customFormat="false" ht="22.35" hidden="false" customHeight="false" outlineLevel="0" collapsed="false">
      <c r="A34" s="7" t="s">
        <v>187</v>
      </c>
      <c r="B34" s="7" t="s">
        <v>188</v>
      </c>
      <c r="C34" s="7" t="s">
        <v>111</v>
      </c>
      <c r="D34" s="7" t="n">
        <v>34</v>
      </c>
      <c r="E34" s="34"/>
      <c r="F34" s="34"/>
      <c r="G34" s="34"/>
      <c r="H34" s="8"/>
      <c r="I34" s="8" t="n">
        <v>19664</v>
      </c>
      <c r="J34" s="34" t="s">
        <v>113</v>
      </c>
      <c r="K34" s="10" t="s">
        <v>126</v>
      </c>
      <c r="L34" s="9" t="str">
        <f aca="false">IF(OR(B34="",E34=""),"",IFERROR(INDEX(Recetas!$R$5:$R$84,MATCH($E34,Recetas!$A$5:$A$84,0))*IFERROR(INDEX(Precios!$F$5:$F$120,MATCH(F34,Precios!$A$5:$A$120,0)),"")+IF(N(INDEX(Recetas!$S$5:$S$84,MATCH($E34,Recetas!$A$5:$A$84,0)))=0,0,INDEX(Recetas!$S$5:$S$84,MATCH($E34,Recetas!$A$5:$A$84,0))*IFERROR(INDEX(Precios!$F$5:$F$120,MATCH(G34,Precios!$A$5:$A$120,0)),"")),""))</f>
        <v/>
      </c>
      <c r="M34" s="9" t="str">
        <f aca="false">IF(OR(B34="",E34=""),"",IFERROR(N(INDEX(Recetas!$L$5:$L$84,MATCH($E34,Recetas!$A$5:$A$84,0)))*Parametros!$B$27,""))</f>
        <v/>
      </c>
      <c r="N34" s="9" t="str">
        <f aca="false">IF(OR(B34="",E34=""),"",IFERROR(INDEX(Confeccion!$B$5:$B$100,MATCH(INDEX(Recetas!$M$5:$M$84,MATCH($E34,Recetas!$A$5:$A$84,0)),Confeccion!$A$5:$A$100,0)),""))</f>
        <v/>
      </c>
      <c r="O34" s="9" t="str">
        <f aca="false">IF(OR(B34="",E34=""),"",IFERROR(N(INDEX(Recetas!$O$5:$O$84,MATCH($E34,Recetas!$A$5:$A$84,0)))*INDEX(Precios!$D$5:$D$120,MATCH(INDEX(Recetas!$N$5:$N$84,MATCH($E34,Recetas!$A$5:$A$84,0)),Precios!$A$5:$A$120,0)),0))</f>
        <v/>
      </c>
      <c r="P34" s="26" t="str">
        <f aca="false">IF(OR(B34="",E34=""),"",IF(AND(IFERROR(INDEX(Recetas!$T$5:$T$84,MATCH($E34,Recetas!$A$5:$A$84,0))="Lista",FALSE()),ISNUMBER(L34),ISNUMBER(M34),ISNUMBER(N34),N(N34)&gt;0),L34+M34+N34+N(O34)+N(H34),""))</f>
        <v/>
      </c>
      <c r="Q34" s="9" t="str">
        <f aca="false">IF(AND(ISNUMBER(P34),ISNUMBER(I34)),I34*Parametros!$B$12,"")</f>
        <v/>
      </c>
      <c r="R34" s="9" t="str">
        <f aca="false">IF(AND(ISNUMBER(P34),ISNUMBER(I34)),I34*Parametros!$B$13,"")</f>
        <v/>
      </c>
      <c r="S34" s="26" t="str">
        <f aca="false">IF(AND(ISNUMBER(P34),ISNUMBER(I34)),I34-P34-Q34-R34,"")</f>
        <v/>
      </c>
      <c r="T34" s="16" t="str">
        <f aca="false">IF(AND(ISNUMBER(P34),ISNUMBER(I34)),S34/I34,"")</f>
        <v/>
      </c>
      <c r="U34" s="9" t="str">
        <f aca="false">IF(OR(NOT(ISNUMBER(P34)),Parametros!$B$14&gt;=1),"",P34/(1-Parametros!$B$14))</f>
        <v/>
      </c>
      <c r="V34" s="9" t="str">
        <f aca="false">IF(OR(NOT(ISNUMBER(P34)),Parametros!$B$14+Parametros!$B$18&gt;=1),"",P34/(1-Parametros!$B$14-Parametros!$B$18))</f>
        <v/>
      </c>
      <c r="W34" s="35" t="str">
        <f aca="false">IF(B34="","",IF(E34="","SIN RECETA",IF(NOT(ISNUMBER(P34)),"FALTAN DATOS",IF(NOT(ISNUMBER(I34)),"FALTA PRECIO",IF(S34&lt;0,"PIERDE",IF(T34&lt;Parametros!$B$18,"BAJO META","OK"))))))</f>
        <v>SIN RECETA</v>
      </c>
      <c r="X34" s="36" t="str">
        <f aca="false">IF(B34="","",IF(E34="","Elegir receta (molde). ",IF(ISNA(MATCH(E34,Recetas!$A$5:$A$84,0)),"La receta no existe. ",IF(IFERROR(INDEX(Recetas!$T$5:$T$84,MATCH($E34,Recetas!$A$5:$A$84,0))="Lista",FALSE()),"","Receta "&amp;E34&amp;": "&amp;INDEX(Recetas!$T$5:$T$84,MATCH($E34,Recetas!$A$5:$A$84,0)))))&amp;IF(F34="","Elegir tela. ",IF(IFERROR(INDEX(Precios!$F$5:$F$120,MATCH(F34,Precios!$A$5:$A$120,0)),"")="","Tela sin $/metro (falta rendimiento o precio). ",""))&amp;IF(AND(E34&lt;&gt;"",N(IFERROR(INDEX(Recetas!$S$5:$S$84,MATCH($E34,Recetas!$A$5:$A$84,0)),0))&gt;0,G34=""),"Elegir tela 2. ","")&amp;IF(NOT(ISNUMBER(I34)),"Precio de venta.",""))</f>
        <v>Elegir receta (molde). Elegir tela. </v>
      </c>
      <c r="Y34" s="37" t="n">
        <f aca="false">IF(AND(ISNUMBER(P34),ISNUMBER(I34),ISNUMBER(D34)),P34*D34,0)</f>
        <v>0</v>
      </c>
      <c r="Z34" s="37" t="n">
        <f aca="false">IF(AND(ISNUMBER(P34),ISNUMBER(I34),ISNUMBER(D34)),I34*D34,0)</f>
        <v>0</v>
      </c>
      <c r="AA34" s="38" t="n">
        <f aca="false">IF(AND(ISNUMBER(P34),ISNUMBER(I34),ISNUMBER(D34)),D34,0)</f>
        <v>0</v>
      </c>
    </row>
    <row r="35" customFormat="false" ht="23.85" hidden="false" customHeight="false" outlineLevel="0" collapsed="false">
      <c r="A35" s="7" t="s">
        <v>189</v>
      </c>
      <c r="B35" s="7" t="s">
        <v>190</v>
      </c>
      <c r="C35" s="7" t="s">
        <v>111</v>
      </c>
      <c r="D35" s="7" t="n">
        <v>34</v>
      </c>
      <c r="E35" s="34" t="s">
        <v>112</v>
      </c>
      <c r="F35" s="34"/>
      <c r="G35" s="34"/>
      <c r="H35" s="8"/>
      <c r="I35" s="8" t="n">
        <v>17563</v>
      </c>
      <c r="J35" s="34" t="s">
        <v>113</v>
      </c>
      <c r="K35" s="10" t="s">
        <v>191</v>
      </c>
      <c r="L35" s="9" t="str">
        <f aca="false">IF(OR(B35="",E35=""),"",IFERROR(INDEX(Recetas!$R$5:$R$84,MATCH($E35,Recetas!$A$5:$A$84,0))*IFERROR(INDEX(Precios!$F$5:$F$120,MATCH(F35,Precios!$A$5:$A$120,0)),"")+IF(N(INDEX(Recetas!$S$5:$S$84,MATCH($E35,Recetas!$A$5:$A$84,0)))=0,0,INDEX(Recetas!$S$5:$S$84,MATCH($E35,Recetas!$A$5:$A$84,0))*IFERROR(INDEX(Precios!$F$5:$F$120,MATCH(G35,Precios!$A$5:$A$120,0)),"")),""))</f>
        <v/>
      </c>
      <c r="M35" s="9" t="n">
        <f aca="false">IF(OR(B35="",E35=""),"",IFERROR(N(INDEX(Recetas!$L$5:$L$84,MATCH($E35,Recetas!$A$5:$A$84,0)))*Parametros!$B$27,""))</f>
        <v>0</v>
      </c>
      <c r="N35" s="9" t="n">
        <f aca="false">IF(OR(B35="",E35=""),"",IFERROR(INDEX(Confeccion!$B$5:$B$100,MATCH(INDEX(Recetas!$M$5:$M$84,MATCH($E35,Recetas!$A$5:$A$84,0)),Confeccion!$A$5:$A$100,0)),""))</f>
        <v>2000</v>
      </c>
      <c r="O35" s="9" t="n">
        <f aca="false">IF(OR(B35="",E35=""),"",IFERROR(N(INDEX(Recetas!$O$5:$O$84,MATCH($E35,Recetas!$A$5:$A$84,0)))*INDEX(Precios!$D$5:$D$120,MATCH(INDEX(Recetas!$N$5:$N$84,MATCH($E35,Recetas!$A$5:$A$84,0)),Precios!$A$5:$A$120,0)),0))</f>
        <v>0</v>
      </c>
      <c r="P35" s="26" t="str">
        <f aca="false">IF(OR(B35="",E35=""),"",IF(AND(IFERROR(INDEX(Recetas!$T$5:$T$84,MATCH($E35,Recetas!$A$5:$A$84,0))="Lista",FALSE()),ISNUMBER(L35),ISNUMBER(M35),ISNUMBER(N35),N(N35)&gt;0),L35+M35+N35+N(O35)+N(H35),""))</f>
        <v/>
      </c>
      <c r="Q35" s="9" t="str">
        <f aca="false">IF(AND(ISNUMBER(P35),ISNUMBER(I35)),I35*Parametros!$B$12,"")</f>
        <v/>
      </c>
      <c r="R35" s="9" t="str">
        <f aca="false">IF(AND(ISNUMBER(P35),ISNUMBER(I35)),I35*Parametros!$B$13,"")</f>
        <v/>
      </c>
      <c r="S35" s="26" t="str">
        <f aca="false">IF(AND(ISNUMBER(P35),ISNUMBER(I35)),I35-P35-Q35-R35,"")</f>
        <v/>
      </c>
      <c r="T35" s="16" t="str">
        <f aca="false">IF(AND(ISNUMBER(P35),ISNUMBER(I35)),S35/I35,"")</f>
        <v/>
      </c>
      <c r="U35" s="9" t="str">
        <f aca="false">IF(OR(NOT(ISNUMBER(P35)),Parametros!$B$14&gt;=1),"",P35/(1-Parametros!$B$14))</f>
        <v/>
      </c>
      <c r="V35" s="9" t="str">
        <f aca="false">IF(OR(NOT(ISNUMBER(P35)),Parametros!$B$14+Parametros!$B$18&gt;=1),"",P35/(1-Parametros!$B$14-Parametros!$B$18))</f>
        <v/>
      </c>
      <c r="W35" s="35" t="str">
        <f aca="false">IF(B35="","",IF(E35="","SIN RECETA",IF(NOT(ISNUMBER(P35)),"FALTAN DATOS",IF(NOT(ISNUMBER(I35)),"FALTA PRECIO",IF(S35&lt;0,"PIERDE",IF(T35&lt;Parametros!$B$18,"BAJO META","OK"))))))</f>
        <v>FALTAN DATOS</v>
      </c>
      <c r="X35" s="36" t="str">
        <f aca="false">IF(B35="","",IF(E35="","Elegir receta (molde). ",IF(ISNA(MATCH(E35,Recetas!$A$5:$A$84,0)),"La receta no existe. ",IF(IFERROR(INDEX(Recetas!$T$5:$T$84,MATCH($E35,Recetas!$A$5:$A$84,0))="Lista",FALSE()),"","Receta "&amp;E35&amp;": "&amp;INDEX(Recetas!$T$5:$T$84,MATCH($E35,Recetas!$A$5:$A$84,0)))))&amp;IF(F35="","Elegir tela. ",IF(IFERROR(INDEX(Precios!$F$5:$F$120,MATCH(F35,Precios!$A$5:$A$120,0)),"")="","Tela sin $/metro (falta rendimiento o precio). ",""))&amp;IF(AND(E35&lt;&gt;"",N(IFERROR(INDEX(Recetas!$S$5:$S$84,MATCH($E35,Recetas!$A$5:$A$84,0)),0))&gt;0,G35=""),"Elegir tela 2. ","")&amp;IF(NOT(ISNUMBER(I35)),"Precio de venta.",""))</f>
        <v>Receta 02 · FUTHOMU01: Consumo de tela. Metros impresos. Elegir tela. </v>
      </c>
      <c r="Y35" s="37" t="n">
        <f aca="false">IF(AND(ISNUMBER(P35),ISNUMBER(I35),ISNUMBER(D35)),P35*D35,0)</f>
        <v>0</v>
      </c>
      <c r="Z35" s="37" t="n">
        <f aca="false">IF(AND(ISNUMBER(P35),ISNUMBER(I35),ISNUMBER(D35)),I35*D35,0)</f>
        <v>0</v>
      </c>
      <c r="AA35" s="38" t="n">
        <f aca="false">IF(AND(ISNUMBER(P35),ISNUMBER(I35),ISNUMBER(D35)),D35,0)</f>
        <v>0</v>
      </c>
    </row>
    <row r="36" customFormat="false" ht="22.35" hidden="false" customHeight="false" outlineLevel="0" collapsed="false">
      <c r="A36" s="7" t="s">
        <v>192</v>
      </c>
      <c r="B36" s="7" t="s">
        <v>193</v>
      </c>
      <c r="C36" s="7" t="s">
        <v>111</v>
      </c>
      <c r="D36" s="7" t="n">
        <v>31</v>
      </c>
      <c r="E36" s="34"/>
      <c r="F36" s="34"/>
      <c r="G36" s="34"/>
      <c r="H36" s="8"/>
      <c r="I36" s="8" t="n">
        <v>12521</v>
      </c>
      <c r="J36" s="34" t="s">
        <v>113</v>
      </c>
      <c r="K36" s="10" t="s">
        <v>126</v>
      </c>
      <c r="L36" s="9" t="str">
        <f aca="false">IF(OR(B36="",E36=""),"",IFERROR(INDEX(Recetas!$R$5:$R$84,MATCH($E36,Recetas!$A$5:$A$84,0))*IFERROR(INDEX(Precios!$F$5:$F$120,MATCH(F36,Precios!$A$5:$A$120,0)),"")+IF(N(INDEX(Recetas!$S$5:$S$84,MATCH($E36,Recetas!$A$5:$A$84,0)))=0,0,INDEX(Recetas!$S$5:$S$84,MATCH($E36,Recetas!$A$5:$A$84,0))*IFERROR(INDEX(Precios!$F$5:$F$120,MATCH(G36,Precios!$A$5:$A$120,0)),"")),""))</f>
        <v/>
      </c>
      <c r="M36" s="9" t="str">
        <f aca="false">IF(OR(B36="",E36=""),"",IFERROR(N(INDEX(Recetas!$L$5:$L$84,MATCH($E36,Recetas!$A$5:$A$84,0)))*Parametros!$B$27,""))</f>
        <v/>
      </c>
      <c r="N36" s="9" t="str">
        <f aca="false">IF(OR(B36="",E36=""),"",IFERROR(INDEX(Confeccion!$B$5:$B$100,MATCH(INDEX(Recetas!$M$5:$M$84,MATCH($E36,Recetas!$A$5:$A$84,0)),Confeccion!$A$5:$A$100,0)),""))</f>
        <v/>
      </c>
      <c r="O36" s="9" t="str">
        <f aca="false">IF(OR(B36="",E36=""),"",IFERROR(N(INDEX(Recetas!$O$5:$O$84,MATCH($E36,Recetas!$A$5:$A$84,0)))*INDEX(Precios!$D$5:$D$120,MATCH(INDEX(Recetas!$N$5:$N$84,MATCH($E36,Recetas!$A$5:$A$84,0)),Precios!$A$5:$A$120,0)),0))</f>
        <v/>
      </c>
      <c r="P36" s="26" t="str">
        <f aca="false">IF(OR(B36="",E36=""),"",IF(AND(IFERROR(INDEX(Recetas!$T$5:$T$84,MATCH($E36,Recetas!$A$5:$A$84,0))="Lista",FALSE()),ISNUMBER(L36),ISNUMBER(M36),ISNUMBER(N36),N(N36)&gt;0),L36+M36+N36+N(O36)+N(H36),""))</f>
        <v/>
      </c>
      <c r="Q36" s="9" t="str">
        <f aca="false">IF(AND(ISNUMBER(P36),ISNUMBER(I36)),I36*Parametros!$B$12,"")</f>
        <v/>
      </c>
      <c r="R36" s="9" t="str">
        <f aca="false">IF(AND(ISNUMBER(P36),ISNUMBER(I36)),I36*Parametros!$B$13,"")</f>
        <v/>
      </c>
      <c r="S36" s="26" t="str">
        <f aca="false">IF(AND(ISNUMBER(P36),ISNUMBER(I36)),I36-P36-Q36-R36,"")</f>
        <v/>
      </c>
      <c r="T36" s="16" t="str">
        <f aca="false">IF(AND(ISNUMBER(P36),ISNUMBER(I36)),S36/I36,"")</f>
        <v/>
      </c>
      <c r="U36" s="9" t="str">
        <f aca="false">IF(OR(NOT(ISNUMBER(P36)),Parametros!$B$14&gt;=1),"",P36/(1-Parametros!$B$14))</f>
        <v/>
      </c>
      <c r="V36" s="9" t="str">
        <f aca="false">IF(OR(NOT(ISNUMBER(P36)),Parametros!$B$14+Parametros!$B$18&gt;=1),"",P36/(1-Parametros!$B$14-Parametros!$B$18))</f>
        <v/>
      </c>
      <c r="W36" s="35" t="str">
        <f aca="false">IF(B36="","",IF(E36="","SIN RECETA",IF(NOT(ISNUMBER(P36)),"FALTAN DATOS",IF(NOT(ISNUMBER(I36)),"FALTA PRECIO",IF(S36&lt;0,"PIERDE",IF(T36&lt;Parametros!$B$18,"BAJO META","OK"))))))</f>
        <v>SIN RECETA</v>
      </c>
      <c r="X36" s="36" t="str">
        <f aca="false">IF(B36="","",IF(E36="","Elegir receta (molde). ",IF(ISNA(MATCH(E36,Recetas!$A$5:$A$84,0)),"La receta no existe. ",IF(IFERROR(INDEX(Recetas!$T$5:$T$84,MATCH($E36,Recetas!$A$5:$A$84,0))="Lista",FALSE()),"","Receta "&amp;E36&amp;": "&amp;INDEX(Recetas!$T$5:$T$84,MATCH($E36,Recetas!$A$5:$A$84,0)))))&amp;IF(F36="","Elegir tela. ",IF(IFERROR(INDEX(Precios!$F$5:$F$120,MATCH(F36,Precios!$A$5:$A$120,0)),"")="","Tela sin $/metro (falta rendimiento o precio). ",""))&amp;IF(AND(E36&lt;&gt;"",N(IFERROR(INDEX(Recetas!$S$5:$S$84,MATCH($E36,Recetas!$A$5:$A$84,0)),0))&gt;0,G36=""),"Elegir tela 2. ","")&amp;IF(NOT(ISNUMBER(I36)),"Precio de venta.",""))</f>
        <v>Elegir receta (molde). Elegir tela. </v>
      </c>
      <c r="Y36" s="37" t="n">
        <f aca="false">IF(AND(ISNUMBER(P36),ISNUMBER(I36),ISNUMBER(D36)),P36*D36,0)</f>
        <v>0</v>
      </c>
      <c r="Z36" s="37" t="n">
        <f aca="false">IF(AND(ISNUMBER(P36),ISNUMBER(I36),ISNUMBER(D36)),I36*D36,0)</f>
        <v>0</v>
      </c>
      <c r="AA36" s="38" t="n">
        <f aca="false">IF(AND(ISNUMBER(P36),ISNUMBER(I36),ISNUMBER(D36)),D36,0)</f>
        <v>0</v>
      </c>
    </row>
    <row r="37" customFormat="false" ht="22.35" hidden="false" customHeight="false" outlineLevel="0" collapsed="false">
      <c r="A37" s="7" t="s">
        <v>194</v>
      </c>
      <c r="B37" s="7" t="s">
        <v>195</v>
      </c>
      <c r="C37" s="7" t="s">
        <v>111</v>
      </c>
      <c r="D37" s="7" t="n">
        <v>29</v>
      </c>
      <c r="E37" s="34"/>
      <c r="F37" s="34"/>
      <c r="G37" s="34"/>
      <c r="H37" s="8"/>
      <c r="I37" s="8" t="n">
        <v>21204</v>
      </c>
      <c r="J37" s="34" t="s">
        <v>113</v>
      </c>
      <c r="K37" s="10" t="s">
        <v>126</v>
      </c>
      <c r="L37" s="9" t="str">
        <f aca="false">IF(OR(B37="",E37=""),"",IFERROR(INDEX(Recetas!$R$5:$R$84,MATCH($E37,Recetas!$A$5:$A$84,0))*IFERROR(INDEX(Precios!$F$5:$F$120,MATCH(F37,Precios!$A$5:$A$120,0)),"")+IF(N(INDEX(Recetas!$S$5:$S$84,MATCH($E37,Recetas!$A$5:$A$84,0)))=0,0,INDEX(Recetas!$S$5:$S$84,MATCH($E37,Recetas!$A$5:$A$84,0))*IFERROR(INDEX(Precios!$F$5:$F$120,MATCH(G37,Precios!$A$5:$A$120,0)),"")),""))</f>
        <v/>
      </c>
      <c r="M37" s="9" t="str">
        <f aca="false">IF(OR(B37="",E37=""),"",IFERROR(N(INDEX(Recetas!$L$5:$L$84,MATCH($E37,Recetas!$A$5:$A$84,0)))*Parametros!$B$27,""))</f>
        <v/>
      </c>
      <c r="N37" s="9" t="str">
        <f aca="false">IF(OR(B37="",E37=""),"",IFERROR(INDEX(Confeccion!$B$5:$B$100,MATCH(INDEX(Recetas!$M$5:$M$84,MATCH($E37,Recetas!$A$5:$A$84,0)),Confeccion!$A$5:$A$100,0)),""))</f>
        <v/>
      </c>
      <c r="O37" s="9" t="str">
        <f aca="false">IF(OR(B37="",E37=""),"",IFERROR(N(INDEX(Recetas!$O$5:$O$84,MATCH($E37,Recetas!$A$5:$A$84,0)))*INDEX(Precios!$D$5:$D$120,MATCH(INDEX(Recetas!$N$5:$N$84,MATCH($E37,Recetas!$A$5:$A$84,0)),Precios!$A$5:$A$120,0)),0))</f>
        <v/>
      </c>
      <c r="P37" s="26" t="str">
        <f aca="false">IF(OR(B37="",E37=""),"",IF(AND(IFERROR(INDEX(Recetas!$T$5:$T$84,MATCH($E37,Recetas!$A$5:$A$84,0))="Lista",FALSE()),ISNUMBER(L37),ISNUMBER(M37),ISNUMBER(N37),N(N37)&gt;0),L37+M37+N37+N(O37)+N(H37),""))</f>
        <v/>
      </c>
      <c r="Q37" s="9" t="str">
        <f aca="false">IF(AND(ISNUMBER(P37),ISNUMBER(I37)),I37*Parametros!$B$12,"")</f>
        <v/>
      </c>
      <c r="R37" s="9" t="str">
        <f aca="false">IF(AND(ISNUMBER(P37),ISNUMBER(I37)),I37*Parametros!$B$13,"")</f>
        <v/>
      </c>
      <c r="S37" s="26" t="str">
        <f aca="false">IF(AND(ISNUMBER(P37),ISNUMBER(I37)),I37-P37-Q37-R37,"")</f>
        <v/>
      </c>
      <c r="T37" s="16" t="str">
        <f aca="false">IF(AND(ISNUMBER(P37),ISNUMBER(I37)),S37/I37,"")</f>
        <v/>
      </c>
      <c r="U37" s="9" t="str">
        <f aca="false">IF(OR(NOT(ISNUMBER(P37)),Parametros!$B$14&gt;=1),"",P37/(1-Parametros!$B$14))</f>
        <v/>
      </c>
      <c r="V37" s="9" t="str">
        <f aca="false">IF(OR(NOT(ISNUMBER(P37)),Parametros!$B$14+Parametros!$B$18&gt;=1),"",P37/(1-Parametros!$B$14-Parametros!$B$18))</f>
        <v/>
      </c>
      <c r="W37" s="35" t="str">
        <f aca="false">IF(B37="","",IF(E37="","SIN RECETA",IF(NOT(ISNUMBER(P37)),"FALTAN DATOS",IF(NOT(ISNUMBER(I37)),"FALTA PRECIO",IF(S37&lt;0,"PIERDE",IF(T37&lt;Parametros!$B$18,"BAJO META","OK"))))))</f>
        <v>SIN RECETA</v>
      </c>
      <c r="X37" s="36" t="str">
        <f aca="false">IF(B37="","",IF(E37="","Elegir receta (molde). ",IF(ISNA(MATCH(E37,Recetas!$A$5:$A$84,0)),"La receta no existe. ",IF(IFERROR(INDEX(Recetas!$T$5:$T$84,MATCH($E37,Recetas!$A$5:$A$84,0))="Lista",FALSE()),"","Receta "&amp;E37&amp;": "&amp;INDEX(Recetas!$T$5:$T$84,MATCH($E37,Recetas!$A$5:$A$84,0)))))&amp;IF(F37="","Elegir tela. ",IF(IFERROR(INDEX(Precios!$F$5:$F$120,MATCH(F37,Precios!$A$5:$A$120,0)),"")="","Tela sin $/metro (falta rendimiento o precio). ",""))&amp;IF(AND(E37&lt;&gt;"",N(IFERROR(INDEX(Recetas!$S$5:$S$84,MATCH($E37,Recetas!$A$5:$A$84,0)),0))&gt;0,G37=""),"Elegir tela 2. ","")&amp;IF(NOT(ISNUMBER(I37)),"Precio de venta.",""))</f>
        <v>Elegir receta (molde). Elegir tela. </v>
      </c>
      <c r="Y37" s="37" t="n">
        <f aca="false">IF(AND(ISNUMBER(P37),ISNUMBER(I37),ISNUMBER(D37)),P37*D37,0)</f>
        <v>0</v>
      </c>
      <c r="Z37" s="37" t="n">
        <f aca="false">IF(AND(ISNUMBER(P37),ISNUMBER(I37),ISNUMBER(D37)),I37*D37,0)</f>
        <v>0</v>
      </c>
      <c r="AA37" s="38" t="n">
        <f aca="false">IF(AND(ISNUMBER(P37),ISNUMBER(I37),ISNUMBER(D37)),D37,0)</f>
        <v>0</v>
      </c>
    </row>
    <row r="38" customFormat="false" ht="22.35" hidden="false" customHeight="false" outlineLevel="0" collapsed="false">
      <c r="A38" s="7" t="s">
        <v>196</v>
      </c>
      <c r="B38" s="7" t="s">
        <v>197</v>
      </c>
      <c r="C38" s="7" t="s">
        <v>136</v>
      </c>
      <c r="D38" s="7" t="n">
        <v>29</v>
      </c>
      <c r="E38" s="34"/>
      <c r="F38" s="34"/>
      <c r="G38" s="34"/>
      <c r="H38" s="8"/>
      <c r="I38" s="8" t="n">
        <v>22605</v>
      </c>
      <c r="J38" s="34" t="s">
        <v>113</v>
      </c>
      <c r="K38" s="10" t="s">
        <v>126</v>
      </c>
      <c r="L38" s="9" t="str">
        <f aca="false">IF(OR(B38="",E38=""),"",IFERROR(INDEX(Recetas!$R$5:$R$84,MATCH($E38,Recetas!$A$5:$A$84,0))*IFERROR(INDEX(Precios!$F$5:$F$120,MATCH(F38,Precios!$A$5:$A$120,0)),"")+IF(N(INDEX(Recetas!$S$5:$S$84,MATCH($E38,Recetas!$A$5:$A$84,0)))=0,0,INDEX(Recetas!$S$5:$S$84,MATCH($E38,Recetas!$A$5:$A$84,0))*IFERROR(INDEX(Precios!$F$5:$F$120,MATCH(G38,Precios!$A$5:$A$120,0)),"")),""))</f>
        <v/>
      </c>
      <c r="M38" s="9" t="str">
        <f aca="false">IF(OR(B38="",E38=""),"",IFERROR(N(INDEX(Recetas!$L$5:$L$84,MATCH($E38,Recetas!$A$5:$A$84,0)))*Parametros!$B$27,""))</f>
        <v/>
      </c>
      <c r="N38" s="9" t="str">
        <f aca="false">IF(OR(B38="",E38=""),"",IFERROR(INDEX(Confeccion!$B$5:$B$100,MATCH(INDEX(Recetas!$M$5:$M$84,MATCH($E38,Recetas!$A$5:$A$84,0)),Confeccion!$A$5:$A$100,0)),""))</f>
        <v/>
      </c>
      <c r="O38" s="9" t="str">
        <f aca="false">IF(OR(B38="",E38=""),"",IFERROR(N(INDEX(Recetas!$O$5:$O$84,MATCH($E38,Recetas!$A$5:$A$84,0)))*INDEX(Precios!$D$5:$D$120,MATCH(INDEX(Recetas!$N$5:$N$84,MATCH($E38,Recetas!$A$5:$A$84,0)),Precios!$A$5:$A$120,0)),0))</f>
        <v/>
      </c>
      <c r="P38" s="26" t="str">
        <f aca="false">IF(OR(B38="",E38=""),"",IF(AND(IFERROR(INDEX(Recetas!$T$5:$T$84,MATCH($E38,Recetas!$A$5:$A$84,0))="Lista",FALSE()),ISNUMBER(L38),ISNUMBER(M38),ISNUMBER(N38),N(N38)&gt;0),L38+M38+N38+N(O38)+N(H38),""))</f>
        <v/>
      </c>
      <c r="Q38" s="9" t="str">
        <f aca="false">IF(AND(ISNUMBER(P38),ISNUMBER(I38)),I38*Parametros!$B$12,"")</f>
        <v/>
      </c>
      <c r="R38" s="9" t="str">
        <f aca="false">IF(AND(ISNUMBER(P38),ISNUMBER(I38)),I38*Parametros!$B$13,"")</f>
        <v/>
      </c>
      <c r="S38" s="26" t="str">
        <f aca="false">IF(AND(ISNUMBER(P38),ISNUMBER(I38)),I38-P38-Q38-R38,"")</f>
        <v/>
      </c>
      <c r="T38" s="16" t="str">
        <f aca="false">IF(AND(ISNUMBER(P38),ISNUMBER(I38)),S38/I38,"")</f>
        <v/>
      </c>
      <c r="U38" s="9" t="str">
        <f aca="false">IF(OR(NOT(ISNUMBER(P38)),Parametros!$B$14&gt;=1),"",P38/(1-Parametros!$B$14))</f>
        <v/>
      </c>
      <c r="V38" s="9" t="str">
        <f aca="false">IF(OR(NOT(ISNUMBER(P38)),Parametros!$B$14+Parametros!$B$18&gt;=1),"",P38/(1-Parametros!$B$14-Parametros!$B$18))</f>
        <v/>
      </c>
      <c r="W38" s="35" t="str">
        <f aca="false">IF(B38="","",IF(E38="","SIN RECETA",IF(NOT(ISNUMBER(P38)),"FALTAN DATOS",IF(NOT(ISNUMBER(I38)),"FALTA PRECIO",IF(S38&lt;0,"PIERDE",IF(T38&lt;Parametros!$B$18,"BAJO META","OK"))))))</f>
        <v>SIN RECETA</v>
      </c>
      <c r="X38" s="36" t="str">
        <f aca="false">IF(B38="","",IF(E38="","Elegir receta (molde). ",IF(ISNA(MATCH(E38,Recetas!$A$5:$A$84,0)),"La receta no existe. ",IF(IFERROR(INDEX(Recetas!$T$5:$T$84,MATCH($E38,Recetas!$A$5:$A$84,0))="Lista",FALSE()),"","Receta "&amp;E38&amp;": "&amp;INDEX(Recetas!$T$5:$T$84,MATCH($E38,Recetas!$A$5:$A$84,0)))))&amp;IF(F38="","Elegir tela. ",IF(IFERROR(INDEX(Precios!$F$5:$F$120,MATCH(F38,Precios!$A$5:$A$120,0)),"")="","Tela sin $/metro (falta rendimiento o precio). ",""))&amp;IF(AND(E38&lt;&gt;"",N(IFERROR(INDEX(Recetas!$S$5:$S$84,MATCH($E38,Recetas!$A$5:$A$84,0)),0))&gt;0,G38=""),"Elegir tela 2. ","")&amp;IF(NOT(ISNUMBER(I38)),"Precio de venta.",""))</f>
        <v>Elegir receta (molde). Elegir tela. </v>
      </c>
      <c r="Y38" s="37" t="n">
        <f aca="false">IF(AND(ISNUMBER(P38),ISNUMBER(I38),ISNUMBER(D38)),P38*D38,0)</f>
        <v>0</v>
      </c>
      <c r="Z38" s="37" t="n">
        <f aca="false">IF(AND(ISNUMBER(P38),ISNUMBER(I38),ISNUMBER(D38)),I38*D38,0)</f>
        <v>0</v>
      </c>
      <c r="AA38" s="38" t="n">
        <f aca="false">IF(AND(ISNUMBER(P38),ISNUMBER(I38),ISNUMBER(D38)),D38,0)</f>
        <v>0</v>
      </c>
    </row>
    <row r="39" customFormat="false" ht="22.35" hidden="false" customHeight="false" outlineLevel="0" collapsed="false">
      <c r="A39" s="7" t="s">
        <v>198</v>
      </c>
      <c r="B39" s="7" t="s">
        <v>199</v>
      </c>
      <c r="C39" s="7" t="s">
        <v>111</v>
      </c>
      <c r="D39" s="7" t="n">
        <v>29</v>
      </c>
      <c r="E39" s="34"/>
      <c r="F39" s="34"/>
      <c r="G39" s="34"/>
      <c r="H39" s="8"/>
      <c r="I39" s="8" t="n">
        <v>16723</v>
      </c>
      <c r="J39" s="34" t="s">
        <v>113</v>
      </c>
      <c r="K39" s="10" t="s">
        <v>126</v>
      </c>
      <c r="L39" s="9" t="str">
        <f aca="false">IF(OR(B39="",E39=""),"",IFERROR(INDEX(Recetas!$R$5:$R$84,MATCH($E39,Recetas!$A$5:$A$84,0))*IFERROR(INDEX(Precios!$F$5:$F$120,MATCH(F39,Precios!$A$5:$A$120,0)),"")+IF(N(INDEX(Recetas!$S$5:$S$84,MATCH($E39,Recetas!$A$5:$A$84,0)))=0,0,INDEX(Recetas!$S$5:$S$84,MATCH($E39,Recetas!$A$5:$A$84,0))*IFERROR(INDEX(Precios!$F$5:$F$120,MATCH(G39,Precios!$A$5:$A$120,0)),"")),""))</f>
        <v/>
      </c>
      <c r="M39" s="9" t="str">
        <f aca="false">IF(OR(B39="",E39=""),"",IFERROR(N(INDEX(Recetas!$L$5:$L$84,MATCH($E39,Recetas!$A$5:$A$84,0)))*Parametros!$B$27,""))</f>
        <v/>
      </c>
      <c r="N39" s="9" t="str">
        <f aca="false">IF(OR(B39="",E39=""),"",IFERROR(INDEX(Confeccion!$B$5:$B$100,MATCH(INDEX(Recetas!$M$5:$M$84,MATCH($E39,Recetas!$A$5:$A$84,0)),Confeccion!$A$5:$A$100,0)),""))</f>
        <v/>
      </c>
      <c r="O39" s="9" t="str">
        <f aca="false">IF(OR(B39="",E39=""),"",IFERROR(N(INDEX(Recetas!$O$5:$O$84,MATCH($E39,Recetas!$A$5:$A$84,0)))*INDEX(Precios!$D$5:$D$120,MATCH(INDEX(Recetas!$N$5:$N$84,MATCH($E39,Recetas!$A$5:$A$84,0)),Precios!$A$5:$A$120,0)),0))</f>
        <v/>
      </c>
      <c r="P39" s="26" t="str">
        <f aca="false">IF(OR(B39="",E39=""),"",IF(AND(IFERROR(INDEX(Recetas!$T$5:$T$84,MATCH($E39,Recetas!$A$5:$A$84,0))="Lista",FALSE()),ISNUMBER(L39),ISNUMBER(M39),ISNUMBER(N39),N(N39)&gt;0),L39+M39+N39+N(O39)+N(H39),""))</f>
        <v/>
      </c>
      <c r="Q39" s="9" t="str">
        <f aca="false">IF(AND(ISNUMBER(P39),ISNUMBER(I39)),I39*Parametros!$B$12,"")</f>
        <v/>
      </c>
      <c r="R39" s="9" t="str">
        <f aca="false">IF(AND(ISNUMBER(P39),ISNUMBER(I39)),I39*Parametros!$B$13,"")</f>
        <v/>
      </c>
      <c r="S39" s="26" t="str">
        <f aca="false">IF(AND(ISNUMBER(P39),ISNUMBER(I39)),I39-P39-Q39-R39,"")</f>
        <v/>
      </c>
      <c r="T39" s="16" t="str">
        <f aca="false">IF(AND(ISNUMBER(P39),ISNUMBER(I39)),S39/I39,"")</f>
        <v/>
      </c>
      <c r="U39" s="9" t="str">
        <f aca="false">IF(OR(NOT(ISNUMBER(P39)),Parametros!$B$14&gt;=1),"",P39/(1-Parametros!$B$14))</f>
        <v/>
      </c>
      <c r="V39" s="9" t="str">
        <f aca="false">IF(OR(NOT(ISNUMBER(P39)),Parametros!$B$14+Parametros!$B$18&gt;=1),"",P39/(1-Parametros!$B$14-Parametros!$B$18))</f>
        <v/>
      </c>
      <c r="W39" s="35" t="str">
        <f aca="false">IF(B39="","",IF(E39="","SIN RECETA",IF(NOT(ISNUMBER(P39)),"FALTAN DATOS",IF(NOT(ISNUMBER(I39)),"FALTA PRECIO",IF(S39&lt;0,"PIERDE",IF(T39&lt;Parametros!$B$18,"BAJO META","OK"))))))</f>
        <v>SIN RECETA</v>
      </c>
      <c r="X39" s="36" t="str">
        <f aca="false">IF(B39="","",IF(E39="","Elegir receta (molde). ",IF(ISNA(MATCH(E39,Recetas!$A$5:$A$84,0)),"La receta no existe. ",IF(IFERROR(INDEX(Recetas!$T$5:$T$84,MATCH($E39,Recetas!$A$5:$A$84,0))="Lista",FALSE()),"","Receta "&amp;E39&amp;": "&amp;INDEX(Recetas!$T$5:$T$84,MATCH($E39,Recetas!$A$5:$A$84,0)))))&amp;IF(F39="","Elegir tela. ",IF(IFERROR(INDEX(Precios!$F$5:$F$120,MATCH(F39,Precios!$A$5:$A$120,0)),"")="","Tela sin $/metro (falta rendimiento o precio). ",""))&amp;IF(AND(E39&lt;&gt;"",N(IFERROR(INDEX(Recetas!$S$5:$S$84,MATCH($E39,Recetas!$A$5:$A$84,0)),0))&gt;0,G39=""),"Elegir tela 2. ","")&amp;IF(NOT(ISNUMBER(I39)),"Precio de venta.",""))</f>
        <v>Elegir receta (molde). Elegir tela. </v>
      </c>
      <c r="Y39" s="37" t="n">
        <f aca="false">IF(AND(ISNUMBER(P39),ISNUMBER(I39),ISNUMBER(D39)),P39*D39,0)</f>
        <v>0</v>
      </c>
      <c r="Z39" s="37" t="n">
        <f aca="false">IF(AND(ISNUMBER(P39),ISNUMBER(I39),ISNUMBER(D39)),I39*D39,0)</f>
        <v>0</v>
      </c>
      <c r="AA39" s="38" t="n">
        <f aca="false">IF(AND(ISNUMBER(P39),ISNUMBER(I39),ISNUMBER(D39)),D39,0)</f>
        <v>0</v>
      </c>
    </row>
    <row r="40" customFormat="false" ht="22.35" hidden="false" customHeight="false" outlineLevel="0" collapsed="false">
      <c r="A40" s="7" t="s">
        <v>200</v>
      </c>
      <c r="B40" s="7" t="s">
        <v>201</v>
      </c>
      <c r="C40" s="7" t="s">
        <v>111</v>
      </c>
      <c r="D40" s="7" t="n">
        <v>26</v>
      </c>
      <c r="E40" s="34"/>
      <c r="F40" s="34"/>
      <c r="G40" s="34"/>
      <c r="H40" s="8"/>
      <c r="I40" s="8" t="n">
        <v>23488</v>
      </c>
      <c r="J40" s="34" t="s">
        <v>113</v>
      </c>
      <c r="K40" s="10" t="s">
        <v>126</v>
      </c>
      <c r="L40" s="9" t="str">
        <f aca="false">IF(OR(B40="",E40=""),"",IFERROR(INDEX(Recetas!$R$5:$R$84,MATCH($E40,Recetas!$A$5:$A$84,0))*IFERROR(INDEX(Precios!$F$5:$F$120,MATCH(F40,Precios!$A$5:$A$120,0)),"")+IF(N(INDEX(Recetas!$S$5:$S$84,MATCH($E40,Recetas!$A$5:$A$84,0)))=0,0,INDEX(Recetas!$S$5:$S$84,MATCH($E40,Recetas!$A$5:$A$84,0))*IFERROR(INDEX(Precios!$F$5:$F$120,MATCH(G40,Precios!$A$5:$A$120,0)),"")),""))</f>
        <v/>
      </c>
      <c r="M40" s="9" t="str">
        <f aca="false">IF(OR(B40="",E40=""),"",IFERROR(N(INDEX(Recetas!$L$5:$L$84,MATCH($E40,Recetas!$A$5:$A$84,0)))*Parametros!$B$27,""))</f>
        <v/>
      </c>
      <c r="N40" s="9" t="str">
        <f aca="false">IF(OR(B40="",E40=""),"",IFERROR(INDEX(Confeccion!$B$5:$B$100,MATCH(INDEX(Recetas!$M$5:$M$84,MATCH($E40,Recetas!$A$5:$A$84,0)),Confeccion!$A$5:$A$100,0)),""))</f>
        <v/>
      </c>
      <c r="O40" s="9" t="str">
        <f aca="false">IF(OR(B40="",E40=""),"",IFERROR(N(INDEX(Recetas!$O$5:$O$84,MATCH($E40,Recetas!$A$5:$A$84,0)))*INDEX(Precios!$D$5:$D$120,MATCH(INDEX(Recetas!$N$5:$N$84,MATCH($E40,Recetas!$A$5:$A$84,0)),Precios!$A$5:$A$120,0)),0))</f>
        <v/>
      </c>
      <c r="P40" s="26" t="str">
        <f aca="false">IF(OR(B40="",E40=""),"",IF(AND(IFERROR(INDEX(Recetas!$T$5:$T$84,MATCH($E40,Recetas!$A$5:$A$84,0))="Lista",FALSE()),ISNUMBER(L40),ISNUMBER(M40),ISNUMBER(N40),N(N40)&gt;0),L40+M40+N40+N(O40)+N(H40),""))</f>
        <v/>
      </c>
      <c r="Q40" s="9" t="str">
        <f aca="false">IF(AND(ISNUMBER(P40),ISNUMBER(I40)),I40*Parametros!$B$12,"")</f>
        <v/>
      </c>
      <c r="R40" s="9" t="str">
        <f aca="false">IF(AND(ISNUMBER(P40),ISNUMBER(I40)),I40*Parametros!$B$13,"")</f>
        <v/>
      </c>
      <c r="S40" s="26" t="str">
        <f aca="false">IF(AND(ISNUMBER(P40),ISNUMBER(I40)),I40-P40-Q40-R40,"")</f>
        <v/>
      </c>
      <c r="T40" s="16" t="str">
        <f aca="false">IF(AND(ISNUMBER(P40),ISNUMBER(I40)),S40/I40,"")</f>
        <v/>
      </c>
      <c r="U40" s="9" t="str">
        <f aca="false">IF(OR(NOT(ISNUMBER(P40)),Parametros!$B$14&gt;=1),"",P40/(1-Parametros!$B$14))</f>
        <v/>
      </c>
      <c r="V40" s="9" t="str">
        <f aca="false">IF(OR(NOT(ISNUMBER(P40)),Parametros!$B$14+Parametros!$B$18&gt;=1),"",P40/(1-Parametros!$B$14-Parametros!$B$18))</f>
        <v/>
      </c>
      <c r="W40" s="35" t="str">
        <f aca="false">IF(B40="","",IF(E40="","SIN RECETA",IF(NOT(ISNUMBER(P40)),"FALTAN DATOS",IF(NOT(ISNUMBER(I40)),"FALTA PRECIO",IF(S40&lt;0,"PIERDE",IF(T40&lt;Parametros!$B$18,"BAJO META","OK"))))))</f>
        <v>SIN RECETA</v>
      </c>
      <c r="X40" s="36" t="str">
        <f aca="false">IF(B40="","",IF(E40="","Elegir receta (molde). ",IF(ISNA(MATCH(E40,Recetas!$A$5:$A$84,0)),"La receta no existe. ",IF(IFERROR(INDEX(Recetas!$T$5:$T$84,MATCH($E40,Recetas!$A$5:$A$84,0))="Lista",FALSE()),"","Receta "&amp;E40&amp;": "&amp;INDEX(Recetas!$T$5:$T$84,MATCH($E40,Recetas!$A$5:$A$84,0)))))&amp;IF(F40="","Elegir tela. ",IF(IFERROR(INDEX(Precios!$F$5:$F$120,MATCH(F40,Precios!$A$5:$A$120,0)),"")="","Tela sin $/metro (falta rendimiento o precio). ",""))&amp;IF(AND(E40&lt;&gt;"",N(IFERROR(INDEX(Recetas!$S$5:$S$84,MATCH($E40,Recetas!$A$5:$A$84,0)),0))&gt;0,G40=""),"Elegir tela 2. ","")&amp;IF(NOT(ISNUMBER(I40)),"Precio de venta.",""))</f>
        <v>Elegir receta (molde). Elegir tela. </v>
      </c>
      <c r="Y40" s="37" t="n">
        <f aca="false">IF(AND(ISNUMBER(P40),ISNUMBER(I40),ISNUMBER(D40)),P40*D40,0)</f>
        <v>0</v>
      </c>
      <c r="Z40" s="37" t="n">
        <f aca="false">IF(AND(ISNUMBER(P40),ISNUMBER(I40),ISNUMBER(D40)),I40*D40,0)</f>
        <v>0</v>
      </c>
      <c r="AA40" s="38" t="n">
        <f aca="false">IF(AND(ISNUMBER(P40),ISNUMBER(I40),ISNUMBER(D40)),D40,0)</f>
        <v>0</v>
      </c>
    </row>
    <row r="41" customFormat="false" ht="22.35" hidden="false" customHeight="false" outlineLevel="0" collapsed="false">
      <c r="A41" s="7" t="s">
        <v>202</v>
      </c>
      <c r="B41" s="7" t="s">
        <v>203</v>
      </c>
      <c r="C41" s="7" t="s">
        <v>111</v>
      </c>
      <c r="D41" s="7" t="n">
        <v>25</v>
      </c>
      <c r="E41" s="34"/>
      <c r="F41" s="34"/>
      <c r="G41" s="34"/>
      <c r="H41" s="8"/>
      <c r="I41" s="8" t="n">
        <v>19244</v>
      </c>
      <c r="J41" s="34" t="s">
        <v>113</v>
      </c>
      <c r="K41" s="10" t="s">
        <v>126</v>
      </c>
      <c r="L41" s="9" t="str">
        <f aca="false">IF(OR(B41="",E41=""),"",IFERROR(INDEX(Recetas!$R$5:$R$84,MATCH($E41,Recetas!$A$5:$A$84,0))*IFERROR(INDEX(Precios!$F$5:$F$120,MATCH(F41,Precios!$A$5:$A$120,0)),"")+IF(N(INDEX(Recetas!$S$5:$S$84,MATCH($E41,Recetas!$A$5:$A$84,0)))=0,0,INDEX(Recetas!$S$5:$S$84,MATCH($E41,Recetas!$A$5:$A$84,0))*IFERROR(INDEX(Precios!$F$5:$F$120,MATCH(G41,Precios!$A$5:$A$120,0)),"")),""))</f>
        <v/>
      </c>
      <c r="M41" s="9" t="str">
        <f aca="false">IF(OR(B41="",E41=""),"",IFERROR(N(INDEX(Recetas!$L$5:$L$84,MATCH($E41,Recetas!$A$5:$A$84,0)))*Parametros!$B$27,""))</f>
        <v/>
      </c>
      <c r="N41" s="9" t="str">
        <f aca="false">IF(OR(B41="",E41=""),"",IFERROR(INDEX(Confeccion!$B$5:$B$100,MATCH(INDEX(Recetas!$M$5:$M$84,MATCH($E41,Recetas!$A$5:$A$84,0)),Confeccion!$A$5:$A$100,0)),""))</f>
        <v/>
      </c>
      <c r="O41" s="9" t="str">
        <f aca="false">IF(OR(B41="",E41=""),"",IFERROR(N(INDEX(Recetas!$O$5:$O$84,MATCH($E41,Recetas!$A$5:$A$84,0)))*INDEX(Precios!$D$5:$D$120,MATCH(INDEX(Recetas!$N$5:$N$84,MATCH($E41,Recetas!$A$5:$A$84,0)),Precios!$A$5:$A$120,0)),0))</f>
        <v/>
      </c>
      <c r="P41" s="26" t="str">
        <f aca="false">IF(OR(B41="",E41=""),"",IF(AND(IFERROR(INDEX(Recetas!$T$5:$T$84,MATCH($E41,Recetas!$A$5:$A$84,0))="Lista",FALSE()),ISNUMBER(L41),ISNUMBER(M41),ISNUMBER(N41),N(N41)&gt;0),L41+M41+N41+N(O41)+N(H41),""))</f>
        <v/>
      </c>
      <c r="Q41" s="9" t="str">
        <f aca="false">IF(AND(ISNUMBER(P41),ISNUMBER(I41)),I41*Parametros!$B$12,"")</f>
        <v/>
      </c>
      <c r="R41" s="9" t="str">
        <f aca="false">IF(AND(ISNUMBER(P41),ISNUMBER(I41)),I41*Parametros!$B$13,"")</f>
        <v/>
      </c>
      <c r="S41" s="26" t="str">
        <f aca="false">IF(AND(ISNUMBER(P41),ISNUMBER(I41)),I41-P41-Q41-R41,"")</f>
        <v/>
      </c>
      <c r="T41" s="16" t="str">
        <f aca="false">IF(AND(ISNUMBER(P41),ISNUMBER(I41)),S41/I41,"")</f>
        <v/>
      </c>
      <c r="U41" s="9" t="str">
        <f aca="false">IF(OR(NOT(ISNUMBER(P41)),Parametros!$B$14&gt;=1),"",P41/(1-Parametros!$B$14))</f>
        <v/>
      </c>
      <c r="V41" s="9" t="str">
        <f aca="false">IF(OR(NOT(ISNUMBER(P41)),Parametros!$B$14+Parametros!$B$18&gt;=1),"",P41/(1-Parametros!$B$14-Parametros!$B$18))</f>
        <v/>
      </c>
      <c r="W41" s="35" t="str">
        <f aca="false">IF(B41="","",IF(E41="","SIN RECETA",IF(NOT(ISNUMBER(P41)),"FALTAN DATOS",IF(NOT(ISNUMBER(I41)),"FALTA PRECIO",IF(S41&lt;0,"PIERDE",IF(T41&lt;Parametros!$B$18,"BAJO META","OK"))))))</f>
        <v>SIN RECETA</v>
      </c>
      <c r="X41" s="36" t="str">
        <f aca="false">IF(B41="","",IF(E41="","Elegir receta (molde). ",IF(ISNA(MATCH(E41,Recetas!$A$5:$A$84,0)),"La receta no existe. ",IF(IFERROR(INDEX(Recetas!$T$5:$T$84,MATCH($E41,Recetas!$A$5:$A$84,0))="Lista",FALSE()),"","Receta "&amp;E41&amp;": "&amp;INDEX(Recetas!$T$5:$T$84,MATCH($E41,Recetas!$A$5:$A$84,0)))))&amp;IF(F41="","Elegir tela. ",IF(IFERROR(INDEX(Precios!$F$5:$F$120,MATCH(F41,Precios!$A$5:$A$120,0)),"")="","Tela sin $/metro (falta rendimiento o precio). ",""))&amp;IF(AND(E41&lt;&gt;"",N(IFERROR(INDEX(Recetas!$S$5:$S$84,MATCH($E41,Recetas!$A$5:$A$84,0)),0))&gt;0,G41=""),"Elegir tela 2. ","")&amp;IF(NOT(ISNUMBER(I41)),"Precio de venta.",""))</f>
        <v>Elegir receta (molde). Elegir tela. </v>
      </c>
      <c r="Y41" s="37" t="n">
        <f aca="false">IF(AND(ISNUMBER(P41),ISNUMBER(I41),ISNUMBER(D41)),P41*D41,0)</f>
        <v>0</v>
      </c>
      <c r="Z41" s="37" t="n">
        <f aca="false">IF(AND(ISNUMBER(P41),ISNUMBER(I41),ISNUMBER(D41)),I41*D41,0)</f>
        <v>0</v>
      </c>
      <c r="AA41" s="38" t="n">
        <f aca="false">IF(AND(ISNUMBER(P41),ISNUMBER(I41),ISNUMBER(D41)),D41,0)</f>
        <v>0</v>
      </c>
    </row>
    <row r="42" customFormat="false" ht="22.35" hidden="false" customHeight="false" outlineLevel="0" collapsed="false">
      <c r="A42" s="7" t="s">
        <v>204</v>
      </c>
      <c r="B42" s="7" t="s">
        <v>205</v>
      </c>
      <c r="C42" s="7" t="s">
        <v>136</v>
      </c>
      <c r="D42" s="7" t="n">
        <v>25</v>
      </c>
      <c r="E42" s="34"/>
      <c r="F42" s="34"/>
      <c r="G42" s="34"/>
      <c r="H42" s="8"/>
      <c r="I42" s="8" t="n">
        <v>15882</v>
      </c>
      <c r="J42" s="34" t="s">
        <v>113</v>
      </c>
      <c r="K42" s="10" t="s">
        <v>126</v>
      </c>
      <c r="L42" s="9" t="str">
        <f aca="false">IF(OR(B42="",E42=""),"",IFERROR(INDEX(Recetas!$R$5:$R$84,MATCH($E42,Recetas!$A$5:$A$84,0))*IFERROR(INDEX(Precios!$F$5:$F$120,MATCH(F42,Precios!$A$5:$A$120,0)),"")+IF(N(INDEX(Recetas!$S$5:$S$84,MATCH($E42,Recetas!$A$5:$A$84,0)))=0,0,INDEX(Recetas!$S$5:$S$84,MATCH($E42,Recetas!$A$5:$A$84,0))*IFERROR(INDEX(Precios!$F$5:$F$120,MATCH(G42,Precios!$A$5:$A$120,0)),"")),""))</f>
        <v/>
      </c>
      <c r="M42" s="9" t="str">
        <f aca="false">IF(OR(B42="",E42=""),"",IFERROR(N(INDEX(Recetas!$L$5:$L$84,MATCH($E42,Recetas!$A$5:$A$84,0)))*Parametros!$B$27,""))</f>
        <v/>
      </c>
      <c r="N42" s="9" t="str">
        <f aca="false">IF(OR(B42="",E42=""),"",IFERROR(INDEX(Confeccion!$B$5:$B$100,MATCH(INDEX(Recetas!$M$5:$M$84,MATCH($E42,Recetas!$A$5:$A$84,0)),Confeccion!$A$5:$A$100,0)),""))</f>
        <v/>
      </c>
      <c r="O42" s="9" t="str">
        <f aca="false">IF(OR(B42="",E42=""),"",IFERROR(N(INDEX(Recetas!$O$5:$O$84,MATCH($E42,Recetas!$A$5:$A$84,0)))*INDEX(Precios!$D$5:$D$120,MATCH(INDEX(Recetas!$N$5:$N$84,MATCH($E42,Recetas!$A$5:$A$84,0)),Precios!$A$5:$A$120,0)),0))</f>
        <v/>
      </c>
      <c r="P42" s="26" t="str">
        <f aca="false">IF(OR(B42="",E42=""),"",IF(AND(IFERROR(INDEX(Recetas!$T$5:$T$84,MATCH($E42,Recetas!$A$5:$A$84,0))="Lista",FALSE()),ISNUMBER(L42),ISNUMBER(M42),ISNUMBER(N42),N(N42)&gt;0),L42+M42+N42+N(O42)+N(H42),""))</f>
        <v/>
      </c>
      <c r="Q42" s="9" t="str">
        <f aca="false">IF(AND(ISNUMBER(P42),ISNUMBER(I42)),I42*Parametros!$B$12,"")</f>
        <v/>
      </c>
      <c r="R42" s="9" t="str">
        <f aca="false">IF(AND(ISNUMBER(P42),ISNUMBER(I42)),I42*Parametros!$B$13,"")</f>
        <v/>
      </c>
      <c r="S42" s="26" t="str">
        <f aca="false">IF(AND(ISNUMBER(P42),ISNUMBER(I42)),I42-P42-Q42-R42,"")</f>
        <v/>
      </c>
      <c r="T42" s="16" t="str">
        <f aca="false">IF(AND(ISNUMBER(P42),ISNUMBER(I42)),S42/I42,"")</f>
        <v/>
      </c>
      <c r="U42" s="9" t="str">
        <f aca="false">IF(OR(NOT(ISNUMBER(P42)),Parametros!$B$14&gt;=1),"",P42/(1-Parametros!$B$14))</f>
        <v/>
      </c>
      <c r="V42" s="9" t="str">
        <f aca="false">IF(OR(NOT(ISNUMBER(P42)),Parametros!$B$14+Parametros!$B$18&gt;=1),"",P42/(1-Parametros!$B$14-Parametros!$B$18))</f>
        <v/>
      </c>
      <c r="W42" s="35" t="str">
        <f aca="false">IF(B42="","",IF(E42="","SIN RECETA",IF(NOT(ISNUMBER(P42)),"FALTAN DATOS",IF(NOT(ISNUMBER(I42)),"FALTA PRECIO",IF(S42&lt;0,"PIERDE",IF(T42&lt;Parametros!$B$18,"BAJO META","OK"))))))</f>
        <v>SIN RECETA</v>
      </c>
      <c r="X42" s="36" t="str">
        <f aca="false">IF(B42="","",IF(E42="","Elegir receta (molde). ",IF(ISNA(MATCH(E42,Recetas!$A$5:$A$84,0)),"La receta no existe. ",IF(IFERROR(INDEX(Recetas!$T$5:$T$84,MATCH($E42,Recetas!$A$5:$A$84,0))="Lista",FALSE()),"","Receta "&amp;E42&amp;": "&amp;INDEX(Recetas!$T$5:$T$84,MATCH($E42,Recetas!$A$5:$A$84,0)))))&amp;IF(F42="","Elegir tela. ",IF(IFERROR(INDEX(Precios!$F$5:$F$120,MATCH(F42,Precios!$A$5:$A$120,0)),"")="","Tela sin $/metro (falta rendimiento o precio). ",""))&amp;IF(AND(E42&lt;&gt;"",N(IFERROR(INDEX(Recetas!$S$5:$S$84,MATCH($E42,Recetas!$A$5:$A$84,0)),0))&gt;0,G42=""),"Elegir tela 2. ","")&amp;IF(NOT(ISNUMBER(I42)),"Precio de venta.",""))</f>
        <v>Elegir receta (molde). Elegir tela. </v>
      </c>
      <c r="Y42" s="37" t="n">
        <f aca="false">IF(AND(ISNUMBER(P42),ISNUMBER(I42),ISNUMBER(D42)),P42*D42,0)</f>
        <v>0</v>
      </c>
      <c r="Z42" s="37" t="n">
        <f aca="false">IF(AND(ISNUMBER(P42),ISNUMBER(I42),ISNUMBER(D42)),I42*D42,0)</f>
        <v>0</v>
      </c>
      <c r="AA42" s="38" t="n">
        <f aca="false">IF(AND(ISNUMBER(P42),ISNUMBER(I42),ISNUMBER(D42)),D42,0)</f>
        <v>0</v>
      </c>
    </row>
    <row r="43" customFormat="false" ht="23.85" hidden="false" customHeight="false" outlineLevel="0" collapsed="false">
      <c r="A43" s="7" t="s">
        <v>206</v>
      </c>
      <c r="B43" s="7" t="s">
        <v>207</v>
      </c>
      <c r="C43" s="7" t="s">
        <v>111</v>
      </c>
      <c r="D43" s="7" t="n">
        <v>24</v>
      </c>
      <c r="E43" s="34" t="s">
        <v>208</v>
      </c>
      <c r="F43" s="34"/>
      <c r="G43" s="34"/>
      <c r="H43" s="8"/>
      <c r="I43" s="8" t="n">
        <v>18403</v>
      </c>
      <c r="J43" s="34" t="s">
        <v>113</v>
      </c>
      <c r="K43" s="10" t="s">
        <v>209</v>
      </c>
      <c r="L43" s="9" t="str">
        <f aca="false">IF(OR(B43="",E43=""),"",IFERROR(INDEX(Recetas!$R$5:$R$84,MATCH($E43,Recetas!$A$5:$A$84,0))*IFERROR(INDEX(Precios!$F$5:$F$120,MATCH(F43,Precios!$A$5:$A$120,0)),"")+IF(N(INDEX(Recetas!$S$5:$S$84,MATCH($E43,Recetas!$A$5:$A$84,0)))=0,0,INDEX(Recetas!$S$5:$S$84,MATCH($E43,Recetas!$A$5:$A$84,0))*IFERROR(INDEX(Precios!$F$5:$F$120,MATCH(G43,Precios!$A$5:$A$120,0)),"")),""))</f>
        <v/>
      </c>
      <c r="M43" s="9" t="n">
        <f aca="false">IF(OR(B43="",E43=""),"",IFERROR(N(INDEX(Recetas!$L$5:$L$84,MATCH($E43,Recetas!$A$5:$A$84,0)))*Parametros!$B$27,""))</f>
        <v>0</v>
      </c>
      <c r="N43" s="9" t="n">
        <f aca="false">IF(OR(B43="",E43=""),"",IFERROR(INDEX(Confeccion!$B$5:$B$100,MATCH(INDEX(Recetas!$M$5:$M$84,MATCH($E43,Recetas!$A$5:$A$84,0)),Confeccion!$A$5:$A$100,0)),""))</f>
        <v>2000</v>
      </c>
      <c r="O43" s="9" t="n">
        <f aca="false">IF(OR(B43="",E43=""),"",IFERROR(N(INDEX(Recetas!$O$5:$O$84,MATCH($E43,Recetas!$A$5:$A$84,0)))*INDEX(Precios!$D$5:$D$120,MATCH(INDEX(Recetas!$N$5:$N$84,MATCH($E43,Recetas!$A$5:$A$84,0)),Precios!$A$5:$A$120,0)),0))</f>
        <v>0</v>
      </c>
      <c r="P43" s="26" t="str">
        <f aca="false">IF(OR(B43="",E43=""),"",IF(AND(IFERROR(INDEX(Recetas!$T$5:$T$84,MATCH($E43,Recetas!$A$5:$A$84,0))="Lista",FALSE()),ISNUMBER(L43),ISNUMBER(M43),ISNUMBER(N43),N(N43)&gt;0),L43+M43+N43+N(O43)+N(H43),""))</f>
        <v/>
      </c>
      <c r="Q43" s="9" t="str">
        <f aca="false">IF(AND(ISNUMBER(P43),ISNUMBER(I43)),I43*Parametros!$B$12,"")</f>
        <v/>
      </c>
      <c r="R43" s="9" t="str">
        <f aca="false">IF(AND(ISNUMBER(P43),ISNUMBER(I43)),I43*Parametros!$B$13,"")</f>
        <v/>
      </c>
      <c r="S43" s="26" t="str">
        <f aca="false">IF(AND(ISNUMBER(P43),ISNUMBER(I43)),I43-P43-Q43-R43,"")</f>
        <v/>
      </c>
      <c r="T43" s="16" t="str">
        <f aca="false">IF(AND(ISNUMBER(P43),ISNUMBER(I43)),S43/I43,"")</f>
        <v/>
      </c>
      <c r="U43" s="9" t="str">
        <f aca="false">IF(OR(NOT(ISNUMBER(P43)),Parametros!$B$14&gt;=1),"",P43/(1-Parametros!$B$14))</f>
        <v/>
      </c>
      <c r="V43" s="9" t="str">
        <f aca="false">IF(OR(NOT(ISNUMBER(P43)),Parametros!$B$14+Parametros!$B$18&gt;=1),"",P43/(1-Parametros!$B$14-Parametros!$B$18))</f>
        <v/>
      </c>
      <c r="W43" s="35" t="str">
        <f aca="false">IF(B43="","",IF(E43="","SIN RECETA",IF(NOT(ISNUMBER(P43)),"FALTAN DATOS",IF(NOT(ISNUMBER(I43)),"FALTA PRECIO",IF(S43&lt;0,"PIERDE",IF(T43&lt;Parametros!$B$18,"BAJO META","OK"))))))</f>
        <v>FALTAN DATOS</v>
      </c>
      <c r="X43" s="36" t="str">
        <f aca="false">IF(B43="","",IF(E43="","Elegir receta (molde). ",IF(ISNA(MATCH(E43,Recetas!$A$5:$A$84,0)),"La receta no existe. ",IF(IFERROR(INDEX(Recetas!$T$5:$T$84,MATCH($E43,Recetas!$A$5:$A$84,0))="Lista",FALSE()),"","Receta "&amp;E43&amp;": "&amp;INDEX(Recetas!$T$5:$T$84,MATCH($E43,Recetas!$A$5:$A$84,0)))))&amp;IF(F43="","Elegir tela. ",IF(IFERROR(INDEX(Precios!$F$5:$F$120,MATCH(F43,Precios!$A$5:$A$120,0)),"")="","Tela sin $/metro (falta rendimiento o precio). ",""))&amp;IF(AND(E43&lt;&gt;"",N(IFERROR(INDEX(Recetas!$S$5:$S$84,MATCH($E43,Recetas!$A$5:$A$84,0)),0))&gt;0,G43=""),"Elegir tela 2. ","")&amp;IF(NOT(ISNUMBER(I43)),"Precio de venta.",""))</f>
        <v>Receta 10 · FUTHOMCC01: Consumo de tela. Metros impresos. Elegir tela. </v>
      </c>
      <c r="Y43" s="37" t="n">
        <f aca="false">IF(AND(ISNUMBER(P43),ISNUMBER(I43),ISNUMBER(D43)),P43*D43,0)</f>
        <v>0</v>
      </c>
      <c r="Z43" s="37" t="n">
        <f aca="false">IF(AND(ISNUMBER(P43),ISNUMBER(I43),ISNUMBER(D43)),I43*D43,0)</f>
        <v>0</v>
      </c>
      <c r="AA43" s="38" t="n">
        <f aca="false">IF(AND(ISNUMBER(P43),ISNUMBER(I43),ISNUMBER(D43)),D43,0)</f>
        <v>0</v>
      </c>
    </row>
    <row r="44" customFormat="false" ht="23.85" hidden="false" customHeight="false" outlineLevel="0" collapsed="false">
      <c r="A44" s="7" t="s">
        <v>210</v>
      </c>
      <c r="B44" s="7" t="s">
        <v>211</v>
      </c>
      <c r="C44" s="7" t="s">
        <v>111</v>
      </c>
      <c r="D44" s="7" t="n">
        <v>23</v>
      </c>
      <c r="E44" s="34" t="s">
        <v>212</v>
      </c>
      <c r="F44" s="34" t="s">
        <v>121</v>
      </c>
      <c r="G44" s="34" t="s">
        <v>122</v>
      </c>
      <c r="H44" s="8"/>
      <c r="I44" s="8" t="n">
        <v>19244</v>
      </c>
      <c r="J44" s="34" t="s">
        <v>113</v>
      </c>
      <c r="K44" s="10" t="s">
        <v>213</v>
      </c>
      <c r="L44" s="9" t="str">
        <f aca="false">IF(OR(B44="",E44=""),"",IFERROR(INDEX(Recetas!$R$5:$R$84,MATCH($E44,Recetas!$A$5:$A$84,0))*IFERROR(INDEX(Precios!$F$5:$F$120,MATCH(F44,Precios!$A$5:$A$120,0)),"")+IF(N(INDEX(Recetas!$S$5:$S$84,MATCH($E44,Recetas!$A$5:$A$84,0)))=0,0,INDEX(Recetas!$S$5:$S$84,MATCH($E44,Recetas!$A$5:$A$84,0))*IFERROR(INDEX(Precios!$F$5:$F$120,MATCH(G44,Precios!$A$5:$A$120,0)),"")),""))</f>
        <v/>
      </c>
      <c r="M44" s="9" t="n">
        <f aca="false">IF(OR(B44="",E44=""),"",IFERROR(N(INDEX(Recetas!$L$5:$L$84,MATCH($E44,Recetas!$A$5:$A$84,0)))*Parametros!$B$27,""))</f>
        <v>0</v>
      </c>
      <c r="N44" s="9" t="n">
        <f aca="false">IF(OR(B44="",E44=""),"",IFERROR(INDEX(Confeccion!$B$5:$B$100,MATCH(INDEX(Recetas!$M$5:$M$84,MATCH($E44,Recetas!$A$5:$A$84,0)),Confeccion!$A$5:$A$100,0)),""))</f>
        <v>2000</v>
      </c>
      <c r="O44" s="9" t="n">
        <f aca="false">IF(OR(B44="",E44=""),"",IFERROR(N(INDEX(Recetas!$O$5:$O$84,MATCH($E44,Recetas!$A$5:$A$84,0)))*INDEX(Precios!$D$5:$D$120,MATCH(INDEX(Recetas!$N$5:$N$84,MATCH($E44,Recetas!$A$5:$A$84,0)),Precios!$A$5:$A$120,0)),0))</f>
        <v>0</v>
      </c>
      <c r="P44" s="26" t="str">
        <f aca="false">IF(OR(B44="",E44=""),"",IF(AND(IFERROR(INDEX(Recetas!$T$5:$T$84,MATCH($E44,Recetas!$A$5:$A$84,0))="Lista",FALSE()),ISNUMBER(L44),ISNUMBER(M44),ISNUMBER(N44),N(N44)&gt;0),L44+M44+N44+N(O44)+N(H44),""))</f>
        <v/>
      </c>
      <c r="Q44" s="9" t="str">
        <f aca="false">IF(AND(ISNUMBER(P44),ISNUMBER(I44)),I44*Parametros!$B$12,"")</f>
        <v/>
      </c>
      <c r="R44" s="9" t="str">
        <f aca="false">IF(AND(ISNUMBER(P44),ISNUMBER(I44)),I44*Parametros!$B$13,"")</f>
        <v/>
      </c>
      <c r="S44" s="26" t="str">
        <f aca="false">IF(AND(ISNUMBER(P44),ISNUMBER(I44)),I44-P44-Q44-R44,"")</f>
        <v/>
      </c>
      <c r="T44" s="16" t="str">
        <f aca="false">IF(AND(ISNUMBER(P44),ISNUMBER(I44)),S44/I44,"")</f>
        <v/>
      </c>
      <c r="U44" s="9" t="str">
        <f aca="false">IF(OR(NOT(ISNUMBER(P44)),Parametros!$B$14&gt;=1),"",P44/(1-Parametros!$B$14))</f>
        <v/>
      </c>
      <c r="V44" s="9" t="str">
        <f aca="false">IF(OR(NOT(ISNUMBER(P44)),Parametros!$B$14+Parametros!$B$18&gt;=1),"",P44/(1-Parametros!$B$14-Parametros!$B$18))</f>
        <v/>
      </c>
      <c r="W44" s="35" t="str">
        <f aca="false">IF(B44="","",IF(E44="","SIN RECETA",IF(NOT(ISNUMBER(P44)),"FALTAN DATOS",IF(NOT(ISNUMBER(I44)),"FALTA PRECIO",IF(S44&lt;0,"PIERDE",IF(T44&lt;Parametros!$B$18,"BAJO META","OK"))))))</f>
        <v>FALTAN DATOS</v>
      </c>
      <c r="X44" s="36" t="str">
        <f aca="false">IF(B44="","",IF(E44="","Elegir receta (molde). ",IF(ISNA(MATCH(E44,Recetas!$A$5:$A$84,0)),"La receta no existe. ",IF(IFERROR(INDEX(Recetas!$T$5:$T$84,MATCH($E44,Recetas!$A$5:$A$84,0))="Lista",FALSE()),"","Receta "&amp;E44&amp;": "&amp;INDEX(Recetas!$T$5:$T$84,MATCH($E44,Recetas!$A$5:$A$84,0)))))&amp;IF(F44="","Elegir tela. ",IF(IFERROR(INDEX(Precios!$F$5:$F$120,MATCH(F44,Precios!$A$5:$A$120,0)),"")="","Tela sin $/metro (falta rendimiento o precio). ",""))&amp;IF(AND(E44&lt;&gt;"",N(IFERROR(INDEX(Recetas!$S$5:$S$84,MATCH($E44,Recetas!$A$5:$A$84,0)),0))&gt;0,G44=""),"Elegir tela 2. ","")&amp;IF(NOT(ISNUMBER(I44)),"Precio de venta.",""))</f>
        <v>Receta 16 · FUTHOMV01PRO: Consumo de tela. Metros impresos. </v>
      </c>
      <c r="Y44" s="37" t="n">
        <f aca="false">IF(AND(ISNUMBER(P44),ISNUMBER(I44),ISNUMBER(D44)),P44*D44,0)</f>
        <v>0</v>
      </c>
      <c r="Z44" s="37" t="n">
        <f aca="false">IF(AND(ISNUMBER(P44),ISNUMBER(I44),ISNUMBER(D44)),I44*D44,0)</f>
        <v>0</v>
      </c>
      <c r="AA44" s="38" t="n">
        <f aca="false">IF(AND(ISNUMBER(P44),ISNUMBER(I44),ISNUMBER(D44)),D44,0)</f>
        <v>0</v>
      </c>
    </row>
    <row r="45" customFormat="false" ht="35.05" hidden="false" customHeight="false" outlineLevel="0" collapsed="false">
      <c r="A45" s="7" t="s">
        <v>214</v>
      </c>
      <c r="B45" s="7" t="s">
        <v>215</v>
      </c>
      <c r="C45" s="7" t="s">
        <v>111</v>
      </c>
      <c r="D45" s="7" t="n">
        <v>21</v>
      </c>
      <c r="E45" s="34" t="s">
        <v>216</v>
      </c>
      <c r="F45" s="34" t="s">
        <v>217</v>
      </c>
      <c r="G45" s="34"/>
      <c r="H45" s="8"/>
      <c r="I45" s="8" t="n">
        <v>17563</v>
      </c>
      <c r="J45" s="34" t="s">
        <v>113</v>
      </c>
      <c r="K45" s="10" t="s">
        <v>218</v>
      </c>
      <c r="L45" s="9" t="str">
        <f aca="false">IF(OR(B45="",E45=""),"",IFERROR(INDEX(Recetas!$R$5:$R$84,MATCH($E45,Recetas!$A$5:$A$84,0))*IFERROR(INDEX(Precios!$F$5:$F$120,MATCH(F45,Precios!$A$5:$A$120,0)),"")+IF(N(INDEX(Recetas!$S$5:$S$84,MATCH($E45,Recetas!$A$5:$A$84,0)))=0,0,INDEX(Recetas!$S$5:$S$84,MATCH($E45,Recetas!$A$5:$A$84,0))*IFERROR(INDEX(Precios!$F$5:$F$120,MATCH(G45,Precios!$A$5:$A$120,0)),"")),""))</f>
        <v/>
      </c>
      <c r="M45" s="9" t="n">
        <f aca="false">IF(OR(B45="",E45=""),"",IFERROR(N(INDEX(Recetas!$L$5:$L$84,MATCH($E45,Recetas!$A$5:$A$84,0)))*Parametros!$B$27,""))</f>
        <v>0</v>
      </c>
      <c r="N45" s="9" t="n">
        <f aca="false">IF(OR(B45="",E45=""),"",IFERROR(INDEX(Confeccion!$B$5:$B$100,MATCH(INDEX(Recetas!$M$5:$M$84,MATCH($E45,Recetas!$A$5:$A$84,0)),Confeccion!$A$5:$A$100,0)),""))</f>
        <v>1900</v>
      </c>
      <c r="O45" s="9" t="n">
        <f aca="false">IF(OR(B45="",E45=""),"",IFERROR(N(INDEX(Recetas!$O$5:$O$84,MATCH($E45,Recetas!$A$5:$A$84,0)))*INDEX(Precios!$D$5:$D$120,MATCH(INDEX(Recetas!$N$5:$N$84,MATCH($E45,Recetas!$A$5:$A$84,0)),Precios!$A$5:$A$120,0)),0))</f>
        <v>0</v>
      </c>
      <c r="P45" s="26" t="str">
        <f aca="false">IF(OR(B45="",E45=""),"",IF(AND(IFERROR(INDEX(Recetas!$T$5:$T$84,MATCH($E45,Recetas!$A$5:$A$84,0))="Lista",FALSE()),ISNUMBER(L45),ISNUMBER(M45),ISNUMBER(N45),N(N45)&gt;0),L45+M45+N45+N(O45)+N(H45),""))</f>
        <v/>
      </c>
      <c r="Q45" s="9" t="str">
        <f aca="false">IF(AND(ISNUMBER(P45),ISNUMBER(I45)),I45*Parametros!$B$12,"")</f>
        <v/>
      </c>
      <c r="R45" s="9" t="str">
        <f aca="false">IF(AND(ISNUMBER(P45),ISNUMBER(I45)),I45*Parametros!$B$13,"")</f>
        <v/>
      </c>
      <c r="S45" s="26" t="str">
        <f aca="false">IF(AND(ISNUMBER(P45),ISNUMBER(I45)),I45-P45-Q45-R45,"")</f>
        <v/>
      </c>
      <c r="T45" s="16" t="str">
        <f aca="false">IF(AND(ISNUMBER(P45),ISNUMBER(I45)),S45/I45,"")</f>
        <v/>
      </c>
      <c r="U45" s="9" t="str">
        <f aca="false">IF(OR(NOT(ISNUMBER(P45)),Parametros!$B$14&gt;=1),"",P45/(1-Parametros!$B$14))</f>
        <v/>
      </c>
      <c r="V45" s="9" t="str">
        <f aca="false">IF(OR(NOT(ISNUMBER(P45)),Parametros!$B$14+Parametros!$B$18&gt;=1),"",P45/(1-Parametros!$B$14-Parametros!$B$18))</f>
        <v/>
      </c>
      <c r="W45" s="35" t="str">
        <f aca="false">IF(B45="","",IF(E45="","SIN RECETA",IF(NOT(ISNUMBER(P45)),"FALTAN DATOS",IF(NOT(ISNUMBER(I45)),"FALTA PRECIO",IF(S45&lt;0,"PIERDE",IF(T45&lt;Parametros!$B$18,"BAJO META","OK"))))))</f>
        <v>FALTAN DATOS</v>
      </c>
      <c r="X45" s="36" t="str">
        <f aca="false">IF(B45="","",IF(E45="","Elegir receta (molde). ",IF(ISNA(MATCH(E45,Recetas!$A$5:$A$84,0)),"La receta no existe. ",IF(IFERROR(INDEX(Recetas!$T$5:$T$84,MATCH($E45,Recetas!$A$5:$A$84,0))="Lista",FALSE()),"","Receta "&amp;E45&amp;": "&amp;INDEX(Recetas!$T$5:$T$84,MATCH($E45,Recetas!$A$5:$A$84,0)))))&amp;IF(F45="","Elegir tela. ",IF(IFERROR(INDEX(Precios!$F$5:$F$120,MATCH(F45,Precios!$A$5:$A$120,0)),"")="","Tela sin $/metro (falta rendimiento o precio). ",""))&amp;IF(AND(E45&lt;&gt;"",N(IFERROR(INDEX(Recetas!$S$5:$S$84,MATCH($E45,Recetas!$A$5:$A$84,0)),0))&gt;0,G45=""),"Elegir tela 2. ","")&amp;IF(NOT(ISNUMBER(I45)),"Precio de venta.",""))</f>
        <v>Receta 30 · BKHOMU03: Rendimiento de QUICKDRY (m/kg) en Precios. Metros impresos. Tela sin $/metro (falta rendimiento o precio). </v>
      </c>
      <c r="Y45" s="37" t="n">
        <f aca="false">IF(AND(ISNUMBER(P45),ISNUMBER(I45),ISNUMBER(D45)),P45*D45,0)</f>
        <v>0</v>
      </c>
      <c r="Z45" s="37" t="n">
        <f aca="false">IF(AND(ISNUMBER(P45),ISNUMBER(I45),ISNUMBER(D45)),I45*D45,0)</f>
        <v>0</v>
      </c>
      <c r="AA45" s="38" t="n">
        <f aca="false">IF(AND(ISNUMBER(P45),ISNUMBER(I45),ISNUMBER(D45)),D45,0)</f>
        <v>0</v>
      </c>
    </row>
    <row r="46" customFormat="false" ht="35.05" hidden="false" customHeight="false" outlineLevel="0" collapsed="false">
      <c r="A46" s="7" t="s">
        <v>219</v>
      </c>
      <c r="B46" s="7" t="s">
        <v>220</v>
      </c>
      <c r="C46" s="7" t="s">
        <v>111</v>
      </c>
      <c r="D46" s="7" t="n">
        <v>20</v>
      </c>
      <c r="E46" s="34" t="s">
        <v>163</v>
      </c>
      <c r="F46" s="34" t="s">
        <v>164</v>
      </c>
      <c r="G46" s="34"/>
      <c r="H46" s="8"/>
      <c r="I46" s="8" t="n">
        <v>12521</v>
      </c>
      <c r="J46" s="34" t="s">
        <v>113</v>
      </c>
      <c r="K46" s="10" t="s">
        <v>221</v>
      </c>
      <c r="L46" s="9" t="str">
        <f aca="false">IF(OR(B46="",E46=""),"",IFERROR(INDEX(Recetas!$R$5:$R$84,MATCH($E46,Recetas!$A$5:$A$84,0))*IFERROR(INDEX(Precios!$F$5:$F$120,MATCH(F46,Precios!$A$5:$A$120,0)),"")+IF(N(INDEX(Recetas!$S$5:$S$84,MATCH($E46,Recetas!$A$5:$A$84,0)))=0,0,INDEX(Recetas!$S$5:$S$84,MATCH($E46,Recetas!$A$5:$A$84,0))*IFERROR(INDEX(Precios!$F$5:$F$120,MATCH(G46,Precios!$A$5:$A$120,0)),"")),""))</f>
        <v/>
      </c>
      <c r="M46" s="9" t="n">
        <f aca="false">IF(OR(B46="",E46=""),"",IFERROR(N(INDEX(Recetas!$L$5:$L$84,MATCH($E46,Recetas!$A$5:$A$84,0)))*Parametros!$B$27,""))</f>
        <v>0</v>
      </c>
      <c r="N46" s="9" t="n">
        <f aca="false">IF(OR(B46="",E46=""),"",IFERROR(INDEX(Confeccion!$B$5:$B$100,MATCH(INDEX(Recetas!$M$5:$M$84,MATCH($E46,Recetas!$A$5:$A$84,0)),Confeccion!$A$5:$A$100,0)),""))</f>
        <v>1700</v>
      </c>
      <c r="O46" s="9" t="n">
        <f aca="false">IF(OR(B46="",E46=""),"",IFERROR(N(INDEX(Recetas!$O$5:$O$84,MATCH($E46,Recetas!$A$5:$A$84,0)))*INDEX(Precios!$D$5:$D$120,MATCH(INDEX(Recetas!$N$5:$N$84,MATCH($E46,Recetas!$A$5:$A$84,0)),Precios!$A$5:$A$120,0)),0))</f>
        <v>0</v>
      </c>
      <c r="P46" s="26" t="str">
        <f aca="false">IF(OR(B46="",E46=""),"",IF(AND(IFERROR(INDEX(Recetas!$T$5:$T$84,MATCH($E46,Recetas!$A$5:$A$84,0))="Lista",FALSE()),ISNUMBER(L46),ISNUMBER(M46),ISNUMBER(N46),N(N46)&gt;0),L46+M46+N46+N(O46)+N(H46),""))</f>
        <v/>
      </c>
      <c r="Q46" s="9" t="str">
        <f aca="false">IF(AND(ISNUMBER(P46),ISNUMBER(I46)),I46*Parametros!$B$12,"")</f>
        <v/>
      </c>
      <c r="R46" s="9" t="str">
        <f aca="false">IF(AND(ISNUMBER(P46),ISNUMBER(I46)),I46*Parametros!$B$13,"")</f>
        <v/>
      </c>
      <c r="S46" s="26" t="str">
        <f aca="false">IF(AND(ISNUMBER(P46),ISNUMBER(I46)),I46-P46-Q46-R46,"")</f>
        <v/>
      </c>
      <c r="T46" s="16" t="str">
        <f aca="false">IF(AND(ISNUMBER(P46),ISNUMBER(I46)),S46/I46,"")</f>
        <v/>
      </c>
      <c r="U46" s="9" t="str">
        <f aca="false">IF(OR(NOT(ISNUMBER(P46)),Parametros!$B$14&gt;=1),"",P46/(1-Parametros!$B$14))</f>
        <v/>
      </c>
      <c r="V46" s="9" t="str">
        <f aca="false">IF(OR(NOT(ISNUMBER(P46)),Parametros!$B$14+Parametros!$B$18&gt;=1),"",P46/(1-Parametros!$B$14-Parametros!$B$18))</f>
        <v/>
      </c>
      <c r="W46" s="35" t="str">
        <f aca="false">IF(B46="","",IF(E46="","SIN RECETA",IF(NOT(ISNUMBER(P46)),"FALTAN DATOS",IF(NOT(ISNUMBER(I46)),"FALTA PRECIO",IF(S46&lt;0,"PIERDE",IF(T46&lt;Parametros!$B$18,"BAJO META","OK"))))))</f>
        <v>FALTAN DATOS</v>
      </c>
      <c r="X46" s="36" t="str">
        <f aca="false">IF(B46="","",IF(E46="","Elegir receta (molde). ",IF(ISNA(MATCH(E46,Recetas!$A$5:$A$84,0)),"La receta no existe. ",IF(IFERROR(INDEX(Recetas!$T$5:$T$84,MATCH($E46,Recetas!$A$5:$A$84,0))="Lista",FALSE()),"","Receta "&amp;E46&amp;": "&amp;INDEX(Recetas!$T$5:$T$84,MATCH($E46,Recetas!$A$5:$A$84,0)))))&amp;IF(F46="","Elegir tela. ",IF(IFERROR(INDEX(Precios!$F$5:$F$120,MATCH(F46,Precios!$A$5:$A$120,0)),"")="","Tela sin $/metro (falta rendimiento o precio). ",""))&amp;IF(AND(E46&lt;&gt;"",N(IFERROR(INDEX(Recetas!$S$5:$S$84,MATCH($E46,Recetas!$A$5:$A$84,0)),0))&gt;0,G46=""),"Elegir tela 2. ","")&amp;IF(NOT(ISNUMBER(I46)),"Precio de venta.",""))</f>
        <v>Receta SM-01 · Short Fútbol: Rendimiento de CIRE BLANCO (m/kg) en Precios. Tela sin $/metro (falta rendimiento o precio). </v>
      </c>
      <c r="Y46" s="37" t="n">
        <f aca="false">IF(AND(ISNUMBER(P46),ISNUMBER(I46),ISNUMBER(D46)),P46*D46,0)</f>
        <v>0</v>
      </c>
      <c r="Z46" s="37" t="n">
        <f aca="false">IF(AND(ISNUMBER(P46),ISNUMBER(I46),ISNUMBER(D46)),I46*D46,0)</f>
        <v>0</v>
      </c>
      <c r="AA46" s="38" t="n">
        <f aca="false">IF(AND(ISNUMBER(P46),ISNUMBER(I46),ISNUMBER(D46)),D46,0)</f>
        <v>0</v>
      </c>
    </row>
    <row r="47" customFormat="false" ht="22.35" hidden="false" customHeight="false" outlineLevel="0" collapsed="false">
      <c r="A47" s="7" t="s">
        <v>222</v>
      </c>
      <c r="B47" s="7" t="s">
        <v>223</v>
      </c>
      <c r="C47" s="7" t="s">
        <v>111</v>
      </c>
      <c r="D47" s="7" t="n">
        <v>20</v>
      </c>
      <c r="E47" s="34"/>
      <c r="F47" s="34"/>
      <c r="G47" s="34"/>
      <c r="H47" s="8"/>
      <c r="I47" s="8" t="n">
        <v>18403</v>
      </c>
      <c r="J47" s="34" t="s">
        <v>113</v>
      </c>
      <c r="K47" s="10" t="s">
        <v>126</v>
      </c>
      <c r="L47" s="9" t="str">
        <f aca="false">IF(OR(B47="",E47=""),"",IFERROR(INDEX(Recetas!$R$5:$R$84,MATCH($E47,Recetas!$A$5:$A$84,0))*IFERROR(INDEX(Precios!$F$5:$F$120,MATCH(F47,Precios!$A$5:$A$120,0)),"")+IF(N(INDEX(Recetas!$S$5:$S$84,MATCH($E47,Recetas!$A$5:$A$84,0)))=0,0,INDEX(Recetas!$S$5:$S$84,MATCH($E47,Recetas!$A$5:$A$84,0))*IFERROR(INDEX(Precios!$F$5:$F$120,MATCH(G47,Precios!$A$5:$A$120,0)),"")),""))</f>
        <v/>
      </c>
      <c r="M47" s="9" t="str">
        <f aca="false">IF(OR(B47="",E47=""),"",IFERROR(N(INDEX(Recetas!$L$5:$L$84,MATCH($E47,Recetas!$A$5:$A$84,0)))*Parametros!$B$27,""))</f>
        <v/>
      </c>
      <c r="N47" s="9" t="str">
        <f aca="false">IF(OR(B47="",E47=""),"",IFERROR(INDEX(Confeccion!$B$5:$B$100,MATCH(INDEX(Recetas!$M$5:$M$84,MATCH($E47,Recetas!$A$5:$A$84,0)),Confeccion!$A$5:$A$100,0)),""))</f>
        <v/>
      </c>
      <c r="O47" s="9" t="str">
        <f aca="false">IF(OR(B47="",E47=""),"",IFERROR(N(INDEX(Recetas!$O$5:$O$84,MATCH($E47,Recetas!$A$5:$A$84,0)))*INDEX(Precios!$D$5:$D$120,MATCH(INDEX(Recetas!$N$5:$N$84,MATCH($E47,Recetas!$A$5:$A$84,0)),Precios!$A$5:$A$120,0)),0))</f>
        <v/>
      </c>
      <c r="P47" s="26" t="str">
        <f aca="false">IF(OR(B47="",E47=""),"",IF(AND(IFERROR(INDEX(Recetas!$T$5:$T$84,MATCH($E47,Recetas!$A$5:$A$84,0))="Lista",FALSE()),ISNUMBER(L47),ISNUMBER(M47),ISNUMBER(N47),N(N47)&gt;0),L47+M47+N47+N(O47)+N(H47),""))</f>
        <v/>
      </c>
      <c r="Q47" s="9" t="str">
        <f aca="false">IF(AND(ISNUMBER(P47),ISNUMBER(I47)),I47*Parametros!$B$12,"")</f>
        <v/>
      </c>
      <c r="R47" s="9" t="str">
        <f aca="false">IF(AND(ISNUMBER(P47),ISNUMBER(I47)),I47*Parametros!$B$13,"")</f>
        <v/>
      </c>
      <c r="S47" s="26" t="str">
        <f aca="false">IF(AND(ISNUMBER(P47),ISNUMBER(I47)),I47-P47-Q47-R47,"")</f>
        <v/>
      </c>
      <c r="T47" s="16" t="str">
        <f aca="false">IF(AND(ISNUMBER(P47),ISNUMBER(I47)),S47/I47,"")</f>
        <v/>
      </c>
      <c r="U47" s="9" t="str">
        <f aca="false">IF(OR(NOT(ISNUMBER(P47)),Parametros!$B$14&gt;=1),"",P47/(1-Parametros!$B$14))</f>
        <v/>
      </c>
      <c r="V47" s="9" t="str">
        <f aca="false">IF(OR(NOT(ISNUMBER(P47)),Parametros!$B$14+Parametros!$B$18&gt;=1),"",P47/(1-Parametros!$B$14-Parametros!$B$18))</f>
        <v/>
      </c>
      <c r="W47" s="35" t="str">
        <f aca="false">IF(B47="","",IF(E47="","SIN RECETA",IF(NOT(ISNUMBER(P47)),"FALTAN DATOS",IF(NOT(ISNUMBER(I47)),"FALTA PRECIO",IF(S47&lt;0,"PIERDE",IF(T47&lt;Parametros!$B$18,"BAJO META","OK"))))))</f>
        <v>SIN RECETA</v>
      </c>
      <c r="X47" s="36" t="str">
        <f aca="false">IF(B47="","",IF(E47="","Elegir receta (molde). ",IF(ISNA(MATCH(E47,Recetas!$A$5:$A$84,0)),"La receta no existe. ",IF(IFERROR(INDEX(Recetas!$T$5:$T$84,MATCH($E47,Recetas!$A$5:$A$84,0))="Lista",FALSE()),"","Receta "&amp;E47&amp;": "&amp;INDEX(Recetas!$T$5:$T$84,MATCH($E47,Recetas!$A$5:$A$84,0)))))&amp;IF(F47="","Elegir tela. ",IF(IFERROR(INDEX(Precios!$F$5:$F$120,MATCH(F47,Precios!$A$5:$A$120,0)),"")="","Tela sin $/metro (falta rendimiento o precio). ",""))&amp;IF(AND(E47&lt;&gt;"",N(IFERROR(INDEX(Recetas!$S$5:$S$84,MATCH($E47,Recetas!$A$5:$A$84,0)),0))&gt;0,G47=""),"Elegir tela 2. ","")&amp;IF(NOT(ISNUMBER(I47)),"Precio de venta.",""))</f>
        <v>Elegir receta (molde). Elegir tela. </v>
      </c>
      <c r="Y47" s="37" t="n">
        <f aca="false">IF(AND(ISNUMBER(P47),ISNUMBER(I47),ISNUMBER(D47)),P47*D47,0)</f>
        <v>0</v>
      </c>
      <c r="Z47" s="37" t="n">
        <f aca="false">IF(AND(ISNUMBER(P47),ISNUMBER(I47),ISNUMBER(D47)),I47*D47,0)</f>
        <v>0</v>
      </c>
      <c r="AA47" s="38" t="n">
        <f aca="false">IF(AND(ISNUMBER(P47),ISNUMBER(I47),ISNUMBER(D47)),D47,0)</f>
        <v>0</v>
      </c>
    </row>
    <row r="48" customFormat="false" ht="22.35" hidden="false" customHeight="false" outlineLevel="0" collapsed="false">
      <c r="A48" s="7" t="s">
        <v>224</v>
      </c>
      <c r="B48" s="7" t="s">
        <v>225</v>
      </c>
      <c r="C48" s="7" t="s">
        <v>111</v>
      </c>
      <c r="D48" s="7" t="n">
        <v>20</v>
      </c>
      <c r="E48" s="34"/>
      <c r="F48" s="34"/>
      <c r="G48" s="34"/>
      <c r="H48" s="8"/>
      <c r="I48" s="8" t="n">
        <v>30000</v>
      </c>
      <c r="J48" s="34" t="s">
        <v>113</v>
      </c>
      <c r="K48" s="10" t="s">
        <v>126</v>
      </c>
      <c r="L48" s="9" t="str">
        <f aca="false">IF(OR(B48="",E48=""),"",IFERROR(INDEX(Recetas!$R$5:$R$84,MATCH($E48,Recetas!$A$5:$A$84,0))*IFERROR(INDEX(Precios!$F$5:$F$120,MATCH(F48,Precios!$A$5:$A$120,0)),"")+IF(N(INDEX(Recetas!$S$5:$S$84,MATCH($E48,Recetas!$A$5:$A$84,0)))=0,0,INDEX(Recetas!$S$5:$S$84,MATCH($E48,Recetas!$A$5:$A$84,0))*IFERROR(INDEX(Precios!$F$5:$F$120,MATCH(G48,Precios!$A$5:$A$120,0)),"")),""))</f>
        <v/>
      </c>
      <c r="M48" s="9" t="str">
        <f aca="false">IF(OR(B48="",E48=""),"",IFERROR(N(INDEX(Recetas!$L$5:$L$84,MATCH($E48,Recetas!$A$5:$A$84,0)))*Parametros!$B$27,""))</f>
        <v/>
      </c>
      <c r="N48" s="9" t="str">
        <f aca="false">IF(OR(B48="",E48=""),"",IFERROR(INDEX(Confeccion!$B$5:$B$100,MATCH(INDEX(Recetas!$M$5:$M$84,MATCH($E48,Recetas!$A$5:$A$84,0)),Confeccion!$A$5:$A$100,0)),""))</f>
        <v/>
      </c>
      <c r="O48" s="9" t="str">
        <f aca="false">IF(OR(B48="",E48=""),"",IFERROR(N(INDEX(Recetas!$O$5:$O$84,MATCH($E48,Recetas!$A$5:$A$84,0)))*INDEX(Precios!$D$5:$D$120,MATCH(INDEX(Recetas!$N$5:$N$84,MATCH($E48,Recetas!$A$5:$A$84,0)),Precios!$A$5:$A$120,0)),0))</f>
        <v/>
      </c>
      <c r="P48" s="26" t="str">
        <f aca="false">IF(OR(B48="",E48=""),"",IF(AND(IFERROR(INDEX(Recetas!$T$5:$T$84,MATCH($E48,Recetas!$A$5:$A$84,0))="Lista",FALSE()),ISNUMBER(L48),ISNUMBER(M48),ISNUMBER(N48),N(N48)&gt;0),L48+M48+N48+N(O48)+N(H48),""))</f>
        <v/>
      </c>
      <c r="Q48" s="9" t="str">
        <f aca="false">IF(AND(ISNUMBER(P48),ISNUMBER(I48)),I48*Parametros!$B$12,"")</f>
        <v/>
      </c>
      <c r="R48" s="9" t="str">
        <f aca="false">IF(AND(ISNUMBER(P48),ISNUMBER(I48)),I48*Parametros!$B$13,"")</f>
        <v/>
      </c>
      <c r="S48" s="26" t="str">
        <f aca="false">IF(AND(ISNUMBER(P48),ISNUMBER(I48)),I48-P48-Q48-R48,"")</f>
        <v/>
      </c>
      <c r="T48" s="16" t="str">
        <f aca="false">IF(AND(ISNUMBER(P48),ISNUMBER(I48)),S48/I48,"")</f>
        <v/>
      </c>
      <c r="U48" s="9" t="str">
        <f aca="false">IF(OR(NOT(ISNUMBER(P48)),Parametros!$B$14&gt;=1),"",P48/(1-Parametros!$B$14))</f>
        <v/>
      </c>
      <c r="V48" s="9" t="str">
        <f aca="false">IF(OR(NOT(ISNUMBER(P48)),Parametros!$B$14+Parametros!$B$18&gt;=1),"",P48/(1-Parametros!$B$14-Parametros!$B$18))</f>
        <v/>
      </c>
      <c r="W48" s="35" t="str">
        <f aca="false">IF(B48="","",IF(E48="","SIN RECETA",IF(NOT(ISNUMBER(P48)),"FALTAN DATOS",IF(NOT(ISNUMBER(I48)),"FALTA PRECIO",IF(S48&lt;0,"PIERDE",IF(T48&lt;Parametros!$B$18,"BAJO META","OK"))))))</f>
        <v>SIN RECETA</v>
      </c>
      <c r="X48" s="36" t="str">
        <f aca="false">IF(B48="","",IF(E48="","Elegir receta (molde). ",IF(ISNA(MATCH(E48,Recetas!$A$5:$A$84,0)),"La receta no existe. ",IF(IFERROR(INDEX(Recetas!$T$5:$T$84,MATCH($E48,Recetas!$A$5:$A$84,0))="Lista",FALSE()),"","Receta "&amp;E48&amp;": "&amp;INDEX(Recetas!$T$5:$T$84,MATCH($E48,Recetas!$A$5:$A$84,0)))))&amp;IF(F48="","Elegir tela. ",IF(IFERROR(INDEX(Precios!$F$5:$F$120,MATCH(F48,Precios!$A$5:$A$120,0)),"")="","Tela sin $/metro (falta rendimiento o precio). ",""))&amp;IF(AND(E48&lt;&gt;"",N(IFERROR(INDEX(Recetas!$S$5:$S$84,MATCH($E48,Recetas!$A$5:$A$84,0)),0))&gt;0,G48=""),"Elegir tela 2. ","")&amp;IF(NOT(ISNUMBER(I48)),"Precio de venta.",""))</f>
        <v>Elegir receta (molde). Elegir tela. </v>
      </c>
      <c r="Y48" s="37" t="n">
        <f aca="false">IF(AND(ISNUMBER(P48),ISNUMBER(I48),ISNUMBER(D48)),P48*D48,0)</f>
        <v>0</v>
      </c>
      <c r="Z48" s="37" t="n">
        <f aca="false">IF(AND(ISNUMBER(P48),ISNUMBER(I48),ISNUMBER(D48)),I48*D48,0)</f>
        <v>0</v>
      </c>
      <c r="AA48" s="38" t="n">
        <f aca="false">IF(AND(ISNUMBER(P48),ISNUMBER(I48),ISNUMBER(D48)),D48,0)</f>
        <v>0</v>
      </c>
    </row>
    <row r="49" customFormat="false" ht="22.35" hidden="false" customHeight="false" outlineLevel="0" collapsed="false">
      <c r="A49" s="7" t="s">
        <v>226</v>
      </c>
      <c r="B49" s="7" t="s">
        <v>227</v>
      </c>
      <c r="C49" s="7" t="s">
        <v>111</v>
      </c>
      <c r="D49" s="7" t="n">
        <v>20</v>
      </c>
      <c r="E49" s="34"/>
      <c r="F49" s="34"/>
      <c r="G49" s="34"/>
      <c r="H49" s="8"/>
      <c r="I49" s="8" t="n">
        <v>6000</v>
      </c>
      <c r="J49" s="34" t="s">
        <v>113</v>
      </c>
      <c r="K49" s="10" t="s">
        <v>126</v>
      </c>
      <c r="L49" s="9" t="str">
        <f aca="false">IF(OR(B49="",E49=""),"",IFERROR(INDEX(Recetas!$R$5:$R$84,MATCH($E49,Recetas!$A$5:$A$84,0))*IFERROR(INDEX(Precios!$F$5:$F$120,MATCH(F49,Precios!$A$5:$A$120,0)),"")+IF(N(INDEX(Recetas!$S$5:$S$84,MATCH($E49,Recetas!$A$5:$A$84,0)))=0,0,INDEX(Recetas!$S$5:$S$84,MATCH($E49,Recetas!$A$5:$A$84,0))*IFERROR(INDEX(Precios!$F$5:$F$120,MATCH(G49,Precios!$A$5:$A$120,0)),"")),""))</f>
        <v/>
      </c>
      <c r="M49" s="9" t="str">
        <f aca="false">IF(OR(B49="",E49=""),"",IFERROR(N(INDEX(Recetas!$L$5:$L$84,MATCH($E49,Recetas!$A$5:$A$84,0)))*Parametros!$B$27,""))</f>
        <v/>
      </c>
      <c r="N49" s="9" t="str">
        <f aca="false">IF(OR(B49="",E49=""),"",IFERROR(INDEX(Confeccion!$B$5:$B$100,MATCH(INDEX(Recetas!$M$5:$M$84,MATCH($E49,Recetas!$A$5:$A$84,0)),Confeccion!$A$5:$A$100,0)),""))</f>
        <v/>
      </c>
      <c r="O49" s="9" t="str">
        <f aca="false">IF(OR(B49="",E49=""),"",IFERROR(N(INDEX(Recetas!$O$5:$O$84,MATCH($E49,Recetas!$A$5:$A$84,0)))*INDEX(Precios!$D$5:$D$120,MATCH(INDEX(Recetas!$N$5:$N$84,MATCH($E49,Recetas!$A$5:$A$84,0)),Precios!$A$5:$A$120,0)),0))</f>
        <v/>
      </c>
      <c r="P49" s="26" t="str">
        <f aca="false">IF(OR(B49="",E49=""),"",IF(AND(IFERROR(INDEX(Recetas!$T$5:$T$84,MATCH($E49,Recetas!$A$5:$A$84,0))="Lista",FALSE()),ISNUMBER(L49),ISNUMBER(M49),ISNUMBER(N49),N(N49)&gt;0),L49+M49+N49+N(O49)+N(H49),""))</f>
        <v/>
      </c>
      <c r="Q49" s="9" t="str">
        <f aca="false">IF(AND(ISNUMBER(P49),ISNUMBER(I49)),I49*Parametros!$B$12,"")</f>
        <v/>
      </c>
      <c r="R49" s="9" t="str">
        <f aca="false">IF(AND(ISNUMBER(P49),ISNUMBER(I49)),I49*Parametros!$B$13,"")</f>
        <v/>
      </c>
      <c r="S49" s="26" t="str">
        <f aca="false">IF(AND(ISNUMBER(P49),ISNUMBER(I49)),I49-P49-Q49-R49,"")</f>
        <v/>
      </c>
      <c r="T49" s="16" t="str">
        <f aca="false">IF(AND(ISNUMBER(P49),ISNUMBER(I49)),S49/I49,"")</f>
        <v/>
      </c>
      <c r="U49" s="9" t="str">
        <f aca="false">IF(OR(NOT(ISNUMBER(P49)),Parametros!$B$14&gt;=1),"",P49/(1-Parametros!$B$14))</f>
        <v/>
      </c>
      <c r="V49" s="9" t="str">
        <f aca="false">IF(OR(NOT(ISNUMBER(P49)),Parametros!$B$14+Parametros!$B$18&gt;=1),"",P49/(1-Parametros!$B$14-Parametros!$B$18))</f>
        <v/>
      </c>
      <c r="W49" s="35" t="str">
        <f aca="false">IF(B49="","",IF(E49="","SIN RECETA",IF(NOT(ISNUMBER(P49)),"FALTAN DATOS",IF(NOT(ISNUMBER(I49)),"FALTA PRECIO",IF(S49&lt;0,"PIERDE",IF(T49&lt;Parametros!$B$18,"BAJO META","OK"))))))</f>
        <v>SIN RECETA</v>
      </c>
      <c r="X49" s="36" t="str">
        <f aca="false">IF(B49="","",IF(E49="","Elegir receta (molde). ",IF(ISNA(MATCH(E49,Recetas!$A$5:$A$84,0)),"La receta no existe. ",IF(IFERROR(INDEX(Recetas!$T$5:$T$84,MATCH($E49,Recetas!$A$5:$A$84,0))="Lista",FALSE()),"","Receta "&amp;E49&amp;": "&amp;INDEX(Recetas!$T$5:$T$84,MATCH($E49,Recetas!$A$5:$A$84,0)))))&amp;IF(F49="","Elegir tela. ",IF(IFERROR(INDEX(Precios!$F$5:$F$120,MATCH(F49,Precios!$A$5:$A$120,0)),"")="","Tela sin $/metro (falta rendimiento o precio). ",""))&amp;IF(AND(E49&lt;&gt;"",N(IFERROR(INDEX(Recetas!$S$5:$S$84,MATCH($E49,Recetas!$A$5:$A$84,0)),0))&gt;0,G49=""),"Elegir tela 2. ","")&amp;IF(NOT(ISNUMBER(I49)),"Precio de venta.",""))</f>
        <v>Elegir receta (molde). Elegir tela. </v>
      </c>
      <c r="Y49" s="37" t="n">
        <f aca="false">IF(AND(ISNUMBER(P49),ISNUMBER(I49),ISNUMBER(D49)),P49*D49,0)</f>
        <v>0</v>
      </c>
      <c r="Z49" s="37" t="n">
        <f aca="false">IF(AND(ISNUMBER(P49),ISNUMBER(I49),ISNUMBER(D49)),I49*D49,0)</f>
        <v>0</v>
      </c>
      <c r="AA49" s="38" t="n">
        <f aca="false">IF(AND(ISNUMBER(P49),ISNUMBER(I49),ISNUMBER(D49)),D49,0)</f>
        <v>0</v>
      </c>
    </row>
    <row r="50" customFormat="false" ht="22.35" hidden="false" customHeight="false" outlineLevel="0" collapsed="false">
      <c r="A50" s="7" t="s">
        <v>228</v>
      </c>
      <c r="B50" s="7" t="s">
        <v>229</v>
      </c>
      <c r="C50" s="7" t="s">
        <v>111</v>
      </c>
      <c r="D50" s="7" t="n">
        <v>19</v>
      </c>
      <c r="E50" s="34"/>
      <c r="F50" s="34"/>
      <c r="G50" s="34"/>
      <c r="H50" s="8"/>
      <c r="I50" s="8" t="n">
        <v>15882</v>
      </c>
      <c r="J50" s="34" t="s">
        <v>113</v>
      </c>
      <c r="K50" s="10" t="s">
        <v>126</v>
      </c>
      <c r="L50" s="9" t="str">
        <f aca="false">IF(OR(B50="",E50=""),"",IFERROR(INDEX(Recetas!$R$5:$R$84,MATCH($E50,Recetas!$A$5:$A$84,0))*IFERROR(INDEX(Precios!$F$5:$F$120,MATCH(F50,Precios!$A$5:$A$120,0)),"")+IF(N(INDEX(Recetas!$S$5:$S$84,MATCH($E50,Recetas!$A$5:$A$84,0)))=0,0,INDEX(Recetas!$S$5:$S$84,MATCH($E50,Recetas!$A$5:$A$84,0))*IFERROR(INDEX(Precios!$F$5:$F$120,MATCH(G50,Precios!$A$5:$A$120,0)),"")),""))</f>
        <v/>
      </c>
      <c r="M50" s="9" t="str">
        <f aca="false">IF(OR(B50="",E50=""),"",IFERROR(N(INDEX(Recetas!$L$5:$L$84,MATCH($E50,Recetas!$A$5:$A$84,0)))*Parametros!$B$27,""))</f>
        <v/>
      </c>
      <c r="N50" s="9" t="str">
        <f aca="false">IF(OR(B50="",E50=""),"",IFERROR(INDEX(Confeccion!$B$5:$B$100,MATCH(INDEX(Recetas!$M$5:$M$84,MATCH($E50,Recetas!$A$5:$A$84,0)),Confeccion!$A$5:$A$100,0)),""))</f>
        <v/>
      </c>
      <c r="O50" s="9" t="str">
        <f aca="false">IF(OR(B50="",E50=""),"",IFERROR(N(INDEX(Recetas!$O$5:$O$84,MATCH($E50,Recetas!$A$5:$A$84,0)))*INDEX(Precios!$D$5:$D$120,MATCH(INDEX(Recetas!$N$5:$N$84,MATCH($E50,Recetas!$A$5:$A$84,0)),Precios!$A$5:$A$120,0)),0))</f>
        <v/>
      </c>
      <c r="P50" s="26" t="str">
        <f aca="false">IF(OR(B50="",E50=""),"",IF(AND(IFERROR(INDEX(Recetas!$T$5:$T$84,MATCH($E50,Recetas!$A$5:$A$84,0))="Lista",FALSE()),ISNUMBER(L50),ISNUMBER(M50),ISNUMBER(N50),N(N50)&gt;0),L50+M50+N50+N(O50)+N(H50),""))</f>
        <v/>
      </c>
      <c r="Q50" s="9" t="str">
        <f aca="false">IF(AND(ISNUMBER(P50),ISNUMBER(I50)),I50*Parametros!$B$12,"")</f>
        <v/>
      </c>
      <c r="R50" s="9" t="str">
        <f aca="false">IF(AND(ISNUMBER(P50),ISNUMBER(I50)),I50*Parametros!$B$13,"")</f>
        <v/>
      </c>
      <c r="S50" s="26" t="str">
        <f aca="false">IF(AND(ISNUMBER(P50),ISNUMBER(I50)),I50-P50-Q50-R50,"")</f>
        <v/>
      </c>
      <c r="T50" s="16" t="str">
        <f aca="false">IF(AND(ISNUMBER(P50),ISNUMBER(I50)),S50/I50,"")</f>
        <v/>
      </c>
      <c r="U50" s="9" t="str">
        <f aca="false">IF(OR(NOT(ISNUMBER(P50)),Parametros!$B$14&gt;=1),"",P50/(1-Parametros!$B$14))</f>
        <v/>
      </c>
      <c r="V50" s="9" t="str">
        <f aca="false">IF(OR(NOT(ISNUMBER(P50)),Parametros!$B$14+Parametros!$B$18&gt;=1),"",P50/(1-Parametros!$B$14-Parametros!$B$18))</f>
        <v/>
      </c>
      <c r="W50" s="35" t="str">
        <f aca="false">IF(B50="","",IF(E50="","SIN RECETA",IF(NOT(ISNUMBER(P50)),"FALTAN DATOS",IF(NOT(ISNUMBER(I50)),"FALTA PRECIO",IF(S50&lt;0,"PIERDE",IF(T50&lt;Parametros!$B$18,"BAJO META","OK"))))))</f>
        <v>SIN RECETA</v>
      </c>
      <c r="X50" s="36" t="str">
        <f aca="false">IF(B50="","",IF(E50="","Elegir receta (molde). ",IF(ISNA(MATCH(E50,Recetas!$A$5:$A$84,0)),"La receta no existe. ",IF(IFERROR(INDEX(Recetas!$T$5:$T$84,MATCH($E50,Recetas!$A$5:$A$84,0))="Lista",FALSE()),"","Receta "&amp;E50&amp;": "&amp;INDEX(Recetas!$T$5:$T$84,MATCH($E50,Recetas!$A$5:$A$84,0)))))&amp;IF(F50="","Elegir tela. ",IF(IFERROR(INDEX(Precios!$F$5:$F$120,MATCH(F50,Precios!$A$5:$A$120,0)),"")="","Tela sin $/metro (falta rendimiento o precio). ",""))&amp;IF(AND(E50&lt;&gt;"",N(IFERROR(INDEX(Recetas!$S$5:$S$84,MATCH($E50,Recetas!$A$5:$A$84,0)),0))&gt;0,G50=""),"Elegir tela 2. ","")&amp;IF(NOT(ISNUMBER(I50)),"Precio de venta.",""))</f>
        <v>Elegir receta (molde). Elegir tela. </v>
      </c>
      <c r="Y50" s="37" t="n">
        <f aca="false">IF(AND(ISNUMBER(P50),ISNUMBER(I50),ISNUMBER(D50)),P50*D50,0)</f>
        <v>0</v>
      </c>
      <c r="Z50" s="37" t="n">
        <f aca="false">IF(AND(ISNUMBER(P50),ISNUMBER(I50),ISNUMBER(D50)),I50*D50,0)</f>
        <v>0</v>
      </c>
      <c r="AA50" s="38" t="n">
        <f aca="false">IF(AND(ISNUMBER(P50),ISNUMBER(I50),ISNUMBER(D50)),D50,0)</f>
        <v>0</v>
      </c>
    </row>
    <row r="51" customFormat="false" ht="22.35" hidden="false" customHeight="false" outlineLevel="0" collapsed="false">
      <c r="A51" s="7" t="s">
        <v>230</v>
      </c>
      <c r="B51" s="7" t="s">
        <v>231</v>
      </c>
      <c r="C51" s="7" t="s">
        <v>136</v>
      </c>
      <c r="D51" s="7" t="n">
        <v>19</v>
      </c>
      <c r="E51" s="34"/>
      <c r="F51" s="34"/>
      <c r="G51" s="34"/>
      <c r="H51" s="8"/>
      <c r="I51" s="8" t="n">
        <v>15042</v>
      </c>
      <c r="J51" s="34" t="s">
        <v>113</v>
      </c>
      <c r="K51" s="10" t="s">
        <v>126</v>
      </c>
      <c r="L51" s="9" t="str">
        <f aca="false">IF(OR(B51="",E51=""),"",IFERROR(INDEX(Recetas!$R$5:$R$84,MATCH($E51,Recetas!$A$5:$A$84,0))*IFERROR(INDEX(Precios!$F$5:$F$120,MATCH(F51,Precios!$A$5:$A$120,0)),"")+IF(N(INDEX(Recetas!$S$5:$S$84,MATCH($E51,Recetas!$A$5:$A$84,0)))=0,0,INDEX(Recetas!$S$5:$S$84,MATCH($E51,Recetas!$A$5:$A$84,0))*IFERROR(INDEX(Precios!$F$5:$F$120,MATCH(G51,Precios!$A$5:$A$120,0)),"")),""))</f>
        <v/>
      </c>
      <c r="M51" s="9" t="str">
        <f aca="false">IF(OR(B51="",E51=""),"",IFERROR(N(INDEX(Recetas!$L$5:$L$84,MATCH($E51,Recetas!$A$5:$A$84,0)))*Parametros!$B$27,""))</f>
        <v/>
      </c>
      <c r="N51" s="9" t="str">
        <f aca="false">IF(OR(B51="",E51=""),"",IFERROR(INDEX(Confeccion!$B$5:$B$100,MATCH(INDEX(Recetas!$M$5:$M$84,MATCH($E51,Recetas!$A$5:$A$84,0)),Confeccion!$A$5:$A$100,0)),""))</f>
        <v/>
      </c>
      <c r="O51" s="9" t="str">
        <f aca="false">IF(OR(B51="",E51=""),"",IFERROR(N(INDEX(Recetas!$O$5:$O$84,MATCH($E51,Recetas!$A$5:$A$84,0)))*INDEX(Precios!$D$5:$D$120,MATCH(INDEX(Recetas!$N$5:$N$84,MATCH($E51,Recetas!$A$5:$A$84,0)),Precios!$A$5:$A$120,0)),0))</f>
        <v/>
      </c>
      <c r="P51" s="26" t="str">
        <f aca="false">IF(OR(B51="",E51=""),"",IF(AND(IFERROR(INDEX(Recetas!$T$5:$T$84,MATCH($E51,Recetas!$A$5:$A$84,0))="Lista",FALSE()),ISNUMBER(L51),ISNUMBER(M51),ISNUMBER(N51),N(N51)&gt;0),L51+M51+N51+N(O51)+N(H51),""))</f>
        <v/>
      </c>
      <c r="Q51" s="9" t="str">
        <f aca="false">IF(AND(ISNUMBER(P51),ISNUMBER(I51)),I51*Parametros!$B$12,"")</f>
        <v/>
      </c>
      <c r="R51" s="9" t="str">
        <f aca="false">IF(AND(ISNUMBER(P51),ISNUMBER(I51)),I51*Parametros!$B$13,"")</f>
        <v/>
      </c>
      <c r="S51" s="26" t="str">
        <f aca="false">IF(AND(ISNUMBER(P51),ISNUMBER(I51)),I51-P51-Q51-R51,"")</f>
        <v/>
      </c>
      <c r="T51" s="16" t="str">
        <f aca="false">IF(AND(ISNUMBER(P51),ISNUMBER(I51)),S51/I51,"")</f>
        <v/>
      </c>
      <c r="U51" s="9" t="str">
        <f aca="false">IF(OR(NOT(ISNUMBER(P51)),Parametros!$B$14&gt;=1),"",P51/(1-Parametros!$B$14))</f>
        <v/>
      </c>
      <c r="V51" s="9" t="str">
        <f aca="false">IF(OR(NOT(ISNUMBER(P51)),Parametros!$B$14+Parametros!$B$18&gt;=1),"",P51/(1-Parametros!$B$14-Parametros!$B$18))</f>
        <v/>
      </c>
      <c r="W51" s="35" t="str">
        <f aca="false">IF(B51="","",IF(E51="","SIN RECETA",IF(NOT(ISNUMBER(P51)),"FALTAN DATOS",IF(NOT(ISNUMBER(I51)),"FALTA PRECIO",IF(S51&lt;0,"PIERDE",IF(T51&lt;Parametros!$B$18,"BAJO META","OK"))))))</f>
        <v>SIN RECETA</v>
      </c>
      <c r="X51" s="36" t="str">
        <f aca="false">IF(B51="","",IF(E51="","Elegir receta (molde). ",IF(ISNA(MATCH(E51,Recetas!$A$5:$A$84,0)),"La receta no existe. ",IF(IFERROR(INDEX(Recetas!$T$5:$T$84,MATCH($E51,Recetas!$A$5:$A$84,0))="Lista",FALSE()),"","Receta "&amp;E51&amp;": "&amp;INDEX(Recetas!$T$5:$T$84,MATCH($E51,Recetas!$A$5:$A$84,0)))))&amp;IF(F51="","Elegir tela. ",IF(IFERROR(INDEX(Precios!$F$5:$F$120,MATCH(F51,Precios!$A$5:$A$120,0)),"")="","Tela sin $/metro (falta rendimiento o precio). ",""))&amp;IF(AND(E51&lt;&gt;"",N(IFERROR(INDEX(Recetas!$S$5:$S$84,MATCH($E51,Recetas!$A$5:$A$84,0)),0))&gt;0,G51=""),"Elegir tela 2. ","")&amp;IF(NOT(ISNUMBER(I51)),"Precio de venta.",""))</f>
        <v>Elegir receta (molde). Elegir tela. </v>
      </c>
      <c r="Y51" s="37" t="n">
        <f aca="false">IF(AND(ISNUMBER(P51),ISNUMBER(I51),ISNUMBER(D51)),P51*D51,0)</f>
        <v>0</v>
      </c>
      <c r="Z51" s="37" t="n">
        <f aca="false">IF(AND(ISNUMBER(P51),ISNUMBER(I51),ISNUMBER(D51)),I51*D51,0)</f>
        <v>0</v>
      </c>
      <c r="AA51" s="38" t="n">
        <f aca="false">IF(AND(ISNUMBER(P51),ISNUMBER(I51),ISNUMBER(D51)),D51,0)</f>
        <v>0</v>
      </c>
    </row>
    <row r="52" customFormat="false" ht="22.35" hidden="false" customHeight="false" outlineLevel="0" collapsed="false">
      <c r="A52" s="7" t="s">
        <v>232</v>
      </c>
      <c r="B52" s="7" t="s">
        <v>233</v>
      </c>
      <c r="C52" s="7" t="s">
        <v>136</v>
      </c>
      <c r="D52" s="7" t="n">
        <v>17</v>
      </c>
      <c r="E52" s="34"/>
      <c r="F52" s="34"/>
      <c r="G52" s="34"/>
      <c r="H52" s="8"/>
      <c r="I52" s="8" t="n">
        <v>24328</v>
      </c>
      <c r="J52" s="34" t="s">
        <v>113</v>
      </c>
      <c r="K52" s="10" t="s">
        <v>126</v>
      </c>
      <c r="L52" s="9" t="str">
        <f aca="false">IF(OR(B52="",E52=""),"",IFERROR(INDEX(Recetas!$R$5:$R$84,MATCH($E52,Recetas!$A$5:$A$84,0))*IFERROR(INDEX(Precios!$F$5:$F$120,MATCH(F52,Precios!$A$5:$A$120,0)),"")+IF(N(INDEX(Recetas!$S$5:$S$84,MATCH($E52,Recetas!$A$5:$A$84,0)))=0,0,INDEX(Recetas!$S$5:$S$84,MATCH($E52,Recetas!$A$5:$A$84,0))*IFERROR(INDEX(Precios!$F$5:$F$120,MATCH(G52,Precios!$A$5:$A$120,0)),"")),""))</f>
        <v/>
      </c>
      <c r="M52" s="9" t="str">
        <f aca="false">IF(OR(B52="",E52=""),"",IFERROR(N(INDEX(Recetas!$L$5:$L$84,MATCH($E52,Recetas!$A$5:$A$84,0)))*Parametros!$B$27,""))</f>
        <v/>
      </c>
      <c r="N52" s="9" t="str">
        <f aca="false">IF(OR(B52="",E52=""),"",IFERROR(INDEX(Confeccion!$B$5:$B$100,MATCH(INDEX(Recetas!$M$5:$M$84,MATCH($E52,Recetas!$A$5:$A$84,0)),Confeccion!$A$5:$A$100,0)),""))</f>
        <v/>
      </c>
      <c r="O52" s="9" t="str">
        <f aca="false">IF(OR(B52="",E52=""),"",IFERROR(N(INDEX(Recetas!$O$5:$O$84,MATCH($E52,Recetas!$A$5:$A$84,0)))*INDEX(Precios!$D$5:$D$120,MATCH(INDEX(Recetas!$N$5:$N$84,MATCH($E52,Recetas!$A$5:$A$84,0)),Precios!$A$5:$A$120,0)),0))</f>
        <v/>
      </c>
      <c r="P52" s="26" t="str">
        <f aca="false">IF(OR(B52="",E52=""),"",IF(AND(IFERROR(INDEX(Recetas!$T$5:$T$84,MATCH($E52,Recetas!$A$5:$A$84,0))="Lista",FALSE()),ISNUMBER(L52),ISNUMBER(M52),ISNUMBER(N52),N(N52)&gt;0),L52+M52+N52+N(O52)+N(H52),""))</f>
        <v/>
      </c>
      <c r="Q52" s="9" t="str">
        <f aca="false">IF(AND(ISNUMBER(P52),ISNUMBER(I52)),I52*Parametros!$B$12,"")</f>
        <v/>
      </c>
      <c r="R52" s="9" t="str">
        <f aca="false">IF(AND(ISNUMBER(P52),ISNUMBER(I52)),I52*Parametros!$B$13,"")</f>
        <v/>
      </c>
      <c r="S52" s="26" t="str">
        <f aca="false">IF(AND(ISNUMBER(P52),ISNUMBER(I52)),I52-P52-Q52-R52,"")</f>
        <v/>
      </c>
      <c r="T52" s="16" t="str">
        <f aca="false">IF(AND(ISNUMBER(P52),ISNUMBER(I52)),S52/I52,"")</f>
        <v/>
      </c>
      <c r="U52" s="9" t="str">
        <f aca="false">IF(OR(NOT(ISNUMBER(P52)),Parametros!$B$14&gt;=1),"",P52/(1-Parametros!$B$14))</f>
        <v/>
      </c>
      <c r="V52" s="9" t="str">
        <f aca="false">IF(OR(NOT(ISNUMBER(P52)),Parametros!$B$14+Parametros!$B$18&gt;=1),"",P52/(1-Parametros!$B$14-Parametros!$B$18))</f>
        <v/>
      </c>
      <c r="W52" s="35" t="str">
        <f aca="false">IF(B52="","",IF(E52="","SIN RECETA",IF(NOT(ISNUMBER(P52)),"FALTAN DATOS",IF(NOT(ISNUMBER(I52)),"FALTA PRECIO",IF(S52&lt;0,"PIERDE",IF(T52&lt;Parametros!$B$18,"BAJO META","OK"))))))</f>
        <v>SIN RECETA</v>
      </c>
      <c r="X52" s="36" t="str">
        <f aca="false">IF(B52="","",IF(E52="","Elegir receta (molde). ",IF(ISNA(MATCH(E52,Recetas!$A$5:$A$84,0)),"La receta no existe. ",IF(IFERROR(INDEX(Recetas!$T$5:$T$84,MATCH($E52,Recetas!$A$5:$A$84,0))="Lista",FALSE()),"","Receta "&amp;E52&amp;": "&amp;INDEX(Recetas!$T$5:$T$84,MATCH($E52,Recetas!$A$5:$A$84,0)))))&amp;IF(F52="","Elegir tela. ",IF(IFERROR(INDEX(Precios!$F$5:$F$120,MATCH(F52,Precios!$A$5:$A$120,0)),"")="","Tela sin $/metro (falta rendimiento o precio). ",""))&amp;IF(AND(E52&lt;&gt;"",N(IFERROR(INDEX(Recetas!$S$5:$S$84,MATCH($E52,Recetas!$A$5:$A$84,0)),0))&gt;0,G52=""),"Elegir tela 2. ","")&amp;IF(NOT(ISNUMBER(I52)),"Precio de venta.",""))</f>
        <v>Elegir receta (molde). Elegir tela. </v>
      </c>
      <c r="Y52" s="37" t="n">
        <f aca="false">IF(AND(ISNUMBER(P52),ISNUMBER(I52),ISNUMBER(D52)),P52*D52,0)</f>
        <v>0</v>
      </c>
      <c r="Z52" s="37" t="n">
        <f aca="false">IF(AND(ISNUMBER(P52),ISNUMBER(I52),ISNUMBER(D52)),I52*D52,0)</f>
        <v>0</v>
      </c>
      <c r="AA52" s="38" t="n">
        <f aca="false">IF(AND(ISNUMBER(P52),ISNUMBER(I52),ISNUMBER(D52)),D52,0)</f>
        <v>0</v>
      </c>
    </row>
    <row r="53" customFormat="false" ht="22.35" hidden="false" customHeight="false" outlineLevel="0" collapsed="false">
      <c r="A53" s="7" t="s">
        <v>234</v>
      </c>
      <c r="B53" s="7" t="s">
        <v>235</v>
      </c>
      <c r="C53" s="7" t="s">
        <v>111</v>
      </c>
      <c r="D53" s="7" t="n">
        <v>16</v>
      </c>
      <c r="E53" s="34"/>
      <c r="F53" s="34"/>
      <c r="G53" s="34"/>
      <c r="H53" s="8"/>
      <c r="I53" s="8" t="n">
        <v>15882</v>
      </c>
      <c r="J53" s="34" t="s">
        <v>113</v>
      </c>
      <c r="K53" s="10" t="s">
        <v>126</v>
      </c>
      <c r="L53" s="9" t="str">
        <f aca="false">IF(OR(B53="",E53=""),"",IFERROR(INDEX(Recetas!$R$5:$R$84,MATCH($E53,Recetas!$A$5:$A$84,0))*IFERROR(INDEX(Precios!$F$5:$F$120,MATCH(F53,Precios!$A$5:$A$120,0)),"")+IF(N(INDEX(Recetas!$S$5:$S$84,MATCH($E53,Recetas!$A$5:$A$84,0)))=0,0,INDEX(Recetas!$S$5:$S$84,MATCH($E53,Recetas!$A$5:$A$84,0))*IFERROR(INDEX(Precios!$F$5:$F$120,MATCH(G53,Precios!$A$5:$A$120,0)),"")),""))</f>
        <v/>
      </c>
      <c r="M53" s="9" t="str">
        <f aca="false">IF(OR(B53="",E53=""),"",IFERROR(N(INDEX(Recetas!$L$5:$L$84,MATCH($E53,Recetas!$A$5:$A$84,0)))*Parametros!$B$27,""))</f>
        <v/>
      </c>
      <c r="N53" s="9" t="str">
        <f aca="false">IF(OR(B53="",E53=""),"",IFERROR(INDEX(Confeccion!$B$5:$B$100,MATCH(INDEX(Recetas!$M$5:$M$84,MATCH($E53,Recetas!$A$5:$A$84,0)),Confeccion!$A$5:$A$100,0)),""))</f>
        <v/>
      </c>
      <c r="O53" s="9" t="str">
        <f aca="false">IF(OR(B53="",E53=""),"",IFERROR(N(INDEX(Recetas!$O$5:$O$84,MATCH($E53,Recetas!$A$5:$A$84,0)))*INDEX(Precios!$D$5:$D$120,MATCH(INDEX(Recetas!$N$5:$N$84,MATCH($E53,Recetas!$A$5:$A$84,0)),Precios!$A$5:$A$120,0)),0))</f>
        <v/>
      </c>
      <c r="P53" s="26" t="str">
        <f aca="false">IF(OR(B53="",E53=""),"",IF(AND(IFERROR(INDEX(Recetas!$T$5:$T$84,MATCH($E53,Recetas!$A$5:$A$84,0))="Lista",FALSE()),ISNUMBER(L53),ISNUMBER(M53),ISNUMBER(N53),N(N53)&gt;0),L53+M53+N53+N(O53)+N(H53),""))</f>
        <v/>
      </c>
      <c r="Q53" s="9" t="str">
        <f aca="false">IF(AND(ISNUMBER(P53),ISNUMBER(I53)),I53*Parametros!$B$12,"")</f>
        <v/>
      </c>
      <c r="R53" s="9" t="str">
        <f aca="false">IF(AND(ISNUMBER(P53),ISNUMBER(I53)),I53*Parametros!$B$13,"")</f>
        <v/>
      </c>
      <c r="S53" s="26" t="str">
        <f aca="false">IF(AND(ISNUMBER(P53),ISNUMBER(I53)),I53-P53-Q53-R53,"")</f>
        <v/>
      </c>
      <c r="T53" s="16" t="str">
        <f aca="false">IF(AND(ISNUMBER(P53),ISNUMBER(I53)),S53/I53,"")</f>
        <v/>
      </c>
      <c r="U53" s="9" t="str">
        <f aca="false">IF(OR(NOT(ISNUMBER(P53)),Parametros!$B$14&gt;=1),"",P53/(1-Parametros!$B$14))</f>
        <v/>
      </c>
      <c r="V53" s="9" t="str">
        <f aca="false">IF(OR(NOT(ISNUMBER(P53)),Parametros!$B$14+Parametros!$B$18&gt;=1),"",P53/(1-Parametros!$B$14-Parametros!$B$18))</f>
        <v/>
      </c>
      <c r="W53" s="35" t="str">
        <f aca="false">IF(B53="","",IF(E53="","SIN RECETA",IF(NOT(ISNUMBER(P53)),"FALTAN DATOS",IF(NOT(ISNUMBER(I53)),"FALTA PRECIO",IF(S53&lt;0,"PIERDE",IF(T53&lt;Parametros!$B$18,"BAJO META","OK"))))))</f>
        <v>SIN RECETA</v>
      </c>
      <c r="X53" s="36" t="str">
        <f aca="false">IF(B53="","",IF(E53="","Elegir receta (molde). ",IF(ISNA(MATCH(E53,Recetas!$A$5:$A$84,0)),"La receta no existe. ",IF(IFERROR(INDEX(Recetas!$T$5:$T$84,MATCH($E53,Recetas!$A$5:$A$84,0))="Lista",FALSE()),"","Receta "&amp;E53&amp;": "&amp;INDEX(Recetas!$T$5:$T$84,MATCH($E53,Recetas!$A$5:$A$84,0)))))&amp;IF(F53="","Elegir tela. ",IF(IFERROR(INDEX(Precios!$F$5:$F$120,MATCH(F53,Precios!$A$5:$A$120,0)),"")="","Tela sin $/metro (falta rendimiento o precio). ",""))&amp;IF(AND(E53&lt;&gt;"",N(IFERROR(INDEX(Recetas!$S$5:$S$84,MATCH($E53,Recetas!$A$5:$A$84,0)),0))&gt;0,G53=""),"Elegir tela 2. ","")&amp;IF(NOT(ISNUMBER(I53)),"Precio de venta.",""))</f>
        <v>Elegir receta (molde). Elegir tela. </v>
      </c>
      <c r="Y53" s="37" t="n">
        <f aca="false">IF(AND(ISNUMBER(P53),ISNUMBER(I53),ISNUMBER(D53)),P53*D53,0)</f>
        <v>0</v>
      </c>
      <c r="Z53" s="37" t="n">
        <f aca="false">IF(AND(ISNUMBER(P53),ISNUMBER(I53),ISNUMBER(D53)),I53*D53,0)</f>
        <v>0</v>
      </c>
      <c r="AA53" s="38" t="n">
        <f aca="false">IF(AND(ISNUMBER(P53),ISNUMBER(I53),ISNUMBER(D53)),D53,0)</f>
        <v>0</v>
      </c>
    </row>
    <row r="54" customFormat="false" ht="22.35" hidden="false" customHeight="false" outlineLevel="0" collapsed="false">
      <c r="A54" s="7" t="s">
        <v>236</v>
      </c>
      <c r="B54" s="7" t="s">
        <v>237</v>
      </c>
      <c r="C54" s="7" t="s">
        <v>111</v>
      </c>
      <c r="D54" s="7" t="n">
        <v>15</v>
      </c>
      <c r="E54" s="34"/>
      <c r="F54" s="34"/>
      <c r="G54" s="34"/>
      <c r="H54" s="8"/>
      <c r="I54" s="8" t="n">
        <v>17563</v>
      </c>
      <c r="J54" s="34" t="s">
        <v>113</v>
      </c>
      <c r="K54" s="10" t="s">
        <v>126</v>
      </c>
      <c r="L54" s="9" t="str">
        <f aca="false">IF(OR(B54="",E54=""),"",IFERROR(INDEX(Recetas!$R$5:$R$84,MATCH($E54,Recetas!$A$5:$A$84,0))*IFERROR(INDEX(Precios!$F$5:$F$120,MATCH(F54,Precios!$A$5:$A$120,0)),"")+IF(N(INDEX(Recetas!$S$5:$S$84,MATCH($E54,Recetas!$A$5:$A$84,0)))=0,0,INDEX(Recetas!$S$5:$S$84,MATCH($E54,Recetas!$A$5:$A$84,0))*IFERROR(INDEX(Precios!$F$5:$F$120,MATCH(G54,Precios!$A$5:$A$120,0)),"")),""))</f>
        <v/>
      </c>
      <c r="M54" s="9" t="str">
        <f aca="false">IF(OR(B54="",E54=""),"",IFERROR(N(INDEX(Recetas!$L$5:$L$84,MATCH($E54,Recetas!$A$5:$A$84,0)))*Parametros!$B$27,""))</f>
        <v/>
      </c>
      <c r="N54" s="9" t="str">
        <f aca="false">IF(OR(B54="",E54=""),"",IFERROR(INDEX(Confeccion!$B$5:$B$100,MATCH(INDEX(Recetas!$M$5:$M$84,MATCH($E54,Recetas!$A$5:$A$84,0)),Confeccion!$A$5:$A$100,0)),""))</f>
        <v/>
      </c>
      <c r="O54" s="9" t="str">
        <f aca="false">IF(OR(B54="",E54=""),"",IFERROR(N(INDEX(Recetas!$O$5:$O$84,MATCH($E54,Recetas!$A$5:$A$84,0)))*INDEX(Precios!$D$5:$D$120,MATCH(INDEX(Recetas!$N$5:$N$84,MATCH($E54,Recetas!$A$5:$A$84,0)),Precios!$A$5:$A$120,0)),0))</f>
        <v/>
      </c>
      <c r="P54" s="26" t="str">
        <f aca="false">IF(OR(B54="",E54=""),"",IF(AND(IFERROR(INDEX(Recetas!$T$5:$T$84,MATCH($E54,Recetas!$A$5:$A$84,0))="Lista",FALSE()),ISNUMBER(L54),ISNUMBER(M54),ISNUMBER(N54),N(N54)&gt;0),L54+M54+N54+N(O54)+N(H54),""))</f>
        <v/>
      </c>
      <c r="Q54" s="9" t="str">
        <f aca="false">IF(AND(ISNUMBER(P54),ISNUMBER(I54)),I54*Parametros!$B$12,"")</f>
        <v/>
      </c>
      <c r="R54" s="9" t="str">
        <f aca="false">IF(AND(ISNUMBER(P54),ISNUMBER(I54)),I54*Parametros!$B$13,"")</f>
        <v/>
      </c>
      <c r="S54" s="26" t="str">
        <f aca="false">IF(AND(ISNUMBER(P54),ISNUMBER(I54)),I54-P54-Q54-R54,"")</f>
        <v/>
      </c>
      <c r="T54" s="16" t="str">
        <f aca="false">IF(AND(ISNUMBER(P54),ISNUMBER(I54)),S54/I54,"")</f>
        <v/>
      </c>
      <c r="U54" s="9" t="str">
        <f aca="false">IF(OR(NOT(ISNUMBER(P54)),Parametros!$B$14&gt;=1),"",P54/(1-Parametros!$B$14))</f>
        <v/>
      </c>
      <c r="V54" s="9" t="str">
        <f aca="false">IF(OR(NOT(ISNUMBER(P54)),Parametros!$B$14+Parametros!$B$18&gt;=1),"",P54/(1-Parametros!$B$14-Parametros!$B$18))</f>
        <v/>
      </c>
      <c r="W54" s="35" t="str">
        <f aca="false">IF(B54="","",IF(E54="","SIN RECETA",IF(NOT(ISNUMBER(P54)),"FALTAN DATOS",IF(NOT(ISNUMBER(I54)),"FALTA PRECIO",IF(S54&lt;0,"PIERDE",IF(T54&lt;Parametros!$B$18,"BAJO META","OK"))))))</f>
        <v>SIN RECETA</v>
      </c>
      <c r="X54" s="36" t="str">
        <f aca="false">IF(B54="","",IF(E54="","Elegir receta (molde). ",IF(ISNA(MATCH(E54,Recetas!$A$5:$A$84,0)),"La receta no existe. ",IF(IFERROR(INDEX(Recetas!$T$5:$T$84,MATCH($E54,Recetas!$A$5:$A$84,0))="Lista",FALSE()),"","Receta "&amp;E54&amp;": "&amp;INDEX(Recetas!$T$5:$T$84,MATCH($E54,Recetas!$A$5:$A$84,0)))))&amp;IF(F54="","Elegir tela. ",IF(IFERROR(INDEX(Precios!$F$5:$F$120,MATCH(F54,Precios!$A$5:$A$120,0)),"")="","Tela sin $/metro (falta rendimiento o precio). ",""))&amp;IF(AND(E54&lt;&gt;"",N(IFERROR(INDEX(Recetas!$S$5:$S$84,MATCH($E54,Recetas!$A$5:$A$84,0)),0))&gt;0,G54=""),"Elegir tela 2. ","")&amp;IF(NOT(ISNUMBER(I54)),"Precio de venta.",""))</f>
        <v>Elegir receta (molde). Elegir tela. </v>
      </c>
      <c r="Y54" s="37" t="n">
        <f aca="false">IF(AND(ISNUMBER(P54),ISNUMBER(I54),ISNUMBER(D54)),P54*D54,0)</f>
        <v>0</v>
      </c>
      <c r="Z54" s="37" t="n">
        <f aca="false">IF(AND(ISNUMBER(P54),ISNUMBER(I54),ISNUMBER(D54)),I54*D54,0)</f>
        <v>0</v>
      </c>
      <c r="AA54" s="38" t="n">
        <f aca="false">IF(AND(ISNUMBER(P54),ISNUMBER(I54),ISNUMBER(D54)),D54,0)</f>
        <v>0</v>
      </c>
    </row>
    <row r="55" customFormat="false" ht="22.35" hidden="false" customHeight="false" outlineLevel="0" collapsed="false">
      <c r="A55" s="7" t="s">
        <v>238</v>
      </c>
      <c r="B55" s="7" t="s">
        <v>239</v>
      </c>
      <c r="C55" s="7" t="s">
        <v>111</v>
      </c>
      <c r="D55" s="7" t="n">
        <v>15</v>
      </c>
      <c r="E55" s="34"/>
      <c r="F55" s="34"/>
      <c r="G55" s="34"/>
      <c r="H55" s="8"/>
      <c r="I55" s="8" t="n">
        <v>14202</v>
      </c>
      <c r="J55" s="34" t="s">
        <v>113</v>
      </c>
      <c r="K55" s="10" t="s">
        <v>126</v>
      </c>
      <c r="L55" s="9" t="str">
        <f aca="false">IF(OR(B55="",E55=""),"",IFERROR(INDEX(Recetas!$R$5:$R$84,MATCH($E55,Recetas!$A$5:$A$84,0))*IFERROR(INDEX(Precios!$F$5:$F$120,MATCH(F55,Precios!$A$5:$A$120,0)),"")+IF(N(INDEX(Recetas!$S$5:$S$84,MATCH($E55,Recetas!$A$5:$A$84,0)))=0,0,INDEX(Recetas!$S$5:$S$84,MATCH($E55,Recetas!$A$5:$A$84,0))*IFERROR(INDEX(Precios!$F$5:$F$120,MATCH(G55,Precios!$A$5:$A$120,0)),"")),""))</f>
        <v/>
      </c>
      <c r="M55" s="9" t="str">
        <f aca="false">IF(OR(B55="",E55=""),"",IFERROR(N(INDEX(Recetas!$L$5:$L$84,MATCH($E55,Recetas!$A$5:$A$84,0)))*Parametros!$B$27,""))</f>
        <v/>
      </c>
      <c r="N55" s="9" t="str">
        <f aca="false">IF(OR(B55="",E55=""),"",IFERROR(INDEX(Confeccion!$B$5:$B$100,MATCH(INDEX(Recetas!$M$5:$M$84,MATCH($E55,Recetas!$A$5:$A$84,0)),Confeccion!$A$5:$A$100,0)),""))</f>
        <v/>
      </c>
      <c r="O55" s="9" t="str">
        <f aca="false">IF(OR(B55="",E55=""),"",IFERROR(N(INDEX(Recetas!$O$5:$O$84,MATCH($E55,Recetas!$A$5:$A$84,0)))*INDEX(Precios!$D$5:$D$120,MATCH(INDEX(Recetas!$N$5:$N$84,MATCH($E55,Recetas!$A$5:$A$84,0)),Precios!$A$5:$A$120,0)),0))</f>
        <v/>
      </c>
      <c r="P55" s="26" t="str">
        <f aca="false">IF(OR(B55="",E55=""),"",IF(AND(IFERROR(INDEX(Recetas!$T$5:$T$84,MATCH($E55,Recetas!$A$5:$A$84,0))="Lista",FALSE()),ISNUMBER(L55),ISNUMBER(M55),ISNUMBER(N55),N(N55)&gt;0),L55+M55+N55+N(O55)+N(H55),""))</f>
        <v/>
      </c>
      <c r="Q55" s="9" t="str">
        <f aca="false">IF(AND(ISNUMBER(P55),ISNUMBER(I55)),I55*Parametros!$B$12,"")</f>
        <v/>
      </c>
      <c r="R55" s="9" t="str">
        <f aca="false">IF(AND(ISNUMBER(P55),ISNUMBER(I55)),I55*Parametros!$B$13,"")</f>
        <v/>
      </c>
      <c r="S55" s="26" t="str">
        <f aca="false">IF(AND(ISNUMBER(P55),ISNUMBER(I55)),I55-P55-Q55-R55,"")</f>
        <v/>
      </c>
      <c r="T55" s="16" t="str">
        <f aca="false">IF(AND(ISNUMBER(P55),ISNUMBER(I55)),S55/I55,"")</f>
        <v/>
      </c>
      <c r="U55" s="9" t="str">
        <f aca="false">IF(OR(NOT(ISNUMBER(P55)),Parametros!$B$14&gt;=1),"",P55/(1-Parametros!$B$14))</f>
        <v/>
      </c>
      <c r="V55" s="9" t="str">
        <f aca="false">IF(OR(NOT(ISNUMBER(P55)),Parametros!$B$14+Parametros!$B$18&gt;=1),"",P55/(1-Parametros!$B$14-Parametros!$B$18))</f>
        <v/>
      </c>
      <c r="W55" s="35" t="str">
        <f aca="false">IF(B55="","",IF(E55="","SIN RECETA",IF(NOT(ISNUMBER(P55)),"FALTAN DATOS",IF(NOT(ISNUMBER(I55)),"FALTA PRECIO",IF(S55&lt;0,"PIERDE",IF(T55&lt;Parametros!$B$18,"BAJO META","OK"))))))</f>
        <v>SIN RECETA</v>
      </c>
      <c r="X55" s="36" t="str">
        <f aca="false">IF(B55="","",IF(E55="","Elegir receta (molde). ",IF(ISNA(MATCH(E55,Recetas!$A$5:$A$84,0)),"La receta no existe. ",IF(IFERROR(INDEX(Recetas!$T$5:$T$84,MATCH($E55,Recetas!$A$5:$A$84,0))="Lista",FALSE()),"","Receta "&amp;E55&amp;": "&amp;INDEX(Recetas!$T$5:$T$84,MATCH($E55,Recetas!$A$5:$A$84,0)))))&amp;IF(F55="","Elegir tela. ",IF(IFERROR(INDEX(Precios!$F$5:$F$120,MATCH(F55,Precios!$A$5:$A$120,0)),"")="","Tela sin $/metro (falta rendimiento o precio). ",""))&amp;IF(AND(E55&lt;&gt;"",N(IFERROR(INDEX(Recetas!$S$5:$S$84,MATCH($E55,Recetas!$A$5:$A$84,0)),0))&gt;0,G55=""),"Elegir tela 2. ","")&amp;IF(NOT(ISNUMBER(I55)),"Precio de venta.",""))</f>
        <v>Elegir receta (molde). Elegir tela. </v>
      </c>
      <c r="Y55" s="37" t="n">
        <f aca="false">IF(AND(ISNUMBER(P55),ISNUMBER(I55),ISNUMBER(D55)),P55*D55,0)</f>
        <v>0</v>
      </c>
      <c r="Z55" s="37" t="n">
        <f aca="false">IF(AND(ISNUMBER(P55),ISNUMBER(I55),ISNUMBER(D55)),I55*D55,0)</f>
        <v>0</v>
      </c>
      <c r="AA55" s="38" t="n">
        <f aca="false">IF(AND(ISNUMBER(P55),ISNUMBER(I55),ISNUMBER(D55)),D55,0)</f>
        <v>0</v>
      </c>
    </row>
    <row r="56" customFormat="false" ht="22.35" hidden="false" customHeight="false" outlineLevel="0" collapsed="false">
      <c r="A56" s="7" t="s">
        <v>240</v>
      </c>
      <c r="B56" s="7" t="s">
        <v>241</v>
      </c>
      <c r="C56" s="7" t="s">
        <v>111</v>
      </c>
      <c r="D56" s="7" t="n">
        <v>14</v>
      </c>
      <c r="E56" s="34"/>
      <c r="F56" s="34"/>
      <c r="G56" s="34"/>
      <c r="H56" s="8"/>
      <c r="I56" s="8" t="n">
        <v>11681</v>
      </c>
      <c r="J56" s="34" t="s">
        <v>113</v>
      </c>
      <c r="K56" s="10" t="s">
        <v>126</v>
      </c>
      <c r="L56" s="9" t="str">
        <f aca="false">IF(OR(B56="",E56=""),"",IFERROR(INDEX(Recetas!$R$5:$R$84,MATCH($E56,Recetas!$A$5:$A$84,0))*IFERROR(INDEX(Precios!$F$5:$F$120,MATCH(F56,Precios!$A$5:$A$120,0)),"")+IF(N(INDEX(Recetas!$S$5:$S$84,MATCH($E56,Recetas!$A$5:$A$84,0)))=0,0,INDEX(Recetas!$S$5:$S$84,MATCH($E56,Recetas!$A$5:$A$84,0))*IFERROR(INDEX(Precios!$F$5:$F$120,MATCH(G56,Precios!$A$5:$A$120,0)),"")),""))</f>
        <v/>
      </c>
      <c r="M56" s="9" t="str">
        <f aca="false">IF(OR(B56="",E56=""),"",IFERROR(N(INDEX(Recetas!$L$5:$L$84,MATCH($E56,Recetas!$A$5:$A$84,0)))*Parametros!$B$27,""))</f>
        <v/>
      </c>
      <c r="N56" s="9" t="str">
        <f aca="false">IF(OR(B56="",E56=""),"",IFERROR(INDEX(Confeccion!$B$5:$B$100,MATCH(INDEX(Recetas!$M$5:$M$84,MATCH($E56,Recetas!$A$5:$A$84,0)),Confeccion!$A$5:$A$100,0)),""))</f>
        <v/>
      </c>
      <c r="O56" s="9" t="str">
        <f aca="false">IF(OR(B56="",E56=""),"",IFERROR(N(INDEX(Recetas!$O$5:$O$84,MATCH($E56,Recetas!$A$5:$A$84,0)))*INDEX(Precios!$D$5:$D$120,MATCH(INDEX(Recetas!$N$5:$N$84,MATCH($E56,Recetas!$A$5:$A$84,0)),Precios!$A$5:$A$120,0)),0))</f>
        <v/>
      </c>
      <c r="P56" s="26" t="str">
        <f aca="false">IF(OR(B56="",E56=""),"",IF(AND(IFERROR(INDEX(Recetas!$T$5:$T$84,MATCH($E56,Recetas!$A$5:$A$84,0))="Lista",FALSE()),ISNUMBER(L56),ISNUMBER(M56),ISNUMBER(N56),N(N56)&gt;0),L56+M56+N56+N(O56)+N(H56),""))</f>
        <v/>
      </c>
      <c r="Q56" s="9" t="str">
        <f aca="false">IF(AND(ISNUMBER(P56),ISNUMBER(I56)),I56*Parametros!$B$12,"")</f>
        <v/>
      </c>
      <c r="R56" s="9" t="str">
        <f aca="false">IF(AND(ISNUMBER(P56),ISNUMBER(I56)),I56*Parametros!$B$13,"")</f>
        <v/>
      </c>
      <c r="S56" s="26" t="str">
        <f aca="false">IF(AND(ISNUMBER(P56),ISNUMBER(I56)),I56-P56-Q56-R56,"")</f>
        <v/>
      </c>
      <c r="T56" s="16" t="str">
        <f aca="false">IF(AND(ISNUMBER(P56),ISNUMBER(I56)),S56/I56,"")</f>
        <v/>
      </c>
      <c r="U56" s="9" t="str">
        <f aca="false">IF(OR(NOT(ISNUMBER(P56)),Parametros!$B$14&gt;=1),"",P56/(1-Parametros!$B$14))</f>
        <v/>
      </c>
      <c r="V56" s="9" t="str">
        <f aca="false">IF(OR(NOT(ISNUMBER(P56)),Parametros!$B$14+Parametros!$B$18&gt;=1),"",P56/(1-Parametros!$B$14-Parametros!$B$18))</f>
        <v/>
      </c>
      <c r="W56" s="35" t="str">
        <f aca="false">IF(B56="","",IF(E56="","SIN RECETA",IF(NOT(ISNUMBER(P56)),"FALTAN DATOS",IF(NOT(ISNUMBER(I56)),"FALTA PRECIO",IF(S56&lt;0,"PIERDE",IF(T56&lt;Parametros!$B$18,"BAJO META","OK"))))))</f>
        <v>SIN RECETA</v>
      </c>
      <c r="X56" s="36" t="str">
        <f aca="false">IF(B56="","",IF(E56="","Elegir receta (molde). ",IF(ISNA(MATCH(E56,Recetas!$A$5:$A$84,0)),"La receta no existe. ",IF(IFERROR(INDEX(Recetas!$T$5:$T$84,MATCH($E56,Recetas!$A$5:$A$84,0))="Lista",FALSE()),"","Receta "&amp;E56&amp;": "&amp;INDEX(Recetas!$T$5:$T$84,MATCH($E56,Recetas!$A$5:$A$84,0)))))&amp;IF(F56="","Elegir tela. ",IF(IFERROR(INDEX(Precios!$F$5:$F$120,MATCH(F56,Precios!$A$5:$A$120,0)),"")="","Tela sin $/metro (falta rendimiento o precio). ",""))&amp;IF(AND(E56&lt;&gt;"",N(IFERROR(INDEX(Recetas!$S$5:$S$84,MATCH($E56,Recetas!$A$5:$A$84,0)),0))&gt;0,G56=""),"Elegir tela 2. ","")&amp;IF(NOT(ISNUMBER(I56)),"Precio de venta.",""))</f>
        <v>Elegir receta (molde). Elegir tela. </v>
      </c>
      <c r="Y56" s="37" t="n">
        <f aca="false">IF(AND(ISNUMBER(P56),ISNUMBER(I56),ISNUMBER(D56)),P56*D56,0)</f>
        <v>0</v>
      </c>
      <c r="Z56" s="37" t="n">
        <f aca="false">IF(AND(ISNUMBER(P56),ISNUMBER(I56),ISNUMBER(D56)),I56*D56,0)</f>
        <v>0</v>
      </c>
      <c r="AA56" s="38" t="n">
        <f aca="false">IF(AND(ISNUMBER(P56),ISNUMBER(I56),ISNUMBER(D56)),D56,0)</f>
        <v>0</v>
      </c>
    </row>
    <row r="57" customFormat="false" ht="22.35" hidden="false" customHeight="false" outlineLevel="0" collapsed="false">
      <c r="A57" s="7" t="s">
        <v>242</v>
      </c>
      <c r="B57" s="7" t="s">
        <v>243</v>
      </c>
      <c r="C57" s="7" t="s">
        <v>136</v>
      </c>
      <c r="D57" s="7" t="n">
        <v>14</v>
      </c>
      <c r="E57" s="34"/>
      <c r="F57" s="34"/>
      <c r="G57" s="34"/>
      <c r="H57" s="8"/>
      <c r="I57" s="8" t="n">
        <v>31092</v>
      </c>
      <c r="J57" s="34" t="s">
        <v>113</v>
      </c>
      <c r="K57" s="10" t="s">
        <v>126</v>
      </c>
      <c r="L57" s="9" t="str">
        <f aca="false">IF(OR(B57="",E57=""),"",IFERROR(INDEX(Recetas!$R$5:$R$84,MATCH($E57,Recetas!$A$5:$A$84,0))*IFERROR(INDEX(Precios!$F$5:$F$120,MATCH(F57,Precios!$A$5:$A$120,0)),"")+IF(N(INDEX(Recetas!$S$5:$S$84,MATCH($E57,Recetas!$A$5:$A$84,0)))=0,0,INDEX(Recetas!$S$5:$S$84,MATCH($E57,Recetas!$A$5:$A$84,0))*IFERROR(INDEX(Precios!$F$5:$F$120,MATCH(G57,Precios!$A$5:$A$120,0)),"")),""))</f>
        <v/>
      </c>
      <c r="M57" s="9" t="str">
        <f aca="false">IF(OR(B57="",E57=""),"",IFERROR(N(INDEX(Recetas!$L$5:$L$84,MATCH($E57,Recetas!$A$5:$A$84,0)))*Parametros!$B$27,""))</f>
        <v/>
      </c>
      <c r="N57" s="9" t="str">
        <f aca="false">IF(OR(B57="",E57=""),"",IFERROR(INDEX(Confeccion!$B$5:$B$100,MATCH(INDEX(Recetas!$M$5:$M$84,MATCH($E57,Recetas!$A$5:$A$84,0)),Confeccion!$A$5:$A$100,0)),""))</f>
        <v/>
      </c>
      <c r="O57" s="9" t="str">
        <f aca="false">IF(OR(B57="",E57=""),"",IFERROR(N(INDEX(Recetas!$O$5:$O$84,MATCH($E57,Recetas!$A$5:$A$84,0)))*INDEX(Precios!$D$5:$D$120,MATCH(INDEX(Recetas!$N$5:$N$84,MATCH($E57,Recetas!$A$5:$A$84,0)),Precios!$A$5:$A$120,0)),0))</f>
        <v/>
      </c>
      <c r="P57" s="26" t="str">
        <f aca="false">IF(OR(B57="",E57=""),"",IF(AND(IFERROR(INDEX(Recetas!$T$5:$T$84,MATCH($E57,Recetas!$A$5:$A$84,0))="Lista",FALSE()),ISNUMBER(L57),ISNUMBER(M57),ISNUMBER(N57),N(N57)&gt;0),L57+M57+N57+N(O57)+N(H57),""))</f>
        <v/>
      </c>
      <c r="Q57" s="9" t="str">
        <f aca="false">IF(AND(ISNUMBER(P57),ISNUMBER(I57)),I57*Parametros!$B$12,"")</f>
        <v/>
      </c>
      <c r="R57" s="9" t="str">
        <f aca="false">IF(AND(ISNUMBER(P57),ISNUMBER(I57)),I57*Parametros!$B$13,"")</f>
        <v/>
      </c>
      <c r="S57" s="26" t="str">
        <f aca="false">IF(AND(ISNUMBER(P57),ISNUMBER(I57)),I57-P57-Q57-R57,"")</f>
        <v/>
      </c>
      <c r="T57" s="16" t="str">
        <f aca="false">IF(AND(ISNUMBER(P57),ISNUMBER(I57)),S57/I57,"")</f>
        <v/>
      </c>
      <c r="U57" s="9" t="str">
        <f aca="false">IF(OR(NOT(ISNUMBER(P57)),Parametros!$B$14&gt;=1),"",P57/(1-Parametros!$B$14))</f>
        <v/>
      </c>
      <c r="V57" s="9" t="str">
        <f aca="false">IF(OR(NOT(ISNUMBER(P57)),Parametros!$B$14+Parametros!$B$18&gt;=1),"",P57/(1-Parametros!$B$14-Parametros!$B$18))</f>
        <v/>
      </c>
      <c r="W57" s="35" t="str">
        <f aca="false">IF(B57="","",IF(E57="","SIN RECETA",IF(NOT(ISNUMBER(P57)),"FALTAN DATOS",IF(NOT(ISNUMBER(I57)),"FALTA PRECIO",IF(S57&lt;0,"PIERDE",IF(T57&lt;Parametros!$B$18,"BAJO META","OK"))))))</f>
        <v>SIN RECETA</v>
      </c>
      <c r="X57" s="36" t="str">
        <f aca="false">IF(B57="","",IF(E57="","Elegir receta (molde). ",IF(ISNA(MATCH(E57,Recetas!$A$5:$A$84,0)),"La receta no existe. ",IF(IFERROR(INDEX(Recetas!$T$5:$T$84,MATCH($E57,Recetas!$A$5:$A$84,0))="Lista",FALSE()),"","Receta "&amp;E57&amp;": "&amp;INDEX(Recetas!$T$5:$T$84,MATCH($E57,Recetas!$A$5:$A$84,0)))))&amp;IF(F57="","Elegir tela. ",IF(IFERROR(INDEX(Precios!$F$5:$F$120,MATCH(F57,Precios!$A$5:$A$120,0)),"")="","Tela sin $/metro (falta rendimiento o precio). ",""))&amp;IF(AND(E57&lt;&gt;"",N(IFERROR(INDEX(Recetas!$S$5:$S$84,MATCH($E57,Recetas!$A$5:$A$84,0)),0))&gt;0,G57=""),"Elegir tela 2. ","")&amp;IF(NOT(ISNUMBER(I57)),"Precio de venta.",""))</f>
        <v>Elegir receta (molde). Elegir tela. </v>
      </c>
      <c r="Y57" s="37" t="n">
        <f aca="false">IF(AND(ISNUMBER(P57),ISNUMBER(I57),ISNUMBER(D57)),P57*D57,0)</f>
        <v>0</v>
      </c>
      <c r="Z57" s="37" t="n">
        <f aca="false">IF(AND(ISNUMBER(P57),ISNUMBER(I57),ISNUMBER(D57)),I57*D57,0)</f>
        <v>0</v>
      </c>
      <c r="AA57" s="38" t="n">
        <f aca="false">IF(AND(ISNUMBER(P57),ISNUMBER(I57),ISNUMBER(D57)),D57,0)</f>
        <v>0</v>
      </c>
    </row>
    <row r="58" customFormat="false" ht="22.35" hidden="false" customHeight="false" outlineLevel="0" collapsed="false">
      <c r="A58" s="7" t="s">
        <v>244</v>
      </c>
      <c r="B58" s="7" t="s">
        <v>245</v>
      </c>
      <c r="C58" s="7" t="s">
        <v>136</v>
      </c>
      <c r="D58" s="7" t="n">
        <v>13</v>
      </c>
      <c r="E58" s="34"/>
      <c r="F58" s="34"/>
      <c r="G58" s="34"/>
      <c r="H58" s="8"/>
      <c r="I58" s="8" t="n">
        <v>17646</v>
      </c>
      <c r="J58" s="34" t="s">
        <v>113</v>
      </c>
      <c r="K58" s="10" t="s">
        <v>126</v>
      </c>
      <c r="L58" s="9" t="str">
        <f aca="false">IF(OR(B58="",E58=""),"",IFERROR(INDEX(Recetas!$R$5:$R$84,MATCH($E58,Recetas!$A$5:$A$84,0))*IFERROR(INDEX(Precios!$F$5:$F$120,MATCH(F58,Precios!$A$5:$A$120,0)),"")+IF(N(INDEX(Recetas!$S$5:$S$84,MATCH($E58,Recetas!$A$5:$A$84,0)))=0,0,INDEX(Recetas!$S$5:$S$84,MATCH($E58,Recetas!$A$5:$A$84,0))*IFERROR(INDEX(Precios!$F$5:$F$120,MATCH(G58,Precios!$A$5:$A$120,0)),"")),""))</f>
        <v/>
      </c>
      <c r="M58" s="9" t="str">
        <f aca="false">IF(OR(B58="",E58=""),"",IFERROR(N(INDEX(Recetas!$L$5:$L$84,MATCH($E58,Recetas!$A$5:$A$84,0)))*Parametros!$B$27,""))</f>
        <v/>
      </c>
      <c r="N58" s="9" t="str">
        <f aca="false">IF(OR(B58="",E58=""),"",IFERROR(INDEX(Confeccion!$B$5:$B$100,MATCH(INDEX(Recetas!$M$5:$M$84,MATCH($E58,Recetas!$A$5:$A$84,0)),Confeccion!$A$5:$A$100,0)),""))</f>
        <v/>
      </c>
      <c r="O58" s="9" t="str">
        <f aca="false">IF(OR(B58="",E58=""),"",IFERROR(N(INDEX(Recetas!$O$5:$O$84,MATCH($E58,Recetas!$A$5:$A$84,0)))*INDEX(Precios!$D$5:$D$120,MATCH(INDEX(Recetas!$N$5:$N$84,MATCH($E58,Recetas!$A$5:$A$84,0)),Precios!$A$5:$A$120,0)),0))</f>
        <v/>
      </c>
      <c r="P58" s="26" t="str">
        <f aca="false">IF(OR(B58="",E58=""),"",IF(AND(IFERROR(INDEX(Recetas!$T$5:$T$84,MATCH($E58,Recetas!$A$5:$A$84,0))="Lista",FALSE()),ISNUMBER(L58),ISNUMBER(M58),ISNUMBER(N58),N(N58)&gt;0),L58+M58+N58+N(O58)+N(H58),""))</f>
        <v/>
      </c>
      <c r="Q58" s="9" t="str">
        <f aca="false">IF(AND(ISNUMBER(P58),ISNUMBER(I58)),I58*Parametros!$B$12,"")</f>
        <v/>
      </c>
      <c r="R58" s="9" t="str">
        <f aca="false">IF(AND(ISNUMBER(P58),ISNUMBER(I58)),I58*Parametros!$B$13,"")</f>
        <v/>
      </c>
      <c r="S58" s="26" t="str">
        <f aca="false">IF(AND(ISNUMBER(P58),ISNUMBER(I58)),I58-P58-Q58-R58,"")</f>
        <v/>
      </c>
      <c r="T58" s="16" t="str">
        <f aca="false">IF(AND(ISNUMBER(P58),ISNUMBER(I58)),S58/I58,"")</f>
        <v/>
      </c>
      <c r="U58" s="9" t="str">
        <f aca="false">IF(OR(NOT(ISNUMBER(P58)),Parametros!$B$14&gt;=1),"",P58/(1-Parametros!$B$14))</f>
        <v/>
      </c>
      <c r="V58" s="9" t="str">
        <f aca="false">IF(OR(NOT(ISNUMBER(P58)),Parametros!$B$14+Parametros!$B$18&gt;=1),"",P58/(1-Parametros!$B$14-Parametros!$B$18))</f>
        <v/>
      </c>
      <c r="W58" s="35" t="str">
        <f aca="false">IF(B58="","",IF(E58="","SIN RECETA",IF(NOT(ISNUMBER(P58)),"FALTAN DATOS",IF(NOT(ISNUMBER(I58)),"FALTA PRECIO",IF(S58&lt;0,"PIERDE",IF(T58&lt;Parametros!$B$18,"BAJO META","OK"))))))</f>
        <v>SIN RECETA</v>
      </c>
      <c r="X58" s="36" t="str">
        <f aca="false">IF(B58="","",IF(E58="","Elegir receta (molde). ",IF(ISNA(MATCH(E58,Recetas!$A$5:$A$84,0)),"La receta no existe. ",IF(IFERROR(INDEX(Recetas!$T$5:$T$84,MATCH($E58,Recetas!$A$5:$A$84,0))="Lista",FALSE()),"","Receta "&amp;E58&amp;": "&amp;INDEX(Recetas!$T$5:$T$84,MATCH($E58,Recetas!$A$5:$A$84,0)))))&amp;IF(F58="","Elegir tela. ",IF(IFERROR(INDEX(Precios!$F$5:$F$120,MATCH(F58,Precios!$A$5:$A$120,0)),"")="","Tela sin $/metro (falta rendimiento o precio). ",""))&amp;IF(AND(E58&lt;&gt;"",N(IFERROR(INDEX(Recetas!$S$5:$S$84,MATCH($E58,Recetas!$A$5:$A$84,0)),0))&gt;0,G58=""),"Elegir tela 2. ","")&amp;IF(NOT(ISNUMBER(I58)),"Precio de venta.",""))</f>
        <v>Elegir receta (molde). Elegir tela. </v>
      </c>
      <c r="Y58" s="37" t="n">
        <f aca="false">IF(AND(ISNUMBER(P58),ISNUMBER(I58),ISNUMBER(D58)),P58*D58,0)</f>
        <v>0</v>
      </c>
      <c r="Z58" s="37" t="n">
        <f aca="false">IF(AND(ISNUMBER(P58),ISNUMBER(I58),ISNUMBER(D58)),I58*D58,0)</f>
        <v>0</v>
      </c>
      <c r="AA58" s="38" t="n">
        <f aca="false">IF(AND(ISNUMBER(P58),ISNUMBER(I58),ISNUMBER(D58)),D58,0)</f>
        <v>0</v>
      </c>
    </row>
    <row r="59" customFormat="false" ht="22.35" hidden="false" customHeight="false" outlineLevel="0" collapsed="false">
      <c r="A59" s="7" t="s">
        <v>246</v>
      </c>
      <c r="B59" s="7" t="s">
        <v>247</v>
      </c>
      <c r="C59" s="7" t="s">
        <v>111</v>
      </c>
      <c r="D59" s="7" t="n">
        <v>13</v>
      </c>
      <c r="E59" s="34"/>
      <c r="F59" s="34"/>
      <c r="G59" s="34"/>
      <c r="H59" s="8"/>
      <c r="I59" s="8" t="n">
        <v>16723</v>
      </c>
      <c r="J59" s="34" t="s">
        <v>113</v>
      </c>
      <c r="K59" s="10" t="s">
        <v>126</v>
      </c>
      <c r="L59" s="9" t="str">
        <f aca="false">IF(OR(B59="",E59=""),"",IFERROR(INDEX(Recetas!$R$5:$R$84,MATCH($E59,Recetas!$A$5:$A$84,0))*IFERROR(INDEX(Precios!$F$5:$F$120,MATCH(F59,Precios!$A$5:$A$120,0)),"")+IF(N(INDEX(Recetas!$S$5:$S$84,MATCH($E59,Recetas!$A$5:$A$84,0)))=0,0,INDEX(Recetas!$S$5:$S$84,MATCH($E59,Recetas!$A$5:$A$84,0))*IFERROR(INDEX(Precios!$F$5:$F$120,MATCH(G59,Precios!$A$5:$A$120,0)),"")),""))</f>
        <v/>
      </c>
      <c r="M59" s="9" t="str">
        <f aca="false">IF(OR(B59="",E59=""),"",IFERROR(N(INDEX(Recetas!$L$5:$L$84,MATCH($E59,Recetas!$A$5:$A$84,0)))*Parametros!$B$27,""))</f>
        <v/>
      </c>
      <c r="N59" s="9" t="str">
        <f aca="false">IF(OR(B59="",E59=""),"",IFERROR(INDEX(Confeccion!$B$5:$B$100,MATCH(INDEX(Recetas!$M$5:$M$84,MATCH($E59,Recetas!$A$5:$A$84,0)),Confeccion!$A$5:$A$100,0)),""))</f>
        <v/>
      </c>
      <c r="O59" s="9" t="str">
        <f aca="false">IF(OR(B59="",E59=""),"",IFERROR(N(INDEX(Recetas!$O$5:$O$84,MATCH($E59,Recetas!$A$5:$A$84,0)))*INDEX(Precios!$D$5:$D$120,MATCH(INDEX(Recetas!$N$5:$N$84,MATCH($E59,Recetas!$A$5:$A$84,0)),Precios!$A$5:$A$120,0)),0))</f>
        <v/>
      </c>
      <c r="P59" s="26" t="str">
        <f aca="false">IF(OR(B59="",E59=""),"",IF(AND(IFERROR(INDEX(Recetas!$T$5:$T$84,MATCH($E59,Recetas!$A$5:$A$84,0))="Lista",FALSE()),ISNUMBER(L59),ISNUMBER(M59),ISNUMBER(N59),N(N59)&gt;0),L59+M59+N59+N(O59)+N(H59),""))</f>
        <v/>
      </c>
      <c r="Q59" s="9" t="str">
        <f aca="false">IF(AND(ISNUMBER(P59),ISNUMBER(I59)),I59*Parametros!$B$12,"")</f>
        <v/>
      </c>
      <c r="R59" s="9" t="str">
        <f aca="false">IF(AND(ISNUMBER(P59),ISNUMBER(I59)),I59*Parametros!$B$13,"")</f>
        <v/>
      </c>
      <c r="S59" s="26" t="str">
        <f aca="false">IF(AND(ISNUMBER(P59),ISNUMBER(I59)),I59-P59-Q59-R59,"")</f>
        <v/>
      </c>
      <c r="T59" s="16" t="str">
        <f aca="false">IF(AND(ISNUMBER(P59),ISNUMBER(I59)),S59/I59,"")</f>
        <v/>
      </c>
      <c r="U59" s="9" t="str">
        <f aca="false">IF(OR(NOT(ISNUMBER(P59)),Parametros!$B$14&gt;=1),"",P59/(1-Parametros!$B$14))</f>
        <v/>
      </c>
      <c r="V59" s="9" t="str">
        <f aca="false">IF(OR(NOT(ISNUMBER(P59)),Parametros!$B$14+Parametros!$B$18&gt;=1),"",P59/(1-Parametros!$B$14-Parametros!$B$18))</f>
        <v/>
      </c>
      <c r="W59" s="35" t="str">
        <f aca="false">IF(B59="","",IF(E59="","SIN RECETA",IF(NOT(ISNUMBER(P59)),"FALTAN DATOS",IF(NOT(ISNUMBER(I59)),"FALTA PRECIO",IF(S59&lt;0,"PIERDE",IF(T59&lt;Parametros!$B$18,"BAJO META","OK"))))))</f>
        <v>SIN RECETA</v>
      </c>
      <c r="X59" s="36" t="str">
        <f aca="false">IF(B59="","",IF(E59="","Elegir receta (molde). ",IF(ISNA(MATCH(E59,Recetas!$A$5:$A$84,0)),"La receta no existe. ",IF(IFERROR(INDEX(Recetas!$T$5:$T$84,MATCH($E59,Recetas!$A$5:$A$84,0))="Lista",FALSE()),"","Receta "&amp;E59&amp;": "&amp;INDEX(Recetas!$T$5:$T$84,MATCH($E59,Recetas!$A$5:$A$84,0)))))&amp;IF(F59="","Elegir tela. ",IF(IFERROR(INDEX(Precios!$F$5:$F$120,MATCH(F59,Precios!$A$5:$A$120,0)),"")="","Tela sin $/metro (falta rendimiento o precio). ",""))&amp;IF(AND(E59&lt;&gt;"",N(IFERROR(INDEX(Recetas!$S$5:$S$84,MATCH($E59,Recetas!$A$5:$A$84,0)),0))&gt;0,G59=""),"Elegir tela 2. ","")&amp;IF(NOT(ISNUMBER(I59)),"Precio de venta.",""))</f>
        <v>Elegir receta (molde). Elegir tela. </v>
      </c>
      <c r="Y59" s="37" t="n">
        <f aca="false">IF(AND(ISNUMBER(P59),ISNUMBER(I59),ISNUMBER(D59)),P59*D59,0)</f>
        <v>0</v>
      </c>
      <c r="Z59" s="37" t="n">
        <f aca="false">IF(AND(ISNUMBER(P59),ISNUMBER(I59),ISNUMBER(D59)),I59*D59,0)</f>
        <v>0</v>
      </c>
      <c r="AA59" s="38" t="n">
        <f aca="false">IF(AND(ISNUMBER(P59),ISNUMBER(I59),ISNUMBER(D59)),D59,0)</f>
        <v>0</v>
      </c>
    </row>
    <row r="60" customFormat="false" ht="22.35" hidden="false" customHeight="false" outlineLevel="0" collapsed="false">
      <c r="A60" s="7" t="s">
        <v>248</v>
      </c>
      <c r="B60" s="7" t="s">
        <v>249</v>
      </c>
      <c r="C60" s="7" t="s">
        <v>136</v>
      </c>
      <c r="D60" s="7" t="n">
        <v>13</v>
      </c>
      <c r="E60" s="34"/>
      <c r="F60" s="34"/>
      <c r="G60" s="34"/>
      <c r="H60" s="8"/>
      <c r="I60" s="8" t="n">
        <v>17563</v>
      </c>
      <c r="J60" s="34" t="s">
        <v>113</v>
      </c>
      <c r="K60" s="10" t="s">
        <v>126</v>
      </c>
      <c r="L60" s="9" t="str">
        <f aca="false">IF(OR(B60="",E60=""),"",IFERROR(INDEX(Recetas!$R$5:$R$84,MATCH($E60,Recetas!$A$5:$A$84,0))*IFERROR(INDEX(Precios!$F$5:$F$120,MATCH(F60,Precios!$A$5:$A$120,0)),"")+IF(N(INDEX(Recetas!$S$5:$S$84,MATCH($E60,Recetas!$A$5:$A$84,0)))=0,0,INDEX(Recetas!$S$5:$S$84,MATCH($E60,Recetas!$A$5:$A$84,0))*IFERROR(INDEX(Precios!$F$5:$F$120,MATCH(G60,Precios!$A$5:$A$120,0)),"")),""))</f>
        <v/>
      </c>
      <c r="M60" s="9" t="str">
        <f aca="false">IF(OR(B60="",E60=""),"",IFERROR(N(INDEX(Recetas!$L$5:$L$84,MATCH($E60,Recetas!$A$5:$A$84,0)))*Parametros!$B$27,""))</f>
        <v/>
      </c>
      <c r="N60" s="9" t="str">
        <f aca="false">IF(OR(B60="",E60=""),"",IFERROR(INDEX(Confeccion!$B$5:$B$100,MATCH(INDEX(Recetas!$M$5:$M$84,MATCH($E60,Recetas!$A$5:$A$84,0)),Confeccion!$A$5:$A$100,0)),""))</f>
        <v/>
      </c>
      <c r="O60" s="9" t="str">
        <f aca="false">IF(OR(B60="",E60=""),"",IFERROR(N(INDEX(Recetas!$O$5:$O$84,MATCH($E60,Recetas!$A$5:$A$84,0)))*INDEX(Precios!$D$5:$D$120,MATCH(INDEX(Recetas!$N$5:$N$84,MATCH($E60,Recetas!$A$5:$A$84,0)),Precios!$A$5:$A$120,0)),0))</f>
        <v/>
      </c>
      <c r="P60" s="26" t="str">
        <f aca="false">IF(OR(B60="",E60=""),"",IF(AND(IFERROR(INDEX(Recetas!$T$5:$T$84,MATCH($E60,Recetas!$A$5:$A$84,0))="Lista",FALSE()),ISNUMBER(L60),ISNUMBER(M60),ISNUMBER(N60),N(N60)&gt;0),L60+M60+N60+N(O60)+N(H60),""))</f>
        <v/>
      </c>
      <c r="Q60" s="9" t="str">
        <f aca="false">IF(AND(ISNUMBER(P60),ISNUMBER(I60)),I60*Parametros!$B$12,"")</f>
        <v/>
      </c>
      <c r="R60" s="9" t="str">
        <f aca="false">IF(AND(ISNUMBER(P60),ISNUMBER(I60)),I60*Parametros!$B$13,"")</f>
        <v/>
      </c>
      <c r="S60" s="26" t="str">
        <f aca="false">IF(AND(ISNUMBER(P60),ISNUMBER(I60)),I60-P60-Q60-R60,"")</f>
        <v/>
      </c>
      <c r="T60" s="16" t="str">
        <f aca="false">IF(AND(ISNUMBER(P60),ISNUMBER(I60)),S60/I60,"")</f>
        <v/>
      </c>
      <c r="U60" s="9" t="str">
        <f aca="false">IF(OR(NOT(ISNUMBER(P60)),Parametros!$B$14&gt;=1),"",P60/(1-Parametros!$B$14))</f>
        <v/>
      </c>
      <c r="V60" s="9" t="str">
        <f aca="false">IF(OR(NOT(ISNUMBER(P60)),Parametros!$B$14+Parametros!$B$18&gt;=1),"",P60/(1-Parametros!$B$14-Parametros!$B$18))</f>
        <v/>
      </c>
      <c r="W60" s="35" t="str">
        <f aca="false">IF(B60="","",IF(E60="","SIN RECETA",IF(NOT(ISNUMBER(P60)),"FALTAN DATOS",IF(NOT(ISNUMBER(I60)),"FALTA PRECIO",IF(S60&lt;0,"PIERDE",IF(T60&lt;Parametros!$B$18,"BAJO META","OK"))))))</f>
        <v>SIN RECETA</v>
      </c>
      <c r="X60" s="36" t="str">
        <f aca="false">IF(B60="","",IF(E60="","Elegir receta (molde). ",IF(ISNA(MATCH(E60,Recetas!$A$5:$A$84,0)),"La receta no existe. ",IF(IFERROR(INDEX(Recetas!$T$5:$T$84,MATCH($E60,Recetas!$A$5:$A$84,0))="Lista",FALSE()),"","Receta "&amp;E60&amp;": "&amp;INDEX(Recetas!$T$5:$T$84,MATCH($E60,Recetas!$A$5:$A$84,0)))))&amp;IF(F60="","Elegir tela. ",IF(IFERROR(INDEX(Precios!$F$5:$F$120,MATCH(F60,Precios!$A$5:$A$120,0)),"")="","Tela sin $/metro (falta rendimiento o precio). ",""))&amp;IF(AND(E60&lt;&gt;"",N(IFERROR(INDEX(Recetas!$S$5:$S$84,MATCH($E60,Recetas!$A$5:$A$84,0)),0))&gt;0,G60=""),"Elegir tela 2. ","")&amp;IF(NOT(ISNUMBER(I60)),"Precio de venta.",""))</f>
        <v>Elegir receta (molde). Elegir tela. </v>
      </c>
      <c r="Y60" s="37" t="n">
        <f aca="false">IF(AND(ISNUMBER(P60),ISNUMBER(I60),ISNUMBER(D60)),P60*D60,0)</f>
        <v>0</v>
      </c>
      <c r="Z60" s="37" t="n">
        <f aca="false">IF(AND(ISNUMBER(P60),ISNUMBER(I60),ISNUMBER(D60)),I60*D60,0)</f>
        <v>0</v>
      </c>
      <c r="AA60" s="38" t="n">
        <f aca="false">IF(AND(ISNUMBER(P60),ISNUMBER(I60),ISNUMBER(D60)),D60,0)</f>
        <v>0</v>
      </c>
    </row>
    <row r="61" customFormat="false" ht="22.35" hidden="false" customHeight="false" outlineLevel="0" collapsed="false">
      <c r="A61" s="7" t="s">
        <v>250</v>
      </c>
      <c r="B61" s="7" t="s">
        <v>251</v>
      </c>
      <c r="C61" s="7" t="s">
        <v>111</v>
      </c>
      <c r="D61" s="7" t="n">
        <v>12</v>
      </c>
      <c r="E61" s="34"/>
      <c r="F61" s="34"/>
      <c r="G61" s="34"/>
      <c r="H61" s="8"/>
      <c r="I61" s="8" t="n">
        <v>16554</v>
      </c>
      <c r="J61" s="34" t="s">
        <v>113</v>
      </c>
      <c r="K61" s="10" t="s">
        <v>126</v>
      </c>
      <c r="L61" s="9" t="str">
        <f aca="false">IF(OR(B61="",E61=""),"",IFERROR(INDEX(Recetas!$R$5:$R$84,MATCH($E61,Recetas!$A$5:$A$84,0))*IFERROR(INDEX(Precios!$F$5:$F$120,MATCH(F61,Precios!$A$5:$A$120,0)),"")+IF(N(INDEX(Recetas!$S$5:$S$84,MATCH($E61,Recetas!$A$5:$A$84,0)))=0,0,INDEX(Recetas!$S$5:$S$84,MATCH($E61,Recetas!$A$5:$A$84,0))*IFERROR(INDEX(Precios!$F$5:$F$120,MATCH(G61,Precios!$A$5:$A$120,0)),"")),""))</f>
        <v/>
      </c>
      <c r="M61" s="9" t="str">
        <f aca="false">IF(OR(B61="",E61=""),"",IFERROR(N(INDEX(Recetas!$L$5:$L$84,MATCH($E61,Recetas!$A$5:$A$84,0)))*Parametros!$B$27,""))</f>
        <v/>
      </c>
      <c r="N61" s="9" t="str">
        <f aca="false">IF(OR(B61="",E61=""),"",IFERROR(INDEX(Confeccion!$B$5:$B$100,MATCH(INDEX(Recetas!$M$5:$M$84,MATCH($E61,Recetas!$A$5:$A$84,0)),Confeccion!$A$5:$A$100,0)),""))</f>
        <v/>
      </c>
      <c r="O61" s="9" t="str">
        <f aca="false">IF(OR(B61="",E61=""),"",IFERROR(N(INDEX(Recetas!$O$5:$O$84,MATCH($E61,Recetas!$A$5:$A$84,0)))*INDEX(Precios!$D$5:$D$120,MATCH(INDEX(Recetas!$N$5:$N$84,MATCH($E61,Recetas!$A$5:$A$84,0)),Precios!$A$5:$A$120,0)),0))</f>
        <v/>
      </c>
      <c r="P61" s="26" t="str">
        <f aca="false">IF(OR(B61="",E61=""),"",IF(AND(IFERROR(INDEX(Recetas!$T$5:$T$84,MATCH($E61,Recetas!$A$5:$A$84,0))="Lista",FALSE()),ISNUMBER(L61),ISNUMBER(M61),ISNUMBER(N61),N(N61)&gt;0),L61+M61+N61+N(O61)+N(H61),""))</f>
        <v/>
      </c>
      <c r="Q61" s="9" t="str">
        <f aca="false">IF(AND(ISNUMBER(P61),ISNUMBER(I61)),I61*Parametros!$B$12,"")</f>
        <v/>
      </c>
      <c r="R61" s="9" t="str">
        <f aca="false">IF(AND(ISNUMBER(P61),ISNUMBER(I61)),I61*Parametros!$B$13,"")</f>
        <v/>
      </c>
      <c r="S61" s="26" t="str">
        <f aca="false">IF(AND(ISNUMBER(P61),ISNUMBER(I61)),I61-P61-Q61-R61,"")</f>
        <v/>
      </c>
      <c r="T61" s="16" t="str">
        <f aca="false">IF(AND(ISNUMBER(P61),ISNUMBER(I61)),S61/I61,"")</f>
        <v/>
      </c>
      <c r="U61" s="9" t="str">
        <f aca="false">IF(OR(NOT(ISNUMBER(P61)),Parametros!$B$14&gt;=1),"",P61/(1-Parametros!$B$14))</f>
        <v/>
      </c>
      <c r="V61" s="9" t="str">
        <f aca="false">IF(OR(NOT(ISNUMBER(P61)),Parametros!$B$14+Parametros!$B$18&gt;=1),"",P61/(1-Parametros!$B$14-Parametros!$B$18))</f>
        <v/>
      </c>
      <c r="W61" s="35" t="str">
        <f aca="false">IF(B61="","",IF(E61="","SIN RECETA",IF(NOT(ISNUMBER(P61)),"FALTAN DATOS",IF(NOT(ISNUMBER(I61)),"FALTA PRECIO",IF(S61&lt;0,"PIERDE",IF(T61&lt;Parametros!$B$18,"BAJO META","OK"))))))</f>
        <v>SIN RECETA</v>
      </c>
      <c r="X61" s="36" t="str">
        <f aca="false">IF(B61="","",IF(E61="","Elegir receta (molde). ",IF(ISNA(MATCH(E61,Recetas!$A$5:$A$84,0)),"La receta no existe. ",IF(IFERROR(INDEX(Recetas!$T$5:$T$84,MATCH($E61,Recetas!$A$5:$A$84,0))="Lista",FALSE()),"","Receta "&amp;E61&amp;": "&amp;INDEX(Recetas!$T$5:$T$84,MATCH($E61,Recetas!$A$5:$A$84,0)))))&amp;IF(F61="","Elegir tela. ",IF(IFERROR(INDEX(Precios!$F$5:$F$120,MATCH(F61,Precios!$A$5:$A$120,0)),"")="","Tela sin $/metro (falta rendimiento o precio). ",""))&amp;IF(AND(E61&lt;&gt;"",N(IFERROR(INDEX(Recetas!$S$5:$S$84,MATCH($E61,Recetas!$A$5:$A$84,0)),0))&gt;0,G61=""),"Elegir tela 2. ","")&amp;IF(NOT(ISNUMBER(I61)),"Precio de venta.",""))</f>
        <v>Elegir receta (molde). Elegir tela. </v>
      </c>
      <c r="Y61" s="37" t="n">
        <f aca="false">IF(AND(ISNUMBER(P61),ISNUMBER(I61),ISNUMBER(D61)),P61*D61,0)</f>
        <v>0</v>
      </c>
      <c r="Z61" s="37" t="n">
        <f aca="false">IF(AND(ISNUMBER(P61),ISNUMBER(I61),ISNUMBER(D61)),I61*D61,0)</f>
        <v>0</v>
      </c>
      <c r="AA61" s="38" t="n">
        <f aca="false">IF(AND(ISNUMBER(P61),ISNUMBER(I61),ISNUMBER(D61)),D61,0)</f>
        <v>0</v>
      </c>
    </row>
    <row r="62" customFormat="false" ht="22.35" hidden="false" customHeight="false" outlineLevel="0" collapsed="false">
      <c r="A62" s="7" t="s">
        <v>252</v>
      </c>
      <c r="B62" s="7" t="s">
        <v>253</v>
      </c>
      <c r="C62" s="7" t="s">
        <v>136</v>
      </c>
      <c r="D62" s="7" t="n">
        <v>12</v>
      </c>
      <c r="E62" s="34"/>
      <c r="F62" s="34"/>
      <c r="G62" s="34"/>
      <c r="H62" s="8"/>
      <c r="I62" s="8" t="n">
        <v>30168</v>
      </c>
      <c r="J62" s="34" t="s">
        <v>113</v>
      </c>
      <c r="K62" s="10" t="s">
        <v>126</v>
      </c>
      <c r="L62" s="9" t="str">
        <f aca="false">IF(OR(B62="",E62=""),"",IFERROR(INDEX(Recetas!$R$5:$R$84,MATCH($E62,Recetas!$A$5:$A$84,0))*IFERROR(INDEX(Precios!$F$5:$F$120,MATCH(F62,Precios!$A$5:$A$120,0)),"")+IF(N(INDEX(Recetas!$S$5:$S$84,MATCH($E62,Recetas!$A$5:$A$84,0)))=0,0,INDEX(Recetas!$S$5:$S$84,MATCH($E62,Recetas!$A$5:$A$84,0))*IFERROR(INDEX(Precios!$F$5:$F$120,MATCH(G62,Precios!$A$5:$A$120,0)),"")),""))</f>
        <v/>
      </c>
      <c r="M62" s="9" t="str">
        <f aca="false">IF(OR(B62="",E62=""),"",IFERROR(N(INDEX(Recetas!$L$5:$L$84,MATCH($E62,Recetas!$A$5:$A$84,0)))*Parametros!$B$27,""))</f>
        <v/>
      </c>
      <c r="N62" s="9" t="str">
        <f aca="false">IF(OR(B62="",E62=""),"",IFERROR(INDEX(Confeccion!$B$5:$B$100,MATCH(INDEX(Recetas!$M$5:$M$84,MATCH($E62,Recetas!$A$5:$A$84,0)),Confeccion!$A$5:$A$100,0)),""))</f>
        <v/>
      </c>
      <c r="O62" s="9" t="str">
        <f aca="false">IF(OR(B62="",E62=""),"",IFERROR(N(INDEX(Recetas!$O$5:$O$84,MATCH($E62,Recetas!$A$5:$A$84,0)))*INDEX(Precios!$D$5:$D$120,MATCH(INDEX(Recetas!$N$5:$N$84,MATCH($E62,Recetas!$A$5:$A$84,0)),Precios!$A$5:$A$120,0)),0))</f>
        <v/>
      </c>
      <c r="P62" s="26" t="str">
        <f aca="false">IF(OR(B62="",E62=""),"",IF(AND(IFERROR(INDEX(Recetas!$T$5:$T$84,MATCH($E62,Recetas!$A$5:$A$84,0))="Lista",FALSE()),ISNUMBER(L62),ISNUMBER(M62),ISNUMBER(N62),N(N62)&gt;0),L62+M62+N62+N(O62)+N(H62),""))</f>
        <v/>
      </c>
      <c r="Q62" s="9" t="str">
        <f aca="false">IF(AND(ISNUMBER(P62),ISNUMBER(I62)),I62*Parametros!$B$12,"")</f>
        <v/>
      </c>
      <c r="R62" s="9" t="str">
        <f aca="false">IF(AND(ISNUMBER(P62),ISNUMBER(I62)),I62*Parametros!$B$13,"")</f>
        <v/>
      </c>
      <c r="S62" s="26" t="str">
        <f aca="false">IF(AND(ISNUMBER(P62),ISNUMBER(I62)),I62-P62-Q62-R62,"")</f>
        <v/>
      </c>
      <c r="T62" s="16" t="str">
        <f aca="false">IF(AND(ISNUMBER(P62),ISNUMBER(I62)),S62/I62,"")</f>
        <v/>
      </c>
      <c r="U62" s="9" t="str">
        <f aca="false">IF(OR(NOT(ISNUMBER(P62)),Parametros!$B$14&gt;=1),"",P62/(1-Parametros!$B$14))</f>
        <v/>
      </c>
      <c r="V62" s="9" t="str">
        <f aca="false">IF(OR(NOT(ISNUMBER(P62)),Parametros!$B$14+Parametros!$B$18&gt;=1),"",P62/(1-Parametros!$B$14-Parametros!$B$18))</f>
        <v/>
      </c>
      <c r="W62" s="35" t="str">
        <f aca="false">IF(B62="","",IF(E62="","SIN RECETA",IF(NOT(ISNUMBER(P62)),"FALTAN DATOS",IF(NOT(ISNUMBER(I62)),"FALTA PRECIO",IF(S62&lt;0,"PIERDE",IF(T62&lt;Parametros!$B$18,"BAJO META","OK"))))))</f>
        <v>SIN RECETA</v>
      </c>
      <c r="X62" s="36" t="str">
        <f aca="false">IF(B62="","",IF(E62="","Elegir receta (molde). ",IF(ISNA(MATCH(E62,Recetas!$A$5:$A$84,0)),"La receta no existe. ",IF(IFERROR(INDEX(Recetas!$T$5:$T$84,MATCH($E62,Recetas!$A$5:$A$84,0))="Lista",FALSE()),"","Receta "&amp;E62&amp;": "&amp;INDEX(Recetas!$T$5:$T$84,MATCH($E62,Recetas!$A$5:$A$84,0)))))&amp;IF(F62="","Elegir tela. ",IF(IFERROR(INDEX(Precios!$F$5:$F$120,MATCH(F62,Precios!$A$5:$A$120,0)),"")="","Tela sin $/metro (falta rendimiento o precio). ",""))&amp;IF(AND(E62&lt;&gt;"",N(IFERROR(INDEX(Recetas!$S$5:$S$84,MATCH($E62,Recetas!$A$5:$A$84,0)),0))&gt;0,G62=""),"Elegir tela 2. ","")&amp;IF(NOT(ISNUMBER(I62)),"Precio de venta.",""))</f>
        <v>Elegir receta (molde). Elegir tela. </v>
      </c>
      <c r="Y62" s="37" t="n">
        <f aca="false">IF(AND(ISNUMBER(P62),ISNUMBER(I62),ISNUMBER(D62)),P62*D62,0)</f>
        <v>0</v>
      </c>
      <c r="Z62" s="37" t="n">
        <f aca="false">IF(AND(ISNUMBER(P62),ISNUMBER(I62),ISNUMBER(D62)),I62*D62,0)</f>
        <v>0</v>
      </c>
      <c r="AA62" s="38" t="n">
        <f aca="false">IF(AND(ISNUMBER(P62),ISNUMBER(I62),ISNUMBER(D62)),D62,0)</f>
        <v>0</v>
      </c>
    </row>
    <row r="63" customFormat="false" ht="22.35" hidden="false" customHeight="false" outlineLevel="0" collapsed="false">
      <c r="A63" s="7" t="s">
        <v>254</v>
      </c>
      <c r="B63" s="7" t="s">
        <v>255</v>
      </c>
      <c r="C63" s="7" t="s">
        <v>111</v>
      </c>
      <c r="D63" s="7" t="n">
        <v>12</v>
      </c>
      <c r="E63" s="34"/>
      <c r="F63" s="34"/>
      <c r="G63" s="34"/>
      <c r="H63" s="8"/>
      <c r="I63" s="8" t="n">
        <v>17563</v>
      </c>
      <c r="J63" s="34" t="s">
        <v>113</v>
      </c>
      <c r="K63" s="10" t="s">
        <v>126</v>
      </c>
      <c r="L63" s="9" t="str">
        <f aca="false">IF(OR(B63="",E63=""),"",IFERROR(INDEX(Recetas!$R$5:$R$84,MATCH($E63,Recetas!$A$5:$A$84,0))*IFERROR(INDEX(Precios!$F$5:$F$120,MATCH(F63,Precios!$A$5:$A$120,0)),"")+IF(N(INDEX(Recetas!$S$5:$S$84,MATCH($E63,Recetas!$A$5:$A$84,0)))=0,0,INDEX(Recetas!$S$5:$S$84,MATCH($E63,Recetas!$A$5:$A$84,0))*IFERROR(INDEX(Precios!$F$5:$F$120,MATCH(G63,Precios!$A$5:$A$120,0)),"")),""))</f>
        <v/>
      </c>
      <c r="M63" s="9" t="str">
        <f aca="false">IF(OR(B63="",E63=""),"",IFERROR(N(INDEX(Recetas!$L$5:$L$84,MATCH($E63,Recetas!$A$5:$A$84,0)))*Parametros!$B$27,""))</f>
        <v/>
      </c>
      <c r="N63" s="9" t="str">
        <f aca="false">IF(OR(B63="",E63=""),"",IFERROR(INDEX(Confeccion!$B$5:$B$100,MATCH(INDEX(Recetas!$M$5:$M$84,MATCH($E63,Recetas!$A$5:$A$84,0)),Confeccion!$A$5:$A$100,0)),""))</f>
        <v/>
      </c>
      <c r="O63" s="9" t="str">
        <f aca="false">IF(OR(B63="",E63=""),"",IFERROR(N(INDEX(Recetas!$O$5:$O$84,MATCH($E63,Recetas!$A$5:$A$84,0)))*INDEX(Precios!$D$5:$D$120,MATCH(INDEX(Recetas!$N$5:$N$84,MATCH($E63,Recetas!$A$5:$A$84,0)),Precios!$A$5:$A$120,0)),0))</f>
        <v/>
      </c>
      <c r="P63" s="26" t="str">
        <f aca="false">IF(OR(B63="",E63=""),"",IF(AND(IFERROR(INDEX(Recetas!$T$5:$T$84,MATCH($E63,Recetas!$A$5:$A$84,0))="Lista",FALSE()),ISNUMBER(L63),ISNUMBER(M63),ISNUMBER(N63),N(N63)&gt;0),L63+M63+N63+N(O63)+N(H63),""))</f>
        <v/>
      </c>
      <c r="Q63" s="9" t="str">
        <f aca="false">IF(AND(ISNUMBER(P63),ISNUMBER(I63)),I63*Parametros!$B$12,"")</f>
        <v/>
      </c>
      <c r="R63" s="9" t="str">
        <f aca="false">IF(AND(ISNUMBER(P63),ISNUMBER(I63)),I63*Parametros!$B$13,"")</f>
        <v/>
      </c>
      <c r="S63" s="26" t="str">
        <f aca="false">IF(AND(ISNUMBER(P63),ISNUMBER(I63)),I63-P63-Q63-R63,"")</f>
        <v/>
      </c>
      <c r="T63" s="16" t="str">
        <f aca="false">IF(AND(ISNUMBER(P63),ISNUMBER(I63)),S63/I63,"")</f>
        <v/>
      </c>
      <c r="U63" s="9" t="str">
        <f aca="false">IF(OR(NOT(ISNUMBER(P63)),Parametros!$B$14&gt;=1),"",P63/(1-Parametros!$B$14))</f>
        <v/>
      </c>
      <c r="V63" s="9" t="str">
        <f aca="false">IF(OR(NOT(ISNUMBER(P63)),Parametros!$B$14+Parametros!$B$18&gt;=1),"",P63/(1-Parametros!$B$14-Parametros!$B$18))</f>
        <v/>
      </c>
      <c r="W63" s="35" t="str">
        <f aca="false">IF(B63="","",IF(E63="","SIN RECETA",IF(NOT(ISNUMBER(P63)),"FALTAN DATOS",IF(NOT(ISNUMBER(I63)),"FALTA PRECIO",IF(S63&lt;0,"PIERDE",IF(T63&lt;Parametros!$B$18,"BAJO META","OK"))))))</f>
        <v>SIN RECETA</v>
      </c>
      <c r="X63" s="36" t="str">
        <f aca="false">IF(B63="","",IF(E63="","Elegir receta (molde). ",IF(ISNA(MATCH(E63,Recetas!$A$5:$A$84,0)),"La receta no existe. ",IF(IFERROR(INDEX(Recetas!$T$5:$T$84,MATCH($E63,Recetas!$A$5:$A$84,0))="Lista",FALSE()),"","Receta "&amp;E63&amp;": "&amp;INDEX(Recetas!$T$5:$T$84,MATCH($E63,Recetas!$A$5:$A$84,0)))))&amp;IF(F63="","Elegir tela. ",IF(IFERROR(INDEX(Precios!$F$5:$F$120,MATCH(F63,Precios!$A$5:$A$120,0)),"")="","Tela sin $/metro (falta rendimiento o precio). ",""))&amp;IF(AND(E63&lt;&gt;"",N(IFERROR(INDEX(Recetas!$S$5:$S$84,MATCH($E63,Recetas!$A$5:$A$84,0)),0))&gt;0,G63=""),"Elegir tela 2. ","")&amp;IF(NOT(ISNUMBER(I63)),"Precio de venta.",""))</f>
        <v>Elegir receta (molde). Elegir tela. </v>
      </c>
      <c r="Y63" s="37" t="n">
        <f aca="false">IF(AND(ISNUMBER(P63),ISNUMBER(I63),ISNUMBER(D63)),P63*D63,0)</f>
        <v>0</v>
      </c>
      <c r="Z63" s="37" t="n">
        <f aca="false">IF(AND(ISNUMBER(P63),ISNUMBER(I63),ISNUMBER(D63)),I63*D63,0)</f>
        <v>0</v>
      </c>
      <c r="AA63" s="38" t="n">
        <f aca="false">IF(AND(ISNUMBER(P63),ISNUMBER(I63),ISNUMBER(D63)),D63,0)</f>
        <v>0</v>
      </c>
    </row>
    <row r="64" customFormat="false" ht="22.35" hidden="false" customHeight="false" outlineLevel="0" collapsed="false">
      <c r="A64" s="7" t="s">
        <v>256</v>
      </c>
      <c r="B64" s="7" t="s">
        <v>257</v>
      </c>
      <c r="C64" s="7" t="s">
        <v>111</v>
      </c>
      <c r="D64" s="7" t="n">
        <v>12</v>
      </c>
      <c r="E64" s="34"/>
      <c r="F64" s="34"/>
      <c r="G64" s="34"/>
      <c r="H64" s="8"/>
      <c r="I64" s="8" t="n">
        <v>19244</v>
      </c>
      <c r="J64" s="34" t="s">
        <v>113</v>
      </c>
      <c r="K64" s="10" t="s">
        <v>126</v>
      </c>
      <c r="L64" s="9" t="str">
        <f aca="false">IF(OR(B64="",E64=""),"",IFERROR(INDEX(Recetas!$R$5:$R$84,MATCH($E64,Recetas!$A$5:$A$84,0))*IFERROR(INDEX(Precios!$F$5:$F$120,MATCH(F64,Precios!$A$5:$A$120,0)),"")+IF(N(INDEX(Recetas!$S$5:$S$84,MATCH($E64,Recetas!$A$5:$A$84,0)))=0,0,INDEX(Recetas!$S$5:$S$84,MATCH($E64,Recetas!$A$5:$A$84,0))*IFERROR(INDEX(Precios!$F$5:$F$120,MATCH(G64,Precios!$A$5:$A$120,0)),"")),""))</f>
        <v/>
      </c>
      <c r="M64" s="9" t="str">
        <f aca="false">IF(OR(B64="",E64=""),"",IFERROR(N(INDEX(Recetas!$L$5:$L$84,MATCH($E64,Recetas!$A$5:$A$84,0)))*Parametros!$B$27,""))</f>
        <v/>
      </c>
      <c r="N64" s="9" t="str">
        <f aca="false">IF(OR(B64="",E64=""),"",IFERROR(INDEX(Confeccion!$B$5:$B$100,MATCH(INDEX(Recetas!$M$5:$M$84,MATCH($E64,Recetas!$A$5:$A$84,0)),Confeccion!$A$5:$A$100,0)),""))</f>
        <v/>
      </c>
      <c r="O64" s="9" t="str">
        <f aca="false">IF(OR(B64="",E64=""),"",IFERROR(N(INDEX(Recetas!$O$5:$O$84,MATCH($E64,Recetas!$A$5:$A$84,0)))*INDEX(Precios!$D$5:$D$120,MATCH(INDEX(Recetas!$N$5:$N$84,MATCH($E64,Recetas!$A$5:$A$84,0)),Precios!$A$5:$A$120,0)),0))</f>
        <v/>
      </c>
      <c r="P64" s="26" t="str">
        <f aca="false">IF(OR(B64="",E64=""),"",IF(AND(IFERROR(INDEX(Recetas!$T$5:$T$84,MATCH($E64,Recetas!$A$5:$A$84,0))="Lista",FALSE()),ISNUMBER(L64),ISNUMBER(M64),ISNUMBER(N64),N(N64)&gt;0),L64+M64+N64+N(O64)+N(H64),""))</f>
        <v/>
      </c>
      <c r="Q64" s="9" t="str">
        <f aca="false">IF(AND(ISNUMBER(P64),ISNUMBER(I64)),I64*Parametros!$B$12,"")</f>
        <v/>
      </c>
      <c r="R64" s="9" t="str">
        <f aca="false">IF(AND(ISNUMBER(P64),ISNUMBER(I64)),I64*Parametros!$B$13,"")</f>
        <v/>
      </c>
      <c r="S64" s="26" t="str">
        <f aca="false">IF(AND(ISNUMBER(P64),ISNUMBER(I64)),I64-P64-Q64-R64,"")</f>
        <v/>
      </c>
      <c r="T64" s="16" t="str">
        <f aca="false">IF(AND(ISNUMBER(P64),ISNUMBER(I64)),S64/I64,"")</f>
        <v/>
      </c>
      <c r="U64" s="9" t="str">
        <f aca="false">IF(OR(NOT(ISNUMBER(P64)),Parametros!$B$14&gt;=1),"",P64/(1-Parametros!$B$14))</f>
        <v/>
      </c>
      <c r="V64" s="9" t="str">
        <f aca="false">IF(OR(NOT(ISNUMBER(P64)),Parametros!$B$14+Parametros!$B$18&gt;=1),"",P64/(1-Parametros!$B$14-Parametros!$B$18))</f>
        <v/>
      </c>
      <c r="W64" s="35" t="str">
        <f aca="false">IF(B64="","",IF(E64="","SIN RECETA",IF(NOT(ISNUMBER(P64)),"FALTAN DATOS",IF(NOT(ISNUMBER(I64)),"FALTA PRECIO",IF(S64&lt;0,"PIERDE",IF(T64&lt;Parametros!$B$18,"BAJO META","OK"))))))</f>
        <v>SIN RECETA</v>
      </c>
      <c r="X64" s="36" t="str">
        <f aca="false">IF(B64="","",IF(E64="","Elegir receta (molde). ",IF(ISNA(MATCH(E64,Recetas!$A$5:$A$84,0)),"La receta no existe. ",IF(IFERROR(INDEX(Recetas!$T$5:$T$84,MATCH($E64,Recetas!$A$5:$A$84,0))="Lista",FALSE()),"","Receta "&amp;E64&amp;": "&amp;INDEX(Recetas!$T$5:$T$84,MATCH($E64,Recetas!$A$5:$A$84,0)))))&amp;IF(F64="","Elegir tela. ",IF(IFERROR(INDEX(Precios!$F$5:$F$120,MATCH(F64,Precios!$A$5:$A$120,0)),"")="","Tela sin $/metro (falta rendimiento o precio). ",""))&amp;IF(AND(E64&lt;&gt;"",N(IFERROR(INDEX(Recetas!$S$5:$S$84,MATCH($E64,Recetas!$A$5:$A$84,0)),0))&gt;0,G64=""),"Elegir tela 2. ","")&amp;IF(NOT(ISNUMBER(I64)),"Precio de venta.",""))</f>
        <v>Elegir receta (molde). Elegir tela. </v>
      </c>
      <c r="Y64" s="37" t="n">
        <f aca="false">IF(AND(ISNUMBER(P64),ISNUMBER(I64),ISNUMBER(D64)),P64*D64,0)</f>
        <v>0</v>
      </c>
      <c r="Z64" s="37" t="n">
        <f aca="false">IF(AND(ISNUMBER(P64),ISNUMBER(I64),ISNUMBER(D64)),I64*D64,0)</f>
        <v>0</v>
      </c>
      <c r="AA64" s="38" t="n">
        <f aca="false">IF(AND(ISNUMBER(P64),ISNUMBER(I64),ISNUMBER(D64)),D64,0)</f>
        <v>0</v>
      </c>
    </row>
    <row r="65" customFormat="false" ht="22.35" hidden="false" customHeight="false" outlineLevel="0" collapsed="false">
      <c r="A65" s="7" t="s">
        <v>258</v>
      </c>
      <c r="B65" s="7" t="s">
        <v>259</v>
      </c>
      <c r="C65" s="7" t="s">
        <v>136</v>
      </c>
      <c r="D65" s="7" t="n">
        <v>11</v>
      </c>
      <c r="E65" s="34"/>
      <c r="F65" s="34"/>
      <c r="G65" s="34"/>
      <c r="H65" s="8"/>
      <c r="I65" s="8" t="n">
        <v>20084</v>
      </c>
      <c r="J65" s="34" t="s">
        <v>113</v>
      </c>
      <c r="K65" s="10" t="s">
        <v>126</v>
      </c>
      <c r="L65" s="9" t="str">
        <f aca="false">IF(OR(B65="",E65=""),"",IFERROR(INDEX(Recetas!$R$5:$R$84,MATCH($E65,Recetas!$A$5:$A$84,0))*IFERROR(INDEX(Precios!$F$5:$F$120,MATCH(F65,Precios!$A$5:$A$120,0)),"")+IF(N(INDEX(Recetas!$S$5:$S$84,MATCH($E65,Recetas!$A$5:$A$84,0)))=0,0,INDEX(Recetas!$S$5:$S$84,MATCH($E65,Recetas!$A$5:$A$84,0))*IFERROR(INDEX(Precios!$F$5:$F$120,MATCH(G65,Precios!$A$5:$A$120,0)),"")),""))</f>
        <v/>
      </c>
      <c r="M65" s="9" t="str">
        <f aca="false">IF(OR(B65="",E65=""),"",IFERROR(N(INDEX(Recetas!$L$5:$L$84,MATCH($E65,Recetas!$A$5:$A$84,0)))*Parametros!$B$27,""))</f>
        <v/>
      </c>
      <c r="N65" s="9" t="str">
        <f aca="false">IF(OR(B65="",E65=""),"",IFERROR(INDEX(Confeccion!$B$5:$B$100,MATCH(INDEX(Recetas!$M$5:$M$84,MATCH($E65,Recetas!$A$5:$A$84,0)),Confeccion!$A$5:$A$100,0)),""))</f>
        <v/>
      </c>
      <c r="O65" s="9" t="str">
        <f aca="false">IF(OR(B65="",E65=""),"",IFERROR(N(INDEX(Recetas!$O$5:$O$84,MATCH($E65,Recetas!$A$5:$A$84,0)))*INDEX(Precios!$D$5:$D$120,MATCH(INDEX(Recetas!$N$5:$N$84,MATCH($E65,Recetas!$A$5:$A$84,0)),Precios!$A$5:$A$120,0)),0))</f>
        <v/>
      </c>
      <c r="P65" s="26" t="str">
        <f aca="false">IF(OR(B65="",E65=""),"",IF(AND(IFERROR(INDEX(Recetas!$T$5:$T$84,MATCH($E65,Recetas!$A$5:$A$84,0))="Lista",FALSE()),ISNUMBER(L65),ISNUMBER(M65),ISNUMBER(N65),N(N65)&gt;0),L65+M65+N65+N(O65)+N(H65),""))</f>
        <v/>
      </c>
      <c r="Q65" s="9" t="str">
        <f aca="false">IF(AND(ISNUMBER(P65),ISNUMBER(I65)),I65*Parametros!$B$12,"")</f>
        <v/>
      </c>
      <c r="R65" s="9" t="str">
        <f aca="false">IF(AND(ISNUMBER(P65),ISNUMBER(I65)),I65*Parametros!$B$13,"")</f>
        <v/>
      </c>
      <c r="S65" s="26" t="str">
        <f aca="false">IF(AND(ISNUMBER(P65),ISNUMBER(I65)),I65-P65-Q65-R65,"")</f>
        <v/>
      </c>
      <c r="T65" s="16" t="str">
        <f aca="false">IF(AND(ISNUMBER(P65),ISNUMBER(I65)),S65/I65,"")</f>
        <v/>
      </c>
      <c r="U65" s="9" t="str">
        <f aca="false">IF(OR(NOT(ISNUMBER(P65)),Parametros!$B$14&gt;=1),"",P65/(1-Parametros!$B$14))</f>
        <v/>
      </c>
      <c r="V65" s="9" t="str">
        <f aca="false">IF(OR(NOT(ISNUMBER(P65)),Parametros!$B$14+Parametros!$B$18&gt;=1),"",P65/(1-Parametros!$B$14-Parametros!$B$18))</f>
        <v/>
      </c>
      <c r="W65" s="35" t="str">
        <f aca="false">IF(B65="","",IF(E65="","SIN RECETA",IF(NOT(ISNUMBER(P65)),"FALTAN DATOS",IF(NOT(ISNUMBER(I65)),"FALTA PRECIO",IF(S65&lt;0,"PIERDE",IF(T65&lt;Parametros!$B$18,"BAJO META","OK"))))))</f>
        <v>SIN RECETA</v>
      </c>
      <c r="X65" s="36" t="str">
        <f aca="false">IF(B65="","",IF(E65="","Elegir receta (molde). ",IF(ISNA(MATCH(E65,Recetas!$A$5:$A$84,0)),"La receta no existe. ",IF(IFERROR(INDEX(Recetas!$T$5:$T$84,MATCH($E65,Recetas!$A$5:$A$84,0))="Lista",FALSE()),"","Receta "&amp;E65&amp;": "&amp;INDEX(Recetas!$T$5:$T$84,MATCH($E65,Recetas!$A$5:$A$84,0)))))&amp;IF(F65="","Elegir tela. ",IF(IFERROR(INDEX(Precios!$F$5:$F$120,MATCH(F65,Precios!$A$5:$A$120,0)),"")="","Tela sin $/metro (falta rendimiento o precio). ",""))&amp;IF(AND(E65&lt;&gt;"",N(IFERROR(INDEX(Recetas!$S$5:$S$84,MATCH($E65,Recetas!$A$5:$A$84,0)),0))&gt;0,G65=""),"Elegir tela 2. ","")&amp;IF(NOT(ISNUMBER(I65)),"Precio de venta.",""))</f>
        <v>Elegir receta (molde). Elegir tela. </v>
      </c>
      <c r="Y65" s="37" t="n">
        <f aca="false">IF(AND(ISNUMBER(P65),ISNUMBER(I65),ISNUMBER(D65)),P65*D65,0)</f>
        <v>0</v>
      </c>
      <c r="Z65" s="37" t="n">
        <f aca="false">IF(AND(ISNUMBER(P65),ISNUMBER(I65),ISNUMBER(D65)),I65*D65,0)</f>
        <v>0</v>
      </c>
      <c r="AA65" s="38" t="n">
        <f aca="false">IF(AND(ISNUMBER(P65),ISNUMBER(I65),ISNUMBER(D65)),D65,0)</f>
        <v>0</v>
      </c>
    </row>
    <row r="66" customFormat="false" ht="22.35" hidden="false" customHeight="false" outlineLevel="0" collapsed="false">
      <c r="A66" s="7" t="s">
        <v>260</v>
      </c>
      <c r="B66" s="7" t="s">
        <v>261</v>
      </c>
      <c r="C66" s="7" t="s">
        <v>111</v>
      </c>
      <c r="D66" s="7" t="n">
        <v>9</v>
      </c>
      <c r="E66" s="34"/>
      <c r="F66" s="34"/>
      <c r="G66" s="34"/>
      <c r="H66" s="8"/>
      <c r="I66" s="8" t="n">
        <v>17143</v>
      </c>
      <c r="J66" s="34" t="s">
        <v>113</v>
      </c>
      <c r="K66" s="10" t="s">
        <v>126</v>
      </c>
      <c r="L66" s="9" t="str">
        <f aca="false">IF(OR(B66="",E66=""),"",IFERROR(INDEX(Recetas!$R$5:$R$84,MATCH($E66,Recetas!$A$5:$A$84,0))*IFERROR(INDEX(Precios!$F$5:$F$120,MATCH(F66,Precios!$A$5:$A$120,0)),"")+IF(N(INDEX(Recetas!$S$5:$S$84,MATCH($E66,Recetas!$A$5:$A$84,0)))=0,0,INDEX(Recetas!$S$5:$S$84,MATCH($E66,Recetas!$A$5:$A$84,0))*IFERROR(INDEX(Precios!$F$5:$F$120,MATCH(G66,Precios!$A$5:$A$120,0)),"")),""))</f>
        <v/>
      </c>
      <c r="M66" s="9" t="str">
        <f aca="false">IF(OR(B66="",E66=""),"",IFERROR(N(INDEX(Recetas!$L$5:$L$84,MATCH($E66,Recetas!$A$5:$A$84,0)))*Parametros!$B$27,""))</f>
        <v/>
      </c>
      <c r="N66" s="9" t="str">
        <f aca="false">IF(OR(B66="",E66=""),"",IFERROR(INDEX(Confeccion!$B$5:$B$100,MATCH(INDEX(Recetas!$M$5:$M$84,MATCH($E66,Recetas!$A$5:$A$84,0)),Confeccion!$A$5:$A$100,0)),""))</f>
        <v/>
      </c>
      <c r="O66" s="9" t="str">
        <f aca="false">IF(OR(B66="",E66=""),"",IFERROR(N(INDEX(Recetas!$O$5:$O$84,MATCH($E66,Recetas!$A$5:$A$84,0)))*INDEX(Precios!$D$5:$D$120,MATCH(INDEX(Recetas!$N$5:$N$84,MATCH($E66,Recetas!$A$5:$A$84,0)),Precios!$A$5:$A$120,0)),0))</f>
        <v/>
      </c>
      <c r="P66" s="26" t="str">
        <f aca="false">IF(OR(B66="",E66=""),"",IF(AND(IFERROR(INDEX(Recetas!$T$5:$T$84,MATCH($E66,Recetas!$A$5:$A$84,0))="Lista",FALSE()),ISNUMBER(L66),ISNUMBER(M66),ISNUMBER(N66),N(N66)&gt;0),L66+M66+N66+N(O66)+N(H66),""))</f>
        <v/>
      </c>
      <c r="Q66" s="9" t="str">
        <f aca="false">IF(AND(ISNUMBER(P66),ISNUMBER(I66)),I66*Parametros!$B$12,"")</f>
        <v/>
      </c>
      <c r="R66" s="9" t="str">
        <f aca="false">IF(AND(ISNUMBER(P66),ISNUMBER(I66)),I66*Parametros!$B$13,"")</f>
        <v/>
      </c>
      <c r="S66" s="26" t="str">
        <f aca="false">IF(AND(ISNUMBER(P66),ISNUMBER(I66)),I66-P66-Q66-R66,"")</f>
        <v/>
      </c>
      <c r="T66" s="16" t="str">
        <f aca="false">IF(AND(ISNUMBER(P66),ISNUMBER(I66)),S66/I66,"")</f>
        <v/>
      </c>
      <c r="U66" s="9" t="str">
        <f aca="false">IF(OR(NOT(ISNUMBER(P66)),Parametros!$B$14&gt;=1),"",P66/(1-Parametros!$B$14))</f>
        <v/>
      </c>
      <c r="V66" s="9" t="str">
        <f aca="false">IF(OR(NOT(ISNUMBER(P66)),Parametros!$B$14+Parametros!$B$18&gt;=1),"",P66/(1-Parametros!$B$14-Parametros!$B$18))</f>
        <v/>
      </c>
      <c r="W66" s="35" t="str">
        <f aca="false">IF(B66="","",IF(E66="","SIN RECETA",IF(NOT(ISNUMBER(P66)),"FALTAN DATOS",IF(NOT(ISNUMBER(I66)),"FALTA PRECIO",IF(S66&lt;0,"PIERDE",IF(T66&lt;Parametros!$B$18,"BAJO META","OK"))))))</f>
        <v>SIN RECETA</v>
      </c>
      <c r="X66" s="36" t="str">
        <f aca="false">IF(B66="","",IF(E66="","Elegir receta (molde). ",IF(ISNA(MATCH(E66,Recetas!$A$5:$A$84,0)),"La receta no existe. ",IF(IFERROR(INDEX(Recetas!$T$5:$T$84,MATCH($E66,Recetas!$A$5:$A$84,0))="Lista",FALSE()),"","Receta "&amp;E66&amp;": "&amp;INDEX(Recetas!$T$5:$T$84,MATCH($E66,Recetas!$A$5:$A$84,0)))))&amp;IF(F66="","Elegir tela. ",IF(IFERROR(INDEX(Precios!$F$5:$F$120,MATCH(F66,Precios!$A$5:$A$120,0)),"")="","Tela sin $/metro (falta rendimiento o precio). ",""))&amp;IF(AND(E66&lt;&gt;"",N(IFERROR(INDEX(Recetas!$S$5:$S$84,MATCH($E66,Recetas!$A$5:$A$84,0)),0))&gt;0,G66=""),"Elegir tela 2. ","")&amp;IF(NOT(ISNUMBER(I66)),"Precio de venta.",""))</f>
        <v>Elegir receta (molde). Elegir tela. </v>
      </c>
      <c r="Y66" s="37" t="n">
        <f aca="false">IF(AND(ISNUMBER(P66),ISNUMBER(I66),ISNUMBER(D66)),P66*D66,0)</f>
        <v>0</v>
      </c>
      <c r="Z66" s="37" t="n">
        <f aca="false">IF(AND(ISNUMBER(P66),ISNUMBER(I66),ISNUMBER(D66)),I66*D66,0)</f>
        <v>0</v>
      </c>
      <c r="AA66" s="38" t="n">
        <f aca="false">IF(AND(ISNUMBER(P66),ISNUMBER(I66),ISNUMBER(D66)),D66,0)</f>
        <v>0</v>
      </c>
    </row>
    <row r="67" customFormat="false" ht="22.35" hidden="false" customHeight="false" outlineLevel="0" collapsed="false">
      <c r="A67" s="7" t="s">
        <v>262</v>
      </c>
      <c r="B67" s="7" t="s">
        <v>263</v>
      </c>
      <c r="C67" s="7" t="s">
        <v>136</v>
      </c>
      <c r="D67" s="7" t="n">
        <v>6</v>
      </c>
      <c r="E67" s="34"/>
      <c r="F67" s="34"/>
      <c r="G67" s="34"/>
      <c r="H67" s="8"/>
      <c r="I67" s="8" t="n">
        <v>32731</v>
      </c>
      <c r="J67" s="34" t="s">
        <v>113</v>
      </c>
      <c r="K67" s="10" t="s">
        <v>126</v>
      </c>
      <c r="L67" s="9" t="str">
        <f aca="false">IF(OR(B67="",E67=""),"",IFERROR(INDEX(Recetas!$R$5:$R$84,MATCH($E67,Recetas!$A$5:$A$84,0))*IFERROR(INDEX(Precios!$F$5:$F$120,MATCH(F67,Precios!$A$5:$A$120,0)),"")+IF(N(INDEX(Recetas!$S$5:$S$84,MATCH($E67,Recetas!$A$5:$A$84,0)))=0,0,INDEX(Recetas!$S$5:$S$84,MATCH($E67,Recetas!$A$5:$A$84,0))*IFERROR(INDEX(Precios!$F$5:$F$120,MATCH(G67,Precios!$A$5:$A$120,0)),"")),""))</f>
        <v/>
      </c>
      <c r="M67" s="9" t="str">
        <f aca="false">IF(OR(B67="",E67=""),"",IFERROR(N(INDEX(Recetas!$L$5:$L$84,MATCH($E67,Recetas!$A$5:$A$84,0)))*Parametros!$B$27,""))</f>
        <v/>
      </c>
      <c r="N67" s="9" t="str">
        <f aca="false">IF(OR(B67="",E67=""),"",IFERROR(INDEX(Confeccion!$B$5:$B$100,MATCH(INDEX(Recetas!$M$5:$M$84,MATCH($E67,Recetas!$A$5:$A$84,0)),Confeccion!$A$5:$A$100,0)),""))</f>
        <v/>
      </c>
      <c r="O67" s="9" t="str">
        <f aca="false">IF(OR(B67="",E67=""),"",IFERROR(N(INDEX(Recetas!$O$5:$O$84,MATCH($E67,Recetas!$A$5:$A$84,0)))*INDEX(Precios!$D$5:$D$120,MATCH(INDEX(Recetas!$N$5:$N$84,MATCH($E67,Recetas!$A$5:$A$84,0)),Precios!$A$5:$A$120,0)),0))</f>
        <v/>
      </c>
      <c r="P67" s="26" t="str">
        <f aca="false">IF(OR(B67="",E67=""),"",IF(AND(IFERROR(INDEX(Recetas!$T$5:$T$84,MATCH($E67,Recetas!$A$5:$A$84,0))="Lista",FALSE()),ISNUMBER(L67),ISNUMBER(M67),ISNUMBER(N67),N(N67)&gt;0),L67+M67+N67+N(O67)+N(H67),""))</f>
        <v/>
      </c>
      <c r="Q67" s="9" t="str">
        <f aca="false">IF(AND(ISNUMBER(P67),ISNUMBER(I67)),I67*Parametros!$B$12,"")</f>
        <v/>
      </c>
      <c r="R67" s="9" t="str">
        <f aca="false">IF(AND(ISNUMBER(P67),ISNUMBER(I67)),I67*Parametros!$B$13,"")</f>
        <v/>
      </c>
      <c r="S67" s="26" t="str">
        <f aca="false">IF(AND(ISNUMBER(P67),ISNUMBER(I67)),I67-P67-Q67-R67,"")</f>
        <v/>
      </c>
      <c r="T67" s="16" t="str">
        <f aca="false">IF(AND(ISNUMBER(P67),ISNUMBER(I67)),S67/I67,"")</f>
        <v/>
      </c>
      <c r="U67" s="9" t="str">
        <f aca="false">IF(OR(NOT(ISNUMBER(P67)),Parametros!$B$14&gt;=1),"",P67/(1-Parametros!$B$14))</f>
        <v/>
      </c>
      <c r="V67" s="9" t="str">
        <f aca="false">IF(OR(NOT(ISNUMBER(P67)),Parametros!$B$14+Parametros!$B$18&gt;=1),"",P67/(1-Parametros!$B$14-Parametros!$B$18))</f>
        <v/>
      </c>
      <c r="W67" s="35" t="str">
        <f aca="false">IF(B67="","",IF(E67="","SIN RECETA",IF(NOT(ISNUMBER(P67)),"FALTAN DATOS",IF(NOT(ISNUMBER(I67)),"FALTA PRECIO",IF(S67&lt;0,"PIERDE",IF(T67&lt;Parametros!$B$18,"BAJO META","OK"))))))</f>
        <v>SIN RECETA</v>
      </c>
      <c r="X67" s="36" t="str">
        <f aca="false">IF(B67="","",IF(E67="","Elegir receta (molde). ",IF(ISNA(MATCH(E67,Recetas!$A$5:$A$84,0)),"La receta no existe. ",IF(IFERROR(INDEX(Recetas!$T$5:$T$84,MATCH($E67,Recetas!$A$5:$A$84,0))="Lista",FALSE()),"","Receta "&amp;E67&amp;": "&amp;INDEX(Recetas!$T$5:$T$84,MATCH($E67,Recetas!$A$5:$A$84,0)))))&amp;IF(F67="","Elegir tela. ",IF(IFERROR(INDEX(Precios!$F$5:$F$120,MATCH(F67,Precios!$A$5:$A$120,0)),"")="","Tela sin $/metro (falta rendimiento o precio). ",""))&amp;IF(AND(E67&lt;&gt;"",N(IFERROR(INDEX(Recetas!$S$5:$S$84,MATCH($E67,Recetas!$A$5:$A$84,0)),0))&gt;0,G67=""),"Elegir tela 2. ","")&amp;IF(NOT(ISNUMBER(I67)),"Precio de venta.",""))</f>
        <v>Elegir receta (molde). Elegir tela. </v>
      </c>
      <c r="Y67" s="37" t="n">
        <f aca="false">IF(AND(ISNUMBER(P67),ISNUMBER(I67),ISNUMBER(D67)),P67*D67,0)</f>
        <v>0</v>
      </c>
      <c r="Z67" s="37" t="n">
        <f aca="false">IF(AND(ISNUMBER(P67),ISNUMBER(I67),ISNUMBER(D67)),I67*D67,0)</f>
        <v>0</v>
      </c>
      <c r="AA67" s="38" t="n">
        <f aca="false">IF(AND(ISNUMBER(P67),ISNUMBER(I67),ISNUMBER(D67)),D67,0)</f>
        <v>0</v>
      </c>
    </row>
    <row r="68" customFormat="false" ht="22.35" hidden="false" customHeight="false" outlineLevel="0" collapsed="false">
      <c r="A68" s="7" t="s">
        <v>264</v>
      </c>
      <c r="B68" s="7" t="s">
        <v>265</v>
      </c>
      <c r="C68" s="7" t="s">
        <v>111</v>
      </c>
      <c r="D68" s="7" t="n">
        <v>6</v>
      </c>
      <c r="E68" s="34"/>
      <c r="F68" s="34"/>
      <c r="G68" s="34"/>
      <c r="H68" s="8"/>
      <c r="I68" s="8" t="n">
        <v>16723</v>
      </c>
      <c r="J68" s="34" t="s">
        <v>113</v>
      </c>
      <c r="K68" s="10" t="s">
        <v>126</v>
      </c>
      <c r="L68" s="9" t="str">
        <f aca="false">IF(OR(B68="",E68=""),"",IFERROR(INDEX(Recetas!$R$5:$R$84,MATCH($E68,Recetas!$A$5:$A$84,0))*IFERROR(INDEX(Precios!$F$5:$F$120,MATCH(F68,Precios!$A$5:$A$120,0)),"")+IF(N(INDEX(Recetas!$S$5:$S$84,MATCH($E68,Recetas!$A$5:$A$84,0)))=0,0,INDEX(Recetas!$S$5:$S$84,MATCH($E68,Recetas!$A$5:$A$84,0))*IFERROR(INDEX(Precios!$F$5:$F$120,MATCH(G68,Precios!$A$5:$A$120,0)),"")),""))</f>
        <v/>
      </c>
      <c r="M68" s="9" t="str">
        <f aca="false">IF(OR(B68="",E68=""),"",IFERROR(N(INDEX(Recetas!$L$5:$L$84,MATCH($E68,Recetas!$A$5:$A$84,0)))*Parametros!$B$27,""))</f>
        <v/>
      </c>
      <c r="N68" s="9" t="str">
        <f aca="false">IF(OR(B68="",E68=""),"",IFERROR(INDEX(Confeccion!$B$5:$B$100,MATCH(INDEX(Recetas!$M$5:$M$84,MATCH($E68,Recetas!$A$5:$A$84,0)),Confeccion!$A$5:$A$100,0)),""))</f>
        <v/>
      </c>
      <c r="O68" s="9" t="str">
        <f aca="false">IF(OR(B68="",E68=""),"",IFERROR(N(INDEX(Recetas!$O$5:$O$84,MATCH($E68,Recetas!$A$5:$A$84,0)))*INDEX(Precios!$D$5:$D$120,MATCH(INDEX(Recetas!$N$5:$N$84,MATCH($E68,Recetas!$A$5:$A$84,0)),Precios!$A$5:$A$120,0)),0))</f>
        <v/>
      </c>
      <c r="P68" s="26" t="str">
        <f aca="false">IF(OR(B68="",E68=""),"",IF(AND(IFERROR(INDEX(Recetas!$T$5:$T$84,MATCH($E68,Recetas!$A$5:$A$84,0))="Lista",FALSE()),ISNUMBER(L68),ISNUMBER(M68),ISNUMBER(N68),N(N68)&gt;0),L68+M68+N68+N(O68)+N(H68),""))</f>
        <v/>
      </c>
      <c r="Q68" s="9" t="str">
        <f aca="false">IF(AND(ISNUMBER(P68),ISNUMBER(I68)),I68*Parametros!$B$12,"")</f>
        <v/>
      </c>
      <c r="R68" s="9" t="str">
        <f aca="false">IF(AND(ISNUMBER(P68),ISNUMBER(I68)),I68*Parametros!$B$13,"")</f>
        <v/>
      </c>
      <c r="S68" s="26" t="str">
        <f aca="false">IF(AND(ISNUMBER(P68),ISNUMBER(I68)),I68-P68-Q68-R68,"")</f>
        <v/>
      </c>
      <c r="T68" s="16" t="str">
        <f aca="false">IF(AND(ISNUMBER(P68),ISNUMBER(I68)),S68/I68,"")</f>
        <v/>
      </c>
      <c r="U68" s="9" t="str">
        <f aca="false">IF(OR(NOT(ISNUMBER(P68)),Parametros!$B$14&gt;=1),"",P68/(1-Parametros!$B$14))</f>
        <v/>
      </c>
      <c r="V68" s="9" t="str">
        <f aca="false">IF(OR(NOT(ISNUMBER(P68)),Parametros!$B$14+Parametros!$B$18&gt;=1),"",P68/(1-Parametros!$B$14-Parametros!$B$18))</f>
        <v/>
      </c>
      <c r="W68" s="35" t="str">
        <f aca="false">IF(B68="","",IF(E68="","SIN RECETA",IF(NOT(ISNUMBER(P68)),"FALTAN DATOS",IF(NOT(ISNUMBER(I68)),"FALTA PRECIO",IF(S68&lt;0,"PIERDE",IF(T68&lt;Parametros!$B$18,"BAJO META","OK"))))))</f>
        <v>SIN RECETA</v>
      </c>
      <c r="X68" s="36" t="str">
        <f aca="false">IF(B68="","",IF(E68="","Elegir receta (molde). ",IF(ISNA(MATCH(E68,Recetas!$A$5:$A$84,0)),"La receta no existe. ",IF(IFERROR(INDEX(Recetas!$T$5:$T$84,MATCH($E68,Recetas!$A$5:$A$84,0))="Lista",FALSE()),"","Receta "&amp;E68&amp;": "&amp;INDEX(Recetas!$T$5:$T$84,MATCH($E68,Recetas!$A$5:$A$84,0)))))&amp;IF(F68="","Elegir tela. ",IF(IFERROR(INDEX(Precios!$F$5:$F$120,MATCH(F68,Precios!$A$5:$A$120,0)),"")="","Tela sin $/metro (falta rendimiento o precio). ",""))&amp;IF(AND(E68&lt;&gt;"",N(IFERROR(INDEX(Recetas!$S$5:$S$84,MATCH($E68,Recetas!$A$5:$A$84,0)),0))&gt;0,G68=""),"Elegir tela 2. ","")&amp;IF(NOT(ISNUMBER(I68)),"Precio de venta.",""))</f>
        <v>Elegir receta (molde). Elegir tela. </v>
      </c>
      <c r="Y68" s="37" t="n">
        <f aca="false">IF(AND(ISNUMBER(P68),ISNUMBER(I68),ISNUMBER(D68)),P68*D68,0)</f>
        <v>0</v>
      </c>
      <c r="Z68" s="37" t="n">
        <f aca="false">IF(AND(ISNUMBER(P68),ISNUMBER(I68),ISNUMBER(D68)),I68*D68,0)</f>
        <v>0</v>
      </c>
      <c r="AA68" s="38" t="n">
        <f aca="false">IF(AND(ISNUMBER(P68),ISNUMBER(I68),ISNUMBER(D68)),D68,0)</f>
        <v>0</v>
      </c>
    </row>
    <row r="69" customFormat="false" ht="22.35" hidden="false" customHeight="false" outlineLevel="0" collapsed="false">
      <c r="A69" s="7" t="s">
        <v>266</v>
      </c>
      <c r="B69" s="7" t="s">
        <v>267</v>
      </c>
      <c r="C69" s="7" t="s">
        <v>111</v>
      </c>
      <c r="D69" s="7" t="n">
        <v>5</v>
      </c>
      <c r="E69" s="34"/>
      <c r="F69" s="34"/>
      <c r="G69" s="34"/>
      <c r="H69" s="8"/>
      <c r="I69" s="8" t="n">
        <v>15882</v>
      </c>
      <c r="J69" s="34" t="s">
        <v>113</v>
      </c>
      <c r="K69" s="10" t="s">
        <v>126</v>
      </c>
      <c r="L69" s="9" t="str">
        <f aca="false">IF(OR(B69="",E69=""),"",IFERROR(INDEX(Recetas!$R$5:$R$84,MATCH($E69,Recetas!$A$5:$A$84,0))*IFERROR(INDEX(Precios!$F$5:$F$120,MATCH(F69,Precios!$A$5:$A$120,0)),"")+IF(N(INDEX(Recetas!$S$5:$S$84,MATCH($E69,Recetas!$A$5:$A$84,0)))=0,0,INDEX(Recetas!$S$5:$S$84,MATCH($E69,Recetas!$A$5:$A$84,0))*IFERROR(INDEX(Precios!$F$5:$F$120,MATCH(G69,Precios!$A$5:$A$120,0)),"")),""))</f>
        <v/>
      </c>
      <c r="M69" s="9" t="str">
        <f aca="false">IF(OR(B69="",E69=""),"",IFERROR(N(INDEX(Recetas!$L$5:$L$84,MATCH($E69,Recetas!$A$5:$A$84,0)))*Parametros!$B$27,""))</f>
        <v/>
      </c>
      <c r="N69" s="9" t="str">
        <f aca="false">IF(OR(B69="",E69=""),"",IFERROR(INDEX(Confeccion!$B$5:$B$100,MATCH(INDEX(Recetas!$M$5:$M$84,MATCH($E69,Recetas!$A$5:$A$84,0)),Confeccion!$A$5:$A$100,0)),""))</f>
        <v/>
      </c>
      <c r="O69" s="9" t="str">
        <f aca="false">IF(OR(B69="",E69=""),"",IFERROR(N(INDEX(Recetas!$O$5:$O$84,MATCH($E69,Recetas!$A$5:$A$84,0)))*INDEX(Precios!$D$5:$D$120,MATCH(INDEX(Recetas!$N$5:$N$84,MATCH($E69,Recetas!$A$5:$A$84,0)),Precios!$A$5:$A$120,0)),0))</f>
        <v/>
      </c>
      <c r="P69" s="26" t="str">
        <f aca="false">IF(OR(B69="",E69=""),"",IF(AND(IFERROR(INDEX(Recetas!$T$5:$T$84,MATCH($E69,Recetas!$A$5:$A$84,0))="Lista",FALSE()),ISNUMBER(L69),ISNUMBER(M69),ISNUMBER(N69),N(N69)&gt;0),L69+M69+N69+N(O69)+N(H69),""))</f>
        <v/>
      </c>
      <c r="Q69" s="9" t="str">
        <f aca="false">IF(AND(ISNUMBER(P69),ISNUMBER(I69)),I69*Parametros!$B$12,"")</f>
        <v/>
      </c>
      <c r="R69" s="9" t="str">
        <f aca="false">IF(AND(ISNUMBER(P69),ISNUMBER(I69)),I69*Parametros!$B$13,"")</f>
        <v/>
      </c>
      <c r="S69" s="26" t="str">
        <f aca="false">IF(AND(ISNUMBER(P69),ISNUMBER(I69)),I69-P69-Q69-R69,"")</f>
        <v/>
      </c>
      <c r="T69" s="16" t="str">
        <f aca="false">IF(AND(ISNUMBER(P69),ISNUMBER(I69)),S69/I69,"")</f>
        <v/>
      </c>
      <c r="U69" s="9" t="str">
        <f aca="false">IF(OR(NOT(ISNUMBER(P69)),Parametros!$B$14&gt;=1),"",P69/(1-Parametros!$B$14))</f>
        <v/>
      </c>
      <c r="V69" s="9" t="str">
        <f aca="false">IF(OR(NOT(ISNUMBER(P69)),Parametros!$B$14+Parametros!$B$18&gt;=1),"",P69/(1-Parametros!$B$14-Parametros!$B$18))</f>
        <v/>
      </c>
      <c r="W69" s="35" t="str">
        <f aca="false">IF(B69="","",IF(E69="","SIN RECETA",IF(NOT(ISNUMBER(P69)),"FALTAN DATOS",IF(NOT(ISNUMBER(I69)),"FALTA PRECIO",IF(S69&lt;0,"PIERDE",IF(T69&lt;Parametros!$B$18,"BAJO META","OK"))))))</f>
        <v>SIN RECETA</v>
      </c>
      <c r="X69" s="36" t="str">
        <f aca="false">IF(B69="","",IF(E69="","Elegir receta (molde). ",IF(ISNA(MATCH(E69,Recetas!$A$5:$A$84,0)),"La receta no existe. ",IF(IFERROR(INDEX(Recetas!$T$5:$T$84,MATCH($E69,Recetas!$A$5:$A$84,0))="Lista",FALSE()),"","Receta "&amp;E69&amp;": "&amp;INDEX(Recetas!$T$5:$T$84,MATCH($E69,Recetas!$A$5:$A$84,0)))))&amp;IF(F69="","Elegir tela. ",IF(IFERROR(INDEX(Precios!$F$5:$F$120,MATCH(F69,Precios!$A$5:$A$120,0)),"")="","Tela sin $/metro (falta rendimiento o precio). ",""))&amp;IF(AND(E69&lt;&gt;"",N(IFERROR(INDEX(Recetas!$S$5:$S$84,MATCH($E69,Recetas!$A$5:$A$84,0)),0))&gt;0,G69=""),"Elegir tela 2. ","")&amp;IF(NOT(ISNUMBER(I69)),"Precio de venta.",""))</f>
        <v>Elegir receta (molde). Elegir tela. </v>
      </c>
      <c r="Y69" s="37" t="n">
        <f aca="false">IF(AND(ISNUMBER(P69),ISNUMBER(I69),ISNUMBER(D69)),P69*D69,0)</f>
        <v>0</v>
      </c>
      <c r="Z69" s="37" t="n">
        <f aca="false">IF(AND(ISNUMBER(P69),ISNUMBER(I69),ISNUMBER(D69)),I69*D69,0)</f>
        <v>0</v>
      </c>
      <c r="AA69" s="38" t="n">
        <f aca="false">IF(AND(ISNUMBER(P69),ISNUMBER(I69),ISNUMBER(D69)),D69,0)</f>
        <v>0</v>
      </c>
    </row>
    <row r="70" customFormat="false" ht="35.05" hidden="false" customHeight="false" outlineLevel="0" collapsed="false">
      <c r="A70" s="7" t="s">
        <v>268</v>
      </c>
      <c r="B70" s="7" t="s">
        <v>269</v>
      </c>
      <c r="C70" s="7" t="s">
        <v>111</v>
      </c>
      <c r="D70" s="7" t="n">
        <v>4</v>
      </c>
      <c r="E70" s="34" t="s">
        <v>270</v>
      </c>
      <c r="F70" s="34" t="s">
        <v>271</v>
      </c>
      <c r="G70" s="34"/>
      <c r="H70" s="8"/>
      <c r="I70" s="8" t="n">
        <v>12689</v>
      </c>
      <c r="J70" s="34" t="s">
        <v>113</v>
      </c>
      <c r="K70" s="10"/>
      <c r="L70" s="9" t="str">
        <f aca="false">IF(OR(B70="",E70=""),"",IFERROR(INDEX(Recetas!$R$5:$R$84,MATCH($E70,Recetas!$A$5:$A$84,0))*IFERROR(INDEX(Precios!$F$5:$F$120,MATCH(F70,Precios!$A$5:$A$120,0)),"")+IF(N(INDEX(Recetas!$S$5:$S$84,MATCH($E70,Recetas!$A$5:$A$84,0)))=0,0,INDEX(Recetas!$S$5:$S$84,MATCH($E70,Recetas!$A$5:$A$84,0))*IFERROR(INDEX(Precios!$F$5:$F$120,MATCH(G70,Precios!$A$5:$A$120,0)),"")),""))</f>
        <v/>
      </c>
      <c r="M70" s="9" t="n">
        <f aca="false">IF(OR(B70="",E70=""),"",IFERROR(N(INDEX(Recetas!$L$5:$L$84,MATCH($E70,Recetas!$A$5:$A$84,0)))*Parametros!$B$27,""))</f>
        <v>0</v>
      </c>
      <c r="N70" s="9" t="n">
        <f aca="false">IF(OR(B70="",E70=""),"",IFERROR(INDEX(Confeccion!$B$5:$B$100,MATCH(INDEX(Recetas!$M$5:$M$84,MATCH($E70,Recetas!$A$5:$A$84,0)),Confeccion!$A$5:$A$100,0)),""))</f>
        <v>1200</v>
      </c>
      <c r="O70" s="9" t="n">
        <f aca="false">IF(OR(B70="",E70=""),"",IFERROR(N(INDEX(Recetas!$O$5:$O$84,MATCH($E70,Recetas!$A$5:$A$84,0)))*INDEX(Precios!$D$5:$D$120,MATCH(INDEX(Recetas!$N$5:$N$84,MATCH($E70,Recetas!$A$5:$A$84,0)),Precios!$A$5:$A$120,0)),0))</f>
        <v>0</v>
      </c>
      <c r="P70" s="26" t="str">
        <f aca="false">IF(OR(B70="",E70=""),"",IF(AND(IFERROR(INDEX(Recetas!$T$5:$T$84,MATCH($E70,Recetas!$A$5:$A$84,0))="Lista",FALSE()),ISNUMBER(L70),ISNUMBER(M70),ISNUMBER(N70),N(N70)&gt;0),L70+M70+N70+N(O70)+N(H70),""))</f>
        <v/>
      </c>
      <c r="Q70" s="9" t="str">
        <f aca="false">IF(AND(ISNUMBER(P70),ISNUMBER(I70)),I70*Parametros!$B$12,"")</f>
        <v/>
      </c>
      <c r="R70" s="9" t="str">
        <f aca="false">IF(AND(ISNUMBER(P70),ISNUMBER(I70)),I70*Parametros!$B$13,"")</f>
        <v/>
      </c>
      <c r="S70" s="26" t="str">
        <f aca="false">IF(AND(ISNUMBER(P70),ISNUMBER(I70)),I70-P70-Q70-R70,"")</f>
        <v/>
      </c>
      <c r="T70" s="16" t="str">
        <f aca="false">IF(AND(ISNUMBER(P70),ISNUMBER(I70)),S70/I70,"")</f>
        <v/>
      </c>
      <c r="U70" s="9" t="str">
        <f aca="false">IF(OR(NOT(ISNUMBER(P70)),Parametros!$B$14&gt;=1),"",P70/(1-Parametros!$B$14))</f>
        <v/>
      </c>
      <c r="V70" s="9" t="str">
        <f aca="false">IF(OR(NOT(ISNUMBER(P70)),Parametros!$B$14+Parametros!$B$18&gt;=1),"",P70/(1-Parametros!$B$14-Parametros!$B$18))</f>
        <v/>
      </c>
      <c r="W70" s="35" t="str">
        <f aca="false">IF(B70="","",IF(E70="","SIN RECETA",IF(NOT(ISNUMBER(P70)),"FALTAN DATOS",IF(NOT(ISNUMBER(I70)),"FALTA PRECIO",IF(S70&lt;0,"PIERDE",IF(T70&lt;Parametros!$B$18,"BAJO META","OK"))))))</f>
        <v>FALTAN DATOS</v>
      </c>
      <c r="X70" s="36" t="str">
        <f aca="false">IF(B70="","",IF(E70="","Elegir receta (molde). ",IF(ISNA(MATCH(E70,Recetas!$A$5:$A$84,0)),"La receta no existe. ",IF(IFERROR(INDEX(Recetas!$T$5:$T$84,MATCH($E70,Recetas!$A$5:$A$84,0))="Lista",FALSE()),"","Receta "&amp;E70&amp;": "&amp;INDEX(Recetas!$T$5:$T$84,MATCH($E70,Recetas!$A$5:$A$84,0)))))&amp;IF(F70="","Elegir tela. ",IF(IFERROR(INDEX(Precios!$F$5:$F$120,MATCH(F70,Precios!$A$5:$A$120,0)),"")="","Tela sin $/metro (falta rendimiento o precio). ",""))&amp;IF(AND(E70&lt;&gt;"",N(IFERROR(INDEX(Recetas!$S$5:$S$84,MATCH($E70,Recetas!$A$5:$A$84,0)),0))&gt;0,G70=""),"Elegir tela 2. ","")&amp;IF(NOT(ISNUMBER(I70)),"Precio de venta.",""))</f>
        <v>Receta SM-04 · Calza Vóley: Rendimiento de LYCRA (m/kg) en Precios. Tela sin $/metro (falta rendimiento o precio). </v>
      </c>
      <c r="Y70" s="37" t="n">
        <f aca="false">IF(AND(ISNUMBER(P70),ISNUMBER(I70),ISNUMBER(D70)),P70*D70,0)</f>
        <v>0</v>
      </c>
      <c r="Z70" s="37" t="n">
        <f aca="false">IF(AND(ISNUMBER(P70),ISNUMBER(I70),ISNUMBER(D70)),I70*D70,0)</f>
        <v>0</v>
      </c>
      <c r="AA70" s="38" t="n">
        <f aca="false">IF(AND(ISNUMBER(P70),ISNUMBER(I70),ISNUMBER(D70)),D70,0)</f>
        <v>0</v>
      </c>
    </row>
    <row r="71" customFormat="false" ht="22.35" hidden="false" customHeight="false" outlineLevel="0" collapsed="false">
      <c r="A71" s="7" t="s">
        <v>272</v>
      </c>
      <c r="B71" s="7" t="s">
        <v>273</v>
      </c>
      <c r="C71" s="7" t="s">
        <v>136</v>
      </c>
      <c r="D71" s="7" t="n">
        <v>4</v>
      </c>
      <c r="E71" s="34"/>
      <c r="F71" s="34"/>
      <c r="G71" s="34"/>
      <c r="H71" s="8"/>
      <c r="I71" s="8" t="n">
        <v>13445</v>
      </c>
      <c r="J71" s="34" t="s">
        <v>113</v>
      </c>
      <c r="K71" s="10" t="s">
        <v>126</v>
      </c>
      <c r="L71" s="9" t="str">
        <f aca="false">IF(OR(B71="",E71=""),"",IFERROR(INDEX(Recetas!$R$5:$R$84,MATCH($E71,Recetas!$A$5:$A$84,0))*IFERROR(INDEX(Precios!$F$5:$F$120,MATCH(F71,Precios!$A$5:$A$120,0)),"")+IF(N(INDEX(Recetas!$S$5:$S$84,MATCH($E71,Recetas!$A$5:$A$84,0)))=0,0,INDEX(Recetas!$S$5:$S$84,MATCH($E71,Recetas!$A$5:$A$84,0))*IFERROR(INDEX(Precios!$F$5:$F$120,MATCH(G71,Precios!$A$5:$A$120,0)),"")),""))</f>
        <v/>
      </c>
      <c r="M71" s="9" t="str">
        <f aca="false">IF(OR(B71="",E71=""),"",IFERROR(N(INDEX(Recetas!$L$5:$L$84,MATCH($E71,Recetas!$A$5:$A$84,0)))*Parametros!$B$27,""))</f>
        <v/>
      </c>
      <c r="N71" s="9" t="str">
        <f aca="false">IF(OR(B71="",E71=""),"",IFERROR(INDEX(Confeccion!$B$5:$B$100,MATCH(INDEX(Recetas!$M$5:$M$84,MATCH($E71,Recetas!$A$5:$A$84,0)),Confeccion!$A$5:$A$100,0)),""))</f>
        <v/>
      </c>
      <c r="O71" s="9" t="str">
        <f aca="false">IF(OR(B71="",E71=""),"",IFERROR(N(INDEX(Recetas!$O$5:$O$84,MATCH($E71,Recetas!$A$5:$A$84,0)))*INDEX(Precios!$D$5:$D$120,MATCH(INDEX(Recetas!$N$5:$N$84,MATCH($E71,Recetas!$A$5:$A$84,0)),Precios!$A$5:$A$120,0)),0))</f>
        <v/>
      </c>
      <c r="P71" s="26" t="str">
        <f aca="false">IF(OR(B71="",E71=""),"",IF(AND(IFERROR(INDEX(Recetas!$T$5:$T$84,MATCH($E71,Recetas!$A$5:$A$84,0))="Lista",FALSE()),ISNUMBER(L71),ISNUMBER(M71),ISNUMBER(N71),N(N71)&gt;0),L71+M71+N71+N(O71)+N(H71),""))</f>
        <v/>
      </c>
      <c r="Q71" s="9" t="str">
        <f aca="false">IF(AND(ISNUMBER(P71),ISNUMBER(I71)),I71*Parametros!$B$12,"")</f>
        <v/>
      </c>
      <c r="R71" s="9" t="str">
        <f aca="false">IF(AND(ISNUMBER(P71),ISNUMBER(I71)),I71*Parametros!$B$13,"")</f>
        <v/>
      </c>
      <c r="S71" s="26" t="str">
        <f aca="false">IF(AND(ISNUMBER(P71),ISNUMBER(I71)),I71-P71-Q71-R71,"")</f>
        <v/>
      </c>
      <c r="T71" s="16" t="str">
        <f aca="false">IF(AND(ISNUMBER(P71),ISNUMBER(I71)),S71/I71,"")</f>
        <v/>
      </c>
      <c r="U71" s="9" t="str">
        <f aca="false">IF(OR(NOT(ISNUMBER(P71)),Parametros!$B$14&gt;=1),"",P71/(1-Parametros!$B$14))</f>
        <v/>
      </c>
      <c r="V71" s="9" t="str">
        <f aca="false">IF(OR(NOT(ISNUMBER(P71)),Parametros!$B$14+Parametros!$B$18&gt;=1),"",P71/(1-Parametros!$B$14-Parametros!$B$18))</f>
        <v/>
      </c>
      <c r="W71" s="35" t="str">
        <f aca="false">IF(B71="","",IF(E71="","SIN RECETA",IF(NOT(ISNUMBER(P71)),"FALTAN DATOS",IF(NOT(ISNUMBER(I71)),"FALTA PRECIO",IF(S71&lt;0,"PIERDE",IF(T71&lt;Parametros!$B$18,"BAJO META","OK"))))))</f>
        <v>SIN RECETA</v>
      </c>
      <c r="X71" s="36" t="str">
        <f aca="false">IF(B71="","",IF(E71="","Elegir receta (molde). ",IF(ISNA(MATCH(E71,Recetas!$A$5:$A$84,0)),"La receta no existe. ",IF(IFERROR(INDEX(Recetas!$T$5:$T$84,MATCH($E71,Recetas!$A$5:$A$84,0))="Lista",FALSE()),"","Receta "&amp;E71&amp;": "&amp;INDEX(Recetas!$T$5:$T$84,MATCH($E71,Recetas!$A$5:$A$84,0)))))&amp;IF(F71="","Elegir tela. ",IF(IFERROR(INDEX(Precios!$F$5:$F$120,MATCH(F71,Precios!$A$5:$A$120,0)),"")="","Tela sin $/metro (falta rendimiento o precio). ",""))&amp;IF(AND(E71&lt;&gt;"",N(IFERROR(INDEX(Recetas!$S$5:$S$84,MATCH($E71,Recetas!$A$5:$A$84,0)),0))&gt;0,G71=""),"Elegir tela 2. ","")&amp;IF(NOT(ISNUMBER(I71)),"Precio de venta.",""))</f>
        <v>Elegir receta (molde). Elegir tela. </v>
      </c>
      <c r="Y71" s="37" t="n">
        <f aca="false">IF(AND(ISNUMBER(P71),ISNUMBER(I71),ISNUMBER(D71)),P71*D71,0)</f>
        <v>0</v>
      </c>
      <c r="Z71" s="37" t="n">
        <f aca="false">IF(AND(ISNUMBER(P71),ISNUMBER(I71),ISNUMBER(D71)),I71*D71,0)</f>
        <v>0</v>
      </c>
      <c r="AA71" s="38" t="n">
        <f aca="false">IF(AND(ISNUMBER(P71),ISNUMBER(I71),ISNUMBER(D71)),D71,0)</f>
        <v>0</v>
      </c>
    </row>
    <row r="72" customFormat="false" ht="22.35" hidden="false" customHeight="false" outlineLevel="0" collapsed="false">
      <c r="A72" s="7" t="s">
        <v>274</v>
      </c>
      <c r="B72" s="7" t="s">
        <v>275</v>
      </c>
      <c r="C72" s="7" t="s">
        <v>136</v>
      </c>
      <c r="D72" s="7" t="n">
        <v>4</v>
      </c>
      <c r="E72" s="34"/>
      <c r="F72" s="34"/>
      <c r="G72" s="34"/>
      <c r="H72" s="8"/>
      <c r="I72" s="8" t="n">
        <v>30168</v>
      </c>
      <c r="J72" s="34" t="s">
        <v>113</v>
      </c>
      <c r="K72" s="10" t="s">
        <v>126</v>
      </c>
      <c r="L72" s="9" t="str">
        <f aca="false">IF(OR(B72="",E72=""),"",IFERROR(INDEX(Recetas!$R$5:$R$84,MATCH($E72,Recetas!$A$5:$A$84,0))*IFERROR(INDEX(Precios!$F$5:$F$120,MATCH(F72,Precios!$A$5:$A$120,0)),"")+IF(N(INDEX(Recetas!$S$5:$S$84,MATCH($E72,Recetas!$A$5:$A$84,0)))=0,0,INDEX(Recetas!$S$5:$S$84,MATCH($E72,Recetas!$A$5:$A$84,0))*IFERROR(INDEX(Precios!$F$5:$F$120,MATCH(G72,Precios!$A$5:$A$120,0)),"")),""))</f>
        <v/>
      </c>
      <c r="M72" s="9" t="str">
        <f aca="false">IF(OR(B72="",E72=""),"",IFERROR(N(INDEX(Recetas!$L$5:$L$84,MATCH($E72,Recetas!$A$5:$A$84,0)))*Parametros!$B$27,""))</f>
        <v/>
      </c>
      <c r="N72" s="9" t="str">
        <f aca="false">IF(OR(B72="",E72=""),"",IFERROR(INDEX(Confeccion!$B$5:$B$100,MATCH(INDEX(Recetas!$M$5:$M$84,MATCH($E72,Recetas!$A$5:$A$84,0)),Confeccion!$A$5:$A$100,0)),""))</f>
        <v/>
      </c>
      <c r="O72" s="9" t="str">
        <f aca="false">IF(OR(B72="",E72=""),"",IFERROR(N(INDEX(Recetas!$O$5:$O$84,MATCH($E72,Recetas!$A$5:$A$84,0)))*INDEX(Precios!$D$5:$D$120,MATCH(INDEX(Recetas!$N$5:$N$84,MATCH($E72,Recetas!$A$5:$A$84,0)),Precios!$A$5:$A$120,0)),0))</f>
        <v/>
      </c>
      <c r="P72" s="26" t="str">
        <f aca="false">IF(OR(B72="",E72=""),"",IF(AND(IFERROR(INDEX(Recetas!$T$5:$T$84,MATCH($E72,Recetas!$A$5:$A$84,0))="Lista",FALSE()),ISNUMBER(L72),ISNUMBER(M72),ISNUMBER(N72),N(N72)&gt;0),L72+M72+N72+N(O72)+N(H72),""))</f>
        <v/>
      </c>
      <c r="Q72" s="9" t="str">
        <f aca="false">IF(AND(ISNUMBER(P72),ISNUMBER(I72)),I72*Parametros!$B$12,"")</f>
        <v/>
      </c>
      <c r="R72" s="9" t="str">
        <f aca="false">IF(AND(ISNUMBER(P72),ISNUMBER(I72)),I72*Parametros!$B$13,"")</f>
        <v/>
      </c>
      <c r="S72" s="26" t="str">
        <f aca="false">IF(AND(ISNUMBER(P72),ISNUMBER(I72)),I72-P72-Q72-R72,"")</f>
        <v/>
      </c>
      <c r="T72" s="16" t="str">
        <f aca="false">IF(AND(ISNUMBER(P72),ISNUMBER(I72)),S72/I72,"")</f>
        <v/>
      </c>
      <c r="U72" s="9" t="str">
        <f aca="false">IF(OR(NOT(ISNUMBER(P72)),Parametros!$B$14&gt;=1),"",P72/(1-Parametros!$B$14))</f>
        <v/>
      </c>
      <c r="V72" s="9" t="str">
        <f aca="false">IF(OR(NOT(ISNUMBER(P72)),Parametros!$B$14+Parametros!$B$18&gt;=1),"",P72/(1-Parametros!$B$14-Parametros!$B$18))</f>
        <v/>
      </c>
      <c r="W72" s="35" t="str">
        <f aca="false">IF(B72="","",IF(E72="","SIN RECETA",IF(NOT(ISNUMBER(P72)),"FALTAN DATOS",IF(NOT(ISNUMBER(I72)),"FALTA PRECIO",IF(S72&lt;0,"PIERDE",IF(T72&lt;Parametros!$B$18,"BAJO META","OK"))))))</f>
        <v>SIN RECETA</v>
      </c>
      <c r="X72" s="36" t="str">
        <f aca="false">IF(B72="","",IF(E72="","Elegir receta (molde). ",IF(ISNA(MATCH(E72,Recetas!$A$5:$A$84,0)),"La receta no existe. ",IF(IFERROR(INDEX(Recetas!$T$5:$T$84,MATCH($E72,Recetas!$A$5:$A$84,0))="Lista",FALSE()),"","Receta "&amp;E72&amp;": "&amp;INDEX(Recetas!$T$5:$T$84,MATCH($E72,Recetas!$A$5:$A$84,0)))))&amp;IF(F72="","Elegir tela. ",IF(IFERROR(INDEX(Precios!$F$5:$F$120,MATCH(F72,Precios!$A$5:$A$120,0)),"")="","Tela sin $/metro (falta rendimiento o precio). ",""))&amp;IF(AND(E72&lt;&gt;"",N(IFERROR(INDEX(Recetas!$S$5:$S$84,MATCH($E72,Recetas!$A$5:$A$84,0)),0))&gt;0,G72=""),"Elegir tela 2. ","")&amp;IF(NOT(ISNUMBER(I72)),"Precio de venta.",""))</f>
        <v>Elegir receta (molde). Elegir tela. </v>
      </c>
      <c r="Y72" s="37" t="n">
        <f aca="false">IF(AND(ISNUMBER(P72),ISNUMBER(I72),ISNUMBER(D72)),P72*D72,0)</f>
        <v>0</v>
      </c>
      <c r="Z72" s="37" t="n">
        <f aca="false">IF(AND(ISNUMBER(P72),ISNUMBER(I72),ISNUMBER(D72)),I72*D72,0)</f>
        <v>0</v>
      </c>
      <c r="AA72" s="38" t="n">
        <f aca="false">IF(AND(ISNUMBER(P72),ISNUMBER(I72),ISNUMBER(D72)),D72,0)</f>
        <v>0</v>
      </c>
    </row>
    <row r="73" customFormat="false" ht="22.35" hidden="false" customHeight="false" outlineLevel="0" collapsed="false">
      <c r="A73" s="7" t="s">
        <v>276</v>
      </c>
      <c r="B73" s="7" t="s">
        <v>277</v>
      </c>
      <c r="C73" s="7" t="s">
        <v>111</v>
      </c>
      <c r="D73" s="7" t="n">
        <v>3</v>
      </c>
      <c r="E73" s="34"/>
      <c r="F73" s="34"/>
      <c r="G73" s="34"/>
      <c r="H73" s="8"/>
      <c r="I73" s="8" t="n">
        <v>16723</v>
      </c>
      <c r="J73" s="34" t="s">
        <v>113</v>
      </c>
      <c r="K73" s="10" t="s">
        <v>126</v>
      </c>
      <c r="L73" s="9" t="str">
        <f aca="false">IF(OR(B73="",E73=""),"",IFERROR(INDEX(Recetas!$R$5:$R$84,MATCH($E73,Recetas!$A$5:$A$84,0))*IFERROR(INDEX(Precios!$F$5:$F$120,MATCH(F73,Precios!$A$5:$A$120,0)),"")+IF(N(INDEX(Recetas!$S$5:$S$84,MATCH($E73,Recetas!$A$5:$A$84,0)))=0,0,INDEX(Recetas!$S$5:$S$84,MATCH($E73,Recetas!$A$5:$A$84,0))*IFERROR(INDEX(Precios!$F$5:$F$120,MATCH(G73,Precios!$A$5:$A$120,0)),"")),""))</f>
        <v/>
      </c>
      <c r="M73" s="9" t="str">
        <f aca="false">IF(OR(B73="",E73=""),"",IFERROR(N(INDEX(Recetas!$L$5:$L$84,MATCH($E73,Recetas!$A$5:$A$84,0)))*Parametros!$B$27,""))</f>
        <v/>
      </c>
      <c r="N73" s="9" t="str">
        <f aca="false">IF(OR(B73="",E73=""),"",IFERROR(INDEX(Confeccion!$B$5:$B$100,MATCH(INDEX(Recetas!$M$5:$M$84,MATCH($E73,Recetas!$A$5:$A$84,0)),Confeccion!$A$5:$A$100,0)),""))</f>
        <v/>
      </c>
      <c r="O73" s="9" t="str">
        <f aca="false">IF(OR(B73="",E73=""),"",IFERROR(N(INDEX(Recetas!$O$5:$O$84,MATCH($E73,Recetas!$A$5:$A$84,0)))*INDEX(Precios!$D$5:$D$120,MATCH(INDEX(Recetas!$N$5:$N$84,MATCH($E73,Recetas!$A$5:$A$84,0)),Precios!$A$5:$A$120,0)),0))</f>
        <v/>
      </c>
      <c r="P73" s="26" t="str">
        <f aca="false">IF(OR(B73="",E73=""),"",IF(AND(IFERROR(INDEX(Recetas!$T$5:$T$84,MATCH($E73,Recetas!$A$5:$A$84,0))="Lista",FALSE()),ISNUMBER(L73),ISNUMBER(M73),ISNUMBER(N73),N(N73)&gt;0),L73+M73+N73+N(O73)+N(H73),""))</f>
        <v/>
      </c>
      <c r="Q73" s="9" t="str">
        <f aca="false">IF(AND(ISNUMBER(P73),ISNUMBER(I73)),I73*Parametros!$B$12,"")</f>
        <v/>
      </c>
      <c r="R73" s="9" t="str">
        <f aca="false">IF(AND(ISNUMBER(P73),ISNUMBER(I73)),I73*Parametros!$B$13,"")</f>
        <v/>
      </c>
      <c r="S73" s="26" t="str">
        <f aca="false">IF(AND(ISNUMBER(P73),ISNUMBER(I73)),I73-P73-Q73-R73,"")</f>
        <v/>
      </c>
      <c r="T73" s="16" t="str">
        <f aca="false">IF(AND(ISNUMBER(P73),ISNUMBER(I73)),S73/I73,"")</f>
        <v/>
      </c>
      <c r="U73" s="9" t="str">
        <f aca="false">IF(OR(NOT(ISNUMBER(P73)),Parametros!$B$14&gt;=1),"",P73/(1-Parametros!$B$14))</f>
        <v/>
      </c>
      <c r="V73" s="9" t="str">
        <f aca="false">IF(OR(NOT(ISNUMBER(P73)),Parametros!$B$14+Parametros!$B$18&gt;=1),"",P73/(1-Parametros!$B$14-Parametros!$B$18))</f>
        <v/>
      </c>
      <c r="W73" s="35" t="str">
        <f aca="false">IF(B73="","",IF(E73="","SIN RECETA",IF(NOT(ISNUMBER(P73)),"FALTAN DATOS",IF(NOT(ISNUMBER(I73)),"FALTA PRECIO",IF(S73&lt;0,"PIERDE",IF(T73&lt;Parametros!$B$18,"BAJO META","OK"))))))</f>
        <v>SIN RECETA</v>
      </c>
      <c r="X73" s="36" t="str">
        <f aca="false">IF(B73="","",IF(E73="","Elegir receta (molde). ",IF(ISNA(MATCH(E73,Recetas!$A$5:$A$84,0)),"La receta no existe. ",IF(IFERROR(INDEX(Recetas!$T$5:$T$84,MATCH($E73,Recetas!$A$5:$A$84,0))="Lista",FALSE()),"","Receta "&amp;E73&amp;": "&amp;INDEX(Recetas!$T$5:$T$84,MATCH($E73,Recetas!$A$5:$A$84,0)))))&amp;IF(F73="","Elegir tela. ",IF(IFERROR(INDEX(Precios!$F$5:$F$120,MATCH(F73,Precios!$A$5:$A$120,0)),"")="","Tela sin $/metro (falta rendimiento o precio). ",""))&amp;IF(AND(E73&lt;&gt;"",N(IFERROR(INDEX(Recetas!$S$5:$S$84,MATCH($E73,Recetas!$A$5:$A$84,0)),0))&gt;0,G73=""),"Elegir tela 2. ","")&amp;IF(NOT(ISNUMBER(I73)),"Precio de venta.",""))</f>
        <v>Elegir receta (molde). Elegir tela. </v>
      </c>
      <c r="Y73" s="37" t="n">
        <f aca="false">IF(AND(ISNUMBER(P73),ISNUMBER(I73),ISNUMBER(D73)),P73*D73,0)</f>
        <v>0</v>
      </c>
      <c r="Z73" s="37" t="n">
        <f aca="false">IF(AND(ISNUMBER(P73),ISNUMBER(I73),ISNUMBER(D73)),I73*D73,0)</f>
        <v>0</v>
      </c>
      <c r="AA73" s="38" t="n">
        <f aca="false">IF(AND(ISNUMBER(P73),ISNUMBER(I73),ISNUMBER(D73)),D73,0)</f>
        <v>0</v>
      </c>
    </row>
    <row r="74" customFormat="false" ht="22.35" hidden="false" customHeight="false" outlineLevel="0" collapsed="false">
      <c r="A74" s="7" t="s">
        <v>278</v>
      </c>
      <c r="B74" s="7" t="s">
        <v>279</v>
      </c>
      <c r="C74" s="7" t="s">
        <v>136</v>
      </c>
      <c r="D74" s="7" t="n">
        <v>2</v>
      </c>
      <c r="E74" s="34"/>
      <c r="F74" s="34"/>
      <c r="G74" s="34"/>
      <c r="H74" s="8"/>
      <c r="I74" s="8" t="n">
        <v>27647</v>
      </c>
      <c r="J74" s="34" t="s">
        <v>113</v>
      </c>
      <c r="K74" s="10" t="s">
        <v>126</v>
      </c>
      <c r="L74" s="9" t="str">
        <f aca="false">IF(OR(B74="",E74=""),"",IFERROR(INDEX(Recetas!$R$5:$R$84,MATCH($E74,Recetas!$A$5:$A$84,0))*IFERROR(INDEX(Precios!$F$5:$F$120,MATCH(F74,Precios!$A$5:$A$120,0)),"")+IF(N(INDEX(Recetas!$S$5:$S$84,MATCH($E74,Recetas!$A$5:$A$84,0)))=0,0,INDEX(Recetas!$S$5:$S$84,MATCH($E74,Recetas!$A$5:$A$84,0))*IFERROR(INDEX(Precios!$F$5:$F$120,MATCH(G74,Precios!$A$5:$A$120,0)),"")),""))</f>
        <v/>
      </c>
      <c r="M74" s="9" t="str">
        <f aca="false">IF(OR(B74="",E74=""),"",IFERROR(N(INDEX(Recetas!$L$5:$L$84,MATCH($E74,Recetas!$A$5:$A$84,0)))*Parametros!$B$27,""))</f>
        <v/>
      </c>
      <c r="N74" s="9" t="str">
        <f aca="false">IF(OR(B74="",E74=""),"",IFERROR(INDEX(Confeccion!$B$5:$B$100,MATCH(INDEX(Recetas!$M$5:$M$84,MATCH($E74,Recetas!$A$5:$A$84,0)),Confeccion!$A$5:$A$100,0)),""))</f>
        <v/>
      </c>
      <c r="O74" s="9" t="str">
        <f aca="false">IF(OR(B74="",E74=""),"",IFERROR(N(INDEX(Recetas!$O$5:$O$84,MATCH($E74,Recetas!$A$5:$A$84,0)))*INDEX(Precios!$D$5:$D$120,MATCH(INDEX(Recetas!$N$5:$N$84,MATCH($E74,Recetas!$A$5:$A$84,0)),Precios!$A$5:$A$120,0)),0))</f>
        <v/>
      </c>
      <c r="P74" s="26" t="str">
        <f aca="false">IF(OR(B74="",E74=""),"",IF(AND(IFERROR(INDEX(Recetas!$T$5:$T$84,MATCH($E74,Recetas!$A$5:$A$84,0))="Lista",FALSE()),ISNUMBER(L74),ISNUMBER(M74),ISNUMBER(N74),N(N74)&gt;0),L74+M74+N74+N(O74)+N(H74),""))</f>
        <v/>
      </c>
      <c r="Q74" s="9" t="str">
        <f aca="false">IF(AND(ISNUMBER(P74),ISNUMBER(I74)),I74*Parametros!$B$12,"")</f>
        <v/>
      </c>
      <c r="R74" s="9" t="str">
        <f aca="false">IF(AND(ISNUMBER(P74),ISNUMBER(I74)),I74*Parametros!$B$13,"")</f>
        <v/>
      </c>
      <c r="S74" s="26" t="str">
        <f aca="false">IF(AND(ISNUMBER(P74),ISNUMBER(I74)),I74-P74-Q74-R74,"")</f>
        <v/>
      </c>
      <c r="T74" s="16" t="str">
        <f aca="false">IF(AND(ISNUMBER(P74),ISNUMBER(I74)),S74/I74,"")</f>
        <v/>
      </c>
      <c r="U74" s="9" t="str">
        <f aca="false">IF(OR(NOT(ISNUMBER(P74)),Parametros!$B$14&gt;=1),"",P74/(1-Parametros!$B$14))</f>
        <v/>
      </c>
      <c r="V74" s="9" t="str">
        <f aca="false">IF(OR(NOT(ISNUMBER(P74)),Parametros!$B$14+Parametros!$B$18&gt;=1),"",P74/(1-Parametros!$B$14-Parametros!$B$18))</f>
        <v/>
      </c>
      <c r="W74" s="35" t="str">
        <f aca="false">IF(B74="","",IF(E74="","SIN RECETA",IF(NOT(ISNUMBER(P74)),"FALTAN DATOS",IF(NOT(ISNUMBER(I74)),"FALTA PRECIO",IF(S74&lt;0,"PIERDE",IF(T74&lt;Parametros!$B$18,"BAJO META","OK"))))))</f>
        <v>SIN RECETA</v>
      </c>
      <c r="X74" s="36" t="str">
        <f aca="false">IF(B74="","",IF(E74="","Elegir receta (molde). ",IF(ISNA(MATCH(E74,Recetas!$A$5:$A$84,0)),"La receta no existe. ",IF(IFERROR(INDEX(Recetas!$T$5:$T$84,MATCH($E74,Recetas!$A$5:$A$84,0))="Lista",FALSE()),"","Receta "&amp;E74&amp;": "&amp;INDEX(Recetas!$T$5:$T$84,MATCH($E74,Recetas!$A$5:$A$84,0)))))&amp;IF(F74="","Elegir tela. ",IF(IFERROR(INDEX(Precios!$F$5:$F$120,MATCH(F74,Precios!$A$5:$A$120,0)),"")="","Tela sin $/metro (falta rendimiento o precio). ",""))&amp;IF(AND(E74&lt;&gt;"",N(IFERROR(INDEX(Recetas!$S$5:$S$84,MATCH($E74,Recetas!$A$5:$A$84,0)),0))&gt;0,G74=""),"Elegir tela 2. ","")&amp;IF(NOT(ISNUMBER(I74)),"Precio de venta.",""))</f>
        <v>Elegir receta (molde). Elegir tela. </v>
      </c>
      <c r="Y74" s="37" t="n">
        <f aca="false">IF(AND(ISNUMBER(P74),ISNUMBER(I74),ISNUMBER(D74)),P74*D74,0)</f>
        <v>0</v>
      </c>
      <c r="Z74" s="37" t="n">
        <f aca="false">IF(AND(ISNUMBER(P74),ISNUMBER(I74),ISNUMBER(D74)),I74*D74,0)</f>
        <v>0</v>
      </c>
      <c r="AA74" s="38" t="n">
        <f aca="false">IF(AND(ISNUMBER(P74),ISNUMBER(I74),ISNUMBER(D74)),D74,0)</f>
        <v>0</v>
      </c>
    </row>
    <row r="75" customFormat="false" ht="22.35" hidden="false" customHeight="false" outlineLevel="0" collapsed="false">
      <c r="A75" s="7" t="s">
        <v>280</v>
      </c>
      <c r="B75" s="7" t="s">
        <v>281</v>
      </c>
      <c r="C75" s="7" t="s">
        <v>111</v>
      </c>
      <c r="D75" s="7" t="n">
        <v>1</v>
      </c>
      <c r="E75" s="34"/>
      <c r="F75" s="34"/>
      <c r="G75" s="34"/>
      <c r="H75" s="8"/>
      <c r="I75" s="8" t="n">
        <v>19244</v>
      </c>
      <c r="J75" s="34" t="s">
        <v>113</v>
      </c>
      <c r="K75" s="10" t="s">
        <v>126</v>
      </c>
      <c r="L75" s="9" t="str">
        <f aca="false">IF(OR(B75="",E75=""),"",IFERROR(INDEX(Recetas!$R$5:$R$84,MATCH($E75,Recetas!$A$5:$A$84,0))*IFERROR(INDEX(Precios!$F$5:$F$120,MATCH(F75,Precios!$A$5:$A$120,0)),"")+IF(N(INDEX(Recetas!$S$5:$S$84,MATCH($E75,Recetas!$A$5:$A$84,0)))=0,0,INDEX(Recetas!$S$5:$S$84,MATCH($E75,Recetas!$A$5:$A$84,0))*IFERROR(INDEX(Precios!$F$5:$F$120,MATCH(G75,Precios!$A$5:$A$120,0)),"")),""))</f>
        <v/>
      </c>
      <c r="M75" s="9" t="str">
        <f aca="false">IF(OR(B75="",E75=""),"",IFERROR(N(INDEX(Recetas!$L$5:$L$84,MATCH($E75,Recetas!$A$5:$A$84,0)))*Parametros!$B$27,""))</f>
        <v/>
      </c>
      <c r="N75" s="9" t="str">
        <f aca="false">IF(OR(B75="",E75=""),"",IFERROR(INDEX(Confeccion!$B$5:$B$100,MATCH(INDEX(Recetas!$M$5:$M$84,MATCH($E75,Recetas!$A$5:$A$84,0)),Confeccion!$A$5:$A$100,0)),""))</f>
        <v/>
      </c>
      <c r="O75" s="9" t="str">
        <f aca="false">IF(OR(B75="",E75=""),"",IFERROR(N(INDEX(Recetas!$O$5:$O$84,MATCH($E75,Recetas!$A$5:$A$84,0)))*INDEX(Precios!$D$5:$D$120,MATCH(INDEX(Recetas!$N$5:$N$84,MATCH($E75,Recetas!$A$5:$A$84,0)),Precios!$A$5:$A$120,0)),0))</f>
        <v/>
      </c>
      <c r="P75" s="26" t="str">
        <f aca="false">IF(OR(B75="",E75=""),"",IF(AND(IFERROR(INDEX(Recetas!$T$5:$T$84,MATCH($E75,Recetas!$A$5:$A$84,0))="Lista",FALSE()),ISNUMBER(L75),ISNUMBER(M75),ISNUMBER(N75),N(N75)&gt;0),L75+M75+N75+N(O75)+N(H75),""))</f>
        <v/>
      </c>
      <c r="Q75" s="9" t="str">
        <f aca="false">IF(AND(ISNUMBER(P75),ISNUMBER(I75)),I75*Parametros!$B$12,"")</f>
        <v/>
      </c>
      <c r="R75" s="9" t="str">
        <f aca="false">IF(AND(ISNUMBER(P75),ISNUMBER(I75)),I75*Parametros!$B$13,"")</f>
        <v/>
      </c>
      <c r="S75" s="26" t="str">
        <f aca="false">IF(AND(ISNUMBER(P75),ISNUMBER(I75)),I75-P75-Q75-R75,"")</f>
        <v/>
      </c>
      <c r="T75" s="16" t="str">
        <f aca="false">IF(AND(ISNUMBER(P75),ISNUMBER(I75)),S75/I75,"")</f>
        <v/>
      </c>
      <c r="U75" s="9" t="str">
        <f aca="false">IF(OR(NOT(ISNUMBER(P75)),Parametros!$B$14&gt;=1),"",P75/(1-Parametros!$B$14))</f>
        <v/>
      </c>
      <c r="V75" s="9" t="str">
        <f aca="false">IF(OR(NOT(ISNUMBER(P75)),Parametros!$B$14+Parametros!$B$18&gt;=1),"",P75/(1-Parametros!$B$14-Parametros!$B$18))</f>
        <v/>
      </c>
      <c r="W75" s="35" t="str">
        <f aca="false">IF(B75="","",IF(E75="","SIN RECETA",IF(NOT(ISNUMBER(P75)),"FALTAN DATOS",IF(NOT(ISNUMBER(I75)),"FALTA PRECIO",IF(S75&lt;0,"PIERDE",IF(T75&lt;Parametros!$B$18,"BAJO META","OK"))))))</f>
        <v>SIN RECETA</v>
      </c>
      <c r="X75" s="36" t="str">
        <f aca="false">IF(B75="","",IF(E75="","Elegir receta (molde). ",IF(ISNA(MATCH(E75,Recetas!$A$5:$A$84,0)),"La receta no existe. ",IF(IFERROR(INDEX(Recetas!$T$5:$T$84,MATCH($E75,Recetas!$A$5:$A$84,0))="Lista",FALSE()),"","Receta "&amp;E75&amp;": "&amp;INDEX(Recetas!$T$5:$T$84,MATCH($E75,Recetas!$A$5:$A$84,0)))))&amp;IF(F75="","Elegir tela. ",IF(IFERROR(INDEX(Precios!$F$5:$F$120,MATCH(F75,Precios!$A$5:$A$120,0)),"")="","Tela sin $/metro (falta rendimiento o precio). ",""))&amp;IF(AND(E75&lt;&gt;"",N(IFERROR(INDEX(Recetas!$S$5:$S$84,MATCH($E75,Recetas!$A$5:$A$84,0)),0))&gt;0,G75=""),"Elegir tela 2. ","")&amp;IF(NOT(ISNUMBER(I75)),"Precio de venta.",""))</f>
        <v>Elegir receta (molde). Elegir tela. </v>
      </c>
      <c r="Y75" s="37" t="n">
        <f aca="false">IF(AND(ISNUMBER(P75),ISNUMBER(I75),ISNUMBER(D75)),P75*D75,0)</f>
        <v>0</v>
      </c>
      <c r="Z75" s="37" t="n">
        <f aca="false">IF(AND(ISNUMBER(P75),ISNUMBER(I75),ISNUMBER(D75)),I75*D75,0)</f>
        <v>0</v>
      </c>
      <c r="AA75" s="38" t="n">
        <f aca="false">IF(AND(ISNUMBER(P75),ISNUMBER(I75),ISNUMBER(D75)),D75,0)</f>
        <v>0</v>
      </c>
    </row>
    <row r="76" customFormat="false" ht="22.35" hidden="false" customHeight="false" outlineLevel="0" collapsed="false">
      <c r="A76" s="7" t="s">
        <v>282</v>
      </c>
      <c r="B76" s="7" t="s">
        <v>283</v>
      </c>
      <c r="C76" s="7" t="s">
        <v>111</v>
      </c>
      <c r="D76" s="7" t="n">
        <v>1</v>
      </c>
      <c r="E76" s="34"/>
      <c r="F76" s="34"/>
      <c r="G76" s="34"/>
      <c r="H76" s="8"/>
      <c r="I76" s="8" t="n">
        <v>20084</v>
      </c>
      <c r="J76" s="34" t="s">
        <v>113</v>
      </c>
      <c r="K76" s="10" t="s">
        <v>126</v>
      </c>
      <c r="L76" s="9" t="str">
        <f aca="false">IF(OR(B76="",E76=""),"",IFERROR(INDEX(Recetas!$R$5:$R$84,MATCH($E76,Recetas!$A$5:$A$84,0))*IFERROR(INDEX(Precios!$F$5:$F$120,MATCH(F76,Precios!$A$5:$A$120,0)),"")+IF(N(INDEX(Recetas!$S$5:$S$84,MATCH($E76,Recetas!$A$5:$A$84,0)))=0,0,INDEX(Recetas!$S$5:$S$84,MATCH($E76,Recetas!$A$5:$A$84,0))*IFERROR(INDEX(Precios!$F$5:$F$120,MATCH(G76,Precios!$A$5:$A$120,0)),"")),""))</f>
        <v/>
      </c>
      <c r="M76" s="9" t="str">
        <f aca="false">IF(OR(B76="",E76=""),"",IFERROR(N(INDEX(Recetas!$L$5:$L$84,MATCH($E76,Recetas!$A$5:$A$84,0)))*Parametros!$B$27,""))</f>
        <v/>
      </c>
      <c r="N76" s="9" t="str">
        <f aca="false">IF(OR(B76="",E76=""),"",IFERROR(INDEX(Confeccion!$B$5:$B$100,MATCH(INDEX(Recetas!$M$5:$M$84,MATCH($E76,Recetas!$A$5:$A$84,0)),Confeccion!$A$5:$A$100,0)),""))</f>
        <v/>
      </c>
      <c r="O76" s="9" t="str">
        <f aca="false">IF(OR(B76="",E76=""),"",IFERROR(N(INDEX(Recetas!$O$5:$O$84,MATCH($E76,Recetas!$A$5:$A$84,0)))*INDEX(Precios!$D$5:$D$120,MATCH(INDEX(Recetas!$N$5:$N$84,MATCH($E76,Recetas!$A$5:$A$84,0)),Precios!$A$5:$A$120,0)),0))</f>
        <v/>
      </c>
      <c r="P76" s="26" t="str">
        <f aca="false">IF(OR(B76="",E76=""),"",IF(AND(IFERROR(INDEX(Recetas!$T$5:$T$84,MATCH($E76,Recetas!$A$5:$A$84,0))="Lista",FALSE()),ISNUMBER(L76),ISNUMBER(M76),ISNUMBER(N76),N(N76)&gt;0),L76+M76+N76+N(O76)+N(H76),""))</f>
        <v/>
      </c>
      <c r="Q76" s="9" t="str">
        <f aca="false">IF(AND(ISNUMBER(P76),ISNUMBER(I76)),I76*Parametros!$B$12,"")</f>
        <v/>
      </c>
      <c r="R76" s="9" t="str">
        <f aca="false">IF(AND(ISNUMBER(P76),ISNUMBER(I76)),I76*Parametros!$B$13,"")</f>
        <v/>
      </c>
      <c r="S76" s="26" t="str">
        <f aca="false">IF(AND(ISNUMBER(P76),ISNUMBER(I76)),I76-P76-Q76-R76,"")</f>
        <v/>
      </c>
      <c r="T76" s="16" t="str">
        <f aca="false">IF(AND(ISNUMBER(P76),ISNUMBER(I76)),S76/I76,"")</f>
        <v/>
      </c>
      <c r="U76" s="9" t="str">
        <f aca="false">IF(OR(NOT(ISNUMBER(P76)),Parametros!$B$14&gt;=1),"",P76/(1-Parametros!$B$14))</f>
        <v/>
      </c>
      <c r="V76" s="9" t="str">
        <f aca="false">IF(OR(NOT(ISNUMBER(P76)),Parametros!$B$14+Parametros!$B$18&gt;=1),"",P76/(1-Parametros!$B$14-Parametros!$B$18))</f>
        <v/>
      </c>
      <c r="W76" s="35" t="str">
        <f aca="false">IF(B76="","",IF(E76="","SIN RECETA",IF(NOT(ISNUMBER(P76)),"FALTAN DATOS",IF(NOT(ISNUMBER(I76)),"FALTA PRECIO",IF(S76&lt;0,"PIERDE",IF(T76&lt;Parametros!$B$18,"BAJO META","OK"))))))</f>
        <v>SIN RECETA</v>
      </c>
      <c r="X76" s="36" t="str">
        <f aca="false">IF(B76="","",IF(E76="","Elegir receta (molde). ",IF(ISNA(MATCH(E76,Recetas!$A$5:$A$84,0)),"La receta no existe. ",IF(IFERROR(INDEX(Recetas!$T$5:$T$84,MATCH($E76,Recetas!$A$5:$A$84,0))="Lista",FALSE()),"","Receta "&amp;E76&amp;": "&amp;INDEX(Recetas!$T$5:$T$84,MATCH($E76,Recetas!$A$5:$A$84,0)))))&amp;IF(F76="","Elegir tela. ",IF(IFERROR(INDEX(Precios!$F$5:$F$120,MATCH(F76,Precios!$A$5:$A$120,0)),"")="","Tela sin $/metro (falta rendimiento o precio). ",""))&amp;IF(AND(E76&lt;&gt;"",N(IFERROR(INDEX(Recetas!$S$5:$S$84,MATCH($E76,Recetas!$A$5:$A$84,0)),0))&gt;0,G76=""),"Elegir tela 2. ","")&amp;IF(NOT(ISNUMBER(I76)),"Precio de venta.",""))</f>
        <v>Elegir receta (molde). Elegir tela. </v>
      </c>
      <c r="Y76" s="37" t="n">
        <f aca="false">IF(AND(ISNUMBER(P76),ISNUMBER(I76),ISNUMBER(D76)),P76*D76,0)</f>
        <v>0</v>
      </c>
      <c r="Z76" s="37" t="n">
        <f aca="false">IF(AND(ISNUMBER(P76),ISNUMBER(I76),ISNUMBER(D76)),I76*D76,0)</f>
        <v>0</v>
      </c>
      <c r="AA76" s="38" t="n">
        <f aca="false">IF(AND(ISNUMBER(P76),ISNUMBER(I76),ISNUMBER(D76)),D76,0)</f>
        <v>0</v>
      </c>
    </row>
    <row r="77" customFormat="false" ht="22.35" hidden="false" customHeight="false" outlineLevel="0" collapsed="false">
      <c r="A77" s="7" t="s">
        <v>284</v>
      </c>
      <c r="B77" s="7" t="s">
        <v>285</v>
      </c>
      <c r="C77" s="7" t="s">
        <v>111</v>
      </c>
      <c r="D77" s="7" t="n">
        <v>1</v>
      </c>
      <c r="E77" s="34"/>
      <c r="F77" s="34"/>
      <c r="G77" s="34"/>
      <c r="H77" s="8"/>
      <c r="I77" s="8" t="n">
        <v>21765</v>
      </c>
      <c r="J77" s="34" t="s">
        <v>113</v>
      </c>
      <c r="K77" s="10" t="s">
        <v>126</v>
      </c>
      <c r="L77" s="9" t="str">
        <f aca="false">IF(OR(B77="",E77=""),"",IFERROR(INDEX(Recetas!$R$5:$R$84,MATCH($E77,Recetas!$A$5:$A$84,0))*IFERROR(INDEX(Precios!$F$5:$F$120,MATCH(F77,Precios!$A$5:$A$120,0)),"")+IF(N(INDEX(Recetas!$S$5:$S$84,MATCH($E77,Recetas!$A$5:$A$84,0)))=0,0,INDEX(Recetas!$S$5:$S$84,MATCH($E77,Recetas!$A$5:$A$84,0))*IFERROR(INDEX(Precios!$F$5:$F$120,MATCH(G77,Precios!$A$5:$A$120,0)),"")),""))</f>
        <v/>
      </c>
      <c r="M77" s="9" t="str">
        <f aca="false">IF(OR(B77="",E77=""),"",IFERROR(N(INDEX(Recetas!$L$5:$L$84,MATCH($E77,Recetas!$A$5:$A$84,0)))*Parametros!$B$27,""))</f>
        <v/>
      </c>
      <c r="N77" s="9" t="str">
        <f aca="false">IF(OR(B77="",E77=""),"",IFERROR(INDEX(Confeccion!$B$5:$B$100,MATCH(INDEX(Recetas!$M$5:$M$84,MATCH($E77,Recetas!$A$5:$A$84,0)),Confeccion!$A$5:$A$100,0)),""))</f>
        <v/>
      </c>
      <c r="O77" s="9" t="str">
        <f aca="false">IF(OR(B77="",E77=""),"",IFERROR(N(INDEX(Recetas!$O$5:$O$84,MATCH($E77,Recetas!$A$5:$A$84,0)))*INDEX(Precios!$D$5:$D$120,MATCH(INDEX(Recetas!$N$5:$N$84,MATCH($E77,Recetas!$A$5:$A$84,0)),Precios!$A$5:$A$120,0)),0))</f>
        <v/>
      </c>
      <c r="P77" s="26" t="str">
        <f aca="false">IF(OR(B77="",E77=""),"",IF(AND(IFERROR(INDEX(Recetas!$T$5:$T$84,MATCH($E77,Recetas!$A$5:$A$84,0))="Lista",FALSE()),ISNUMBER(L77),ISNUMBER(M77),ISNUMBER(N77),N(N77)&gt;0),L77+M77+N77+N(O77)+N(H77),""))</f>
        <v/>
      </c>
      <c r="Q77" s="9" t="str">
        <f aca="false">IF(AND(ISNUMBER(P77),ISNUMBER(I77)),I77*Parametros!$B$12,"")</f>
        <v/>
      </c>
      <c r="R77" s="9" t="str">
        <f aca="false">IF(AND(ISNUMBER(P77),ISNUMBER(I77)),I77*Parametros!$B$13,"")</f>
        <v/>
      </c>
      <c r="S77" s="26" t="str">
        <f aca="false">IF(AND(ISNUMBER(P77),ISNUMBER(I77)),I77-P77-Q77-R77,"")</f>
        <v/>
      </c>
      <c r="T77" s="16" t="str">
        <f aca="false">IF(AND(ISNUMBER(P77),ISNUMBER(I77)),S77/I77,"")</f>
        <v/>
      </c>
      <c r="U77" s="9" t="str">
        <f aca="false">IF(OR(NOT(ISNUMBER(P77)),Parametros!$B$14&gt;=1),"",P77/(1-Parametros!$B$14))</f>
        <v/>
      </c>
      <c r="V77" s="9" t="str">
        <f aca="false">IF(OR(NOT(ISNUMBER(P77)),Parametros!$B$14+Parametros!$B$18&gt;=1),"",P77/(1-Parametros!$B$14-Parametros!$B$18))</f>
        <v/>
      </c>
      <c r="W77" s="35" t="str">
        <f aca="false">IF(B77="","",IF(E77="","SIN RECETA",IF(NOT(ISNUMBER(P77)),"FALTAN DATOS",IF(NOT(ISNUMBER(I77)),"FALTA PRECIO",IF(S77&lt;0,"PIERDE",IF(T77&lt;Parametros!$B$18,"BAJO META","OK"))))))</f>
        <v>SIN RECETA</v>
      </c>
      <c r="X77" s="36" t="str">
        <f aca="false">IF(B77="","",IF(E77="","Elegir receta (molde). ",IF(ISNA(MATCH(E77,Recetas!$A$5:$A$84,0)),"La receta no existe. ",IF(IFERROR(INDEX(Recetas!$T$5:$T$84,MATCH($E77,Recetas!$A$5:$A$84,0))="Lista",FALSE()),"","Receta "&amp;E77&amp;": "&amp;INDEX(Recetas!$T$5:$T$84,MATCH($E77,Recetas!$A$5:$A$84,0)))))&amp;IF(F77="","Elegir tela. ",IF(IFERROR(INDEX(Precios!$F$5:$F$120,MATCH(F77,Precios!$A$5:$A$120,0)),"")="","Tela sin $/metro (falta rendimiento o precio). ",""))&amp;IF(AND(E77&lt;&gt;"",N(IFERROR(INDEX(Recetas!$S$5:$S$84,MATCH($E77,Recetas!$A$5:$A$84,0)),0))&gt;0,G77=""),"Elegir tela 2. ","")&amp;IF(NOT(ISNUMBER(I77)),"Precio de venta.",""))</f>
        <v>Elegir receta (molde). Elegir tela. </v>
      </c>
      <c r="Y77" s="37" t="n">
        <f aca="false">IF(AND(ISNUMBER(P77),ISNUMBER(I77),ISNUMBER(D77)),P77*D77,0)</f>
        <v>0</v>
      </c>
      <c r="Z77" s="37" t="n">
        <f aca="false">IF(AND(ISNUMBER(P77),ISNUMBER(I77),ISNUMBER(D77)),I77*D77,0)</f>
        <v>0</v>
      </c>
      <c r="AA77" s="38" t="n">
        <f aca="false">IF(AND(ISNUMBER(P77),ISNUMBER(I77),ISNUMBER(D77)),D77,0)</f>
        <v>0</v>
      </c>
    </row>
    <row r="78" customFormat="false" ht="22.35" hidden="false" customHeight="false" outlineLevel="0" collapsed="false">
      <c r="A78" s="7" t="s">
        <v>286</v>
      </c>
      <c r="B78" s="7" t="s">
        <v>287</v>
      </c>
      <c r="C78" s="7" t="s">
        <v>111</v>
      </c>
      <c r="D78" s="7" t="n">
        <v>1</v>
      </c>
      <c r="E78" s="34"/>
      <c r="F78" s="34"/>
      <c r="G78" s="34"/>
      <c r="H78" s="8"/>
      <c r="I78" s="8" t="n">
        <v>11681</v>
      </c>
      <c r="J78" s="34" t="s">
        <v>113</v>
      </c>
      <c r="K78" s="10" t="s">
        <v>126</v>
      </c>
      <c r="L78" s="9" t="str">
        <f aca="false">IF(OR(B78="",E78=""),"",IFERROR(INDEX(Recetas!$R$5:$R$84,MATCH($E78,Recetas!$A$5:$A$84,0))*IFERROR(INDEX(Precios!$F$5:$F$120,MATCH(F78,Precios!$A$5:$A$120,0)),"")+IF(N(INDEX(Recetas!$S$5:$S$84,MATCH($E78,Recetas!$A$5:$A$84,0)))=0,0,INDEX(Recetas!$S$5:$S$84,MATCH($E78,Recetas!$A$5:$A$84,0))*IFERROR(INDEX(Precios!$F$5:$F$120,MATCH(G78,Precios!$A$5:$A$120,0)),"")),""))</f>
        <v/>
      </c>
      <c r="M78" s="9" t="str">
        <f aca="false">IF(OR(B78="",E78=""),"",IFERROR(N(INDEX(Recetas!$L$5:$L$84,MATCH($E78,Recetas!$A$5:$A$84,0)))*Parametros!$B$27,""))</f>
        <v/>
      </c>
      <c r="N78" s="9" t="str">
        <f aca="false">IF(OR(B78="",E78=""),"",IFERROR(INDEX(Confeccion!$B$5:$B$100,MATCH(INDEX(Recetas!$M$5:$M$84,MATCH($E78,Recetas!$A$5:$A$84,0)),Confeccion!$A$5:$A$100,0)),""))</f>
        <v/>
      </c>
      <c r="O78" s="9" t="str">
        <f aca="false">IF(OR(B78="",E78=""),"",IFERROR(N(INDEX(Recetas!$O$5:$O$84,MATCH($E78,Recetas!$A$5:$A$84,0)))*INDEX(Precios!$D$5:$D$120,MATCH(INDEX(Recetas!$N$5:$N$84,MATCH($E78,Recetas!$A$5:$A$84,0)),Precios!$A$5:$A$120,0)),0))</f>
        <v/>
      </c>
      <c r="P78" s="26" t="str">
        <f aca="false">IF(OR(B78="",E78=""),"",IF(AND(IFERROR(INDEX(Recetas!$T$5:$T$84,MATCH($E78,Recetas!$A$5:$A$84,0))="Lista",FALSE()),ISNUMBER(L78),ISNUMBER(M78),ISNUMBER(N78),N(N78)&gt;0),L78+M78+N78+N(O78)+N(H78),""))</f>
        <v/>
      </c>
      <c r="Q78" s="9" t="str">
        <f aca="false">IF(AND(ISNUMBER(P78),ISNUMBER(I78)),I78*Parametros!$B$12,"")</f>
        <v/>
      </c>
      <c r="R78" s="9" t="str">
        <f aca="false">IF(AND(ISNUMBER(P78),ISNUMBER(I78)),I78*Parametros!$B$13,"")</f>
        <v/>
      </c>
      <c r="S78" s="26" t="str">
        <f aca="false">IF(AND(ISNUMBER(P78),ISNUMBER(I78)),I78-P78-Q78-R78,"")</f>
        <v/>
      </c>
      <c r="T78" s="16" t="str">
        <f aca="false">IF(AND(ISNUMBER(P78),ISNUMBER(I78)),S78/I78,"")</f>
        <v/>
      </c>
      <c r="U78" s="9" t="str">
        <f aca="false">IF(OR(NOT(ISNUMBER(P78)),Parametros!$B$14&gt;=1),"",P78/(1-Parametros!$B$14))</f>
        <v/>
      </c>
      <c r="V78" s="9" t="str">
        <f aca="false">IF(OR(NOT(ISNUMBER(P78)),Parametros!$B$14+Parametros!$B$18&gt;=1),"",P78/(1-Parametros!$B$14-Parametros!$B$18))</f>
        <v/>
      </c>
      <c r="W78" s="35" t="str">
        <f aca="false">IF(B78="","",IF(E78="","SIN RECETA",IF(NOT(ISNUMBER(P78)),"FALTAN DATOS",IF(NOT(ISNUMBER(I78)),"FALTA PRECIO",IF(S78&lt;0,"PIERDE",IF(T78&lt;Parametros!$B$18,"BAJO META","OK"))))))</f>
        <v>SIN RECETA</v>
      </c>
      <c r="X78" s="36" t="str">
        <f aca="false">IF(B78="","",IF(E78="","Elegir receta (molde). ",IF(ISNA(MATCH(E78,Recetas!$A$5:$A$84,0)),"La receta no existe. ",IF(IFERROR(INDEX(Recetas!$T$5:$T$84,MATCH($E78,Recetas!$A$5:$A$84,0))="Lista",FALSE()),"","Receta "&amp;E78&amp;": "&amp;INDEX(Recetas!$T$5:$T$84,MATCH($E78,Recetas!$A$5:$A$84,0)))))&amp;IF(F78="","Elegir tela. ",IF(IFERROR(INDEX(Precios!$F$5:$F$120,MATCH(F78,Precios!$A$5:$A$120,0)),"")="","Tela sin $/metro (falta rendimiento o precio). ",""))&amp;IF(AND(E78&lt;&gt;"",N(IFERROR(INDEX(Recetas!$S$5:$S$84,MATCH($E78,Recetas!$A$5:$A$84,0)),0))&gt;0,G78=""),"Elegir tela 2. ","")&amp;IF(NOT(ISNUMBER(I78)),"Precio de venta.",""))</f>
        <v>Elegir receta (molde). Elegir tela. </v>
      </c>
      <c r="Y78" s="37" t="n">
        <f aca="false">IF(AND(ISNUMBER(P78),ISNUMBER(I78),ISNUMBER(D78)),P78*D78,0)</f>
        <v>0</v>
      </c>
      <c r="Z78" s="37" t="n">
        <f aca="false">IF(AND(ISNUMBER(P78),ISNUMBER(I78),ISNUMBER(D78)),I78*D78,0)</f>
        <v>0</v>
      </c>
      <c r="AA78" s="38" t="n">
        <f aca="false">IF(AND(ISNUMBER(P78),ISNUMBER(I78),ISNUMBER(D78)),D78,0)</f>
        <v>0</v>
      </c>
    </row>
    <row r="79" customFormat="false" ht="22.35" hidden="false" customHeight="false" outlineLevel="0" collapsed="false">
      <c r="A79" s="7" t="s">
        <v>288</v>
      </c>
      <c r="B79" s="7" t="s">
        <v>289</v>
      </c>
      <c r="C79" s="7" t="s">
        <v>136</v>
      </c>
      <c r="D79" s="7" t="n">
        <v>1</v>
      </c>
      <c r="E79" s="34"/>
      <c r="F79" s="34"/>
      <c r="G79" s="34"/>
      <c r="H79" s="8"/>
      <c r="I79" s="8" t="n">
        <v>21765</v>
      </c>
      <c r="J79" s="34" t="s">
        <v>113</v>
      </c>
      <c r="K79" s="10" t="s">
        <v>126</v>
      </c>
      <c r="L79" s="9" t="str">
        <f aca="false">IF(OR(B79="",E79=""),"",IFERROR(INDEX(Recetas!$R$5:$R$84,MATCH($E79,Recetas!$A$5:$A$84,0))*IFERROR(INDEX(Precios!$F$5:$F$120,MATCH(F79,Precios!$A$5:$A$120,0)),"")+IF(N(INDEX(Recetas!$S$5:$S$84,MATCH($E79,Recetas!$A$5:$A$84,0)))=0,0,INDEX(Recetas!$S$5:$S$84,MATCH($E79,Recetas!$A$5:$A$84,0))*IFERROR(INDEX(Precios!$F$5:$F$120,MATCH(G79,Precios!$A$5:$A$120,0)),"")),""))</f>
        <v/>
      </c>
      <c r="M79" s="9" t="str">
        <f aca="false">IF(OR(B79="",E79=""),"",IFERROR(N(INDEX(Recetas!$L$5:$L$84,MATCH($E79,Recetas!$A$5:$A$84,0)))*Parametros!$B$27,""))</f>
        <v/>
      </c>
      <c r="N79" s="9" t="str">
        <f aca="false">IF(OR(B79="",E79=""),"",IFERROR(INDEX(Confeccion!$B$5:$B$100,MATCH(INDEX(Recetas!$M$5:$M$84,MATCH($E79,Recetas!$A$5:$A$84,0)),Confeccion!$A$5:$A$100,0)),""))</f>
        <v/>
      </c>
      <c r="O79" s="9" t="str">
        <f aca="false">IF(OR(B79="",E79=""),"",IFERROR(N(INDEX(Recetas!$O$5:$O$84,MATCH($E79,Recetas!$A$5:$A$84,0)))*INDEX(Precios!$D$5:$D$120,MATCH(INDEX(Recetas!$N$5:$N$84,MATCH($E79,Recetas!$A$5:$A$84,0)),Precios!$A$5:$A$120,0)),0))</f>
        <v/>
      </c>
      <c r="P79" s="26" t="str">
        <f aca="false">IF(OR(B79="",E79=""),"",IF(AND(IFERROR(INDEX(Recetas!$T$5:$T$84,MATCH($E79,Recetas!$A$5:$A$84,0))="Lista",FALSE()),ISNUMBER(L79),ISNUMBER(M79),ISNUMBER(N79),N(N79)&gt;0),L79+M79+N79+N(O79)+N(H79),""))</f>
        <v/>
      </c>
      <c r="Q79" s="9" t="str">
        <f aca="false">IF(AND(ISNUMBER(P79),ISNUMBER(I79)),I79*Parametros!$B$12,"")</f>
        <v/>
      </c>
      <c r="R79" s="9" t="str">
        <f aca="false">IF(AND(ISNUMBER(P79),ISNUMBER(I79)),I79*Parametros!$B$13,"")</f>
        <v/>
      </c>
      <c r="S79" s="26" t="str">
        <f aca="false">IF(AND(ISNUMBER(P79),ISNUMBER(I79)),I79-P79-Q79-R79,"")</f>
        <v/>
      </c>
      <c r="T79" s="16" t="str">
        <f aca="false">IF(AND(ISNUMBER(P79),ISNUMBER(I79)),S79/I79,"")</f>
        <v/>
      </c>
      <c r="U79" s="9" t="str">
        <f aca="false">IF(OR(NOT(ISNUMBER(P79)),Parametros!$B$14&gt;=1),"",P79/(1-Parametros!$B$14))</f>
        <v/>
      </c>
      <c r="V79" s="9" t="str">
        <f aca="false">IF(OR(NOT(ISNUMBER(P79)),Parametros!$B$14+Parametros!$B$18&gt;=1),"",P79/(1-Parametros!$B$14-Parametros!$B$18))</f>
        <v/>
      </c>
      <c r="W79" s="35" t="str">
        <f aca="false">IF(B79="","",IF(E79="","SIN RECETA",IF(NOT(ISNUMBER(P79)),"FALTAN DATOS",IF(NOT(ISNUMBER(I79)),"FALTA PRECIO",IF(S79&lt;0,"PIERDE",IF(T79&lt;Parametros!$B$18,"BAJO META","OK"))))))</f>
        <v>SIN RECETA</v>
      </c>
      <c r="X79" s="36" t="str">
        <f aca="false">IF(B79="","",IF(E79="","Elegir receta (molde). ",IF(ISNA(MATCH(E79,Recetas!$A$5:$A$84,0)),"La receta no existe. ",IF(IFERROR(INDEX(Recetas!$T$5:$T$84,MATCH($E79,Recetas!$A$5:$A$84,0))="Lista",FALSE()),"","Receta "&amp;E79&amp;": "&amp;INDEX(Recetas!$T$5:$T$84,MATCH($E79,Recetas!$A$5:$A$84,0)))))&amp;IF(F79="","Elegir tela. ",IF(IFERROR(INDEX(Precios!$F$5:$F$120,MATCH(F79,Precios!$A$5:$A$120,0)),"")="","Tela sin $/metro (falta rendimiento o precio). ",""))&amp;IF(AND(E79&lt;&gt;"",N(IFERROR(INDEX(Recetas!$S$5:$S$84,MATCH($E79,Recetas!$A$5:$A$84,0)),0))&gt;0,G79=""),"Elegir tela 2. ","")&amp;IF(NOT(ISNUMBER(I79)),"Precio de venta.",""))</f>
        <v>Elegir receta (molde). Elegir tela. </v>
      </c>
      <c r="Y79" s="37" t="n">
        <f aca="false">IF(AND(ISNUMBER(P79),ISNUMBER(I79),ISNUMBER(D79)),P79*D79,0)</f>
        <v>0</v>
      </c>
      <c r="Z79" s="37" t="n">
        <f aca="false">IF(AND(ISNUMBER(P79),ISNUMBER(I79),ISNUMBER(D79)),I79*D79,0)</f>
        <v>0</v>
      </c>
      <c r="AA79" s="38" t="n">
        <f aca="false">IF(AND(ISNUMBER(P79),ISNUMBER(I79),ISNUMBER(D79)),D79,0)</f>
        <v>0</v>
      </c>
    </row>
    <row r="80" customFormat="false" ht="15" hidden="false" customHeight="false" outlineLevel="0" collapsed="false">
      <c r="A80" s="34"/>
      <c r="B80" s="34"/>
      <c r="C80" s="34"/>
      <c r="D80" s="34"/>
      <c r="E80" s="34"/>
      <c r="F80" s="34"/>
      <c r="G80" s="34"/>
      <c r="H80" s="8"/>
      <c r="I80" s="8"/>
      <c r="J80" s="34"/>
      <c r="L80" s="9" t="str">
        <f aca="false">IF(OR(B80="",E80=""),"",IFERROR(INDEX(Recetas!$R$5:$R$84,MATCH($E80,Recetas!$A$5:$A$84,0))*IFERROR(INDEX(Precios!$F$5:$F$120,MATCH(F80,Precios!$A$5:$A$120,0)),"")+IF(N(INDEX(Recetas!$S$5:$S$84,MATCH($E80,Recetas!$A$5:$A$84,0)))=0,0,INDEX(Recetas!$S$5:$S$84,MATCH($E80,Recetas!$A$5:$A$84,0))*IFERROR(INDEX(Precios!$F$5:$F$120,MATCH(G80,Precios!$A$5:$A$120,0)),"")),""))</f>
        <v/>
      </c>
      <c r="M80" s="9" t="str">
        <f aca="false">IF(OR(B80="",E80=""),"",IFERROR(N(INDEX(Recetas!$L$5:$L$84,MATCH($E80,Recetas!$A$5:$A$84,0)))*Parametros!$B$27,""))</f>
        <v/>
      </c>
      <c r="N80" s="9" t="str">
        <f aca="false">IF(OR(B80="",E80=""),"",IFERROR(INDEX(Confeccion!$B$5:$B$100,MATCH(INDEX(Recetas!$M$5:$M$84,MATCH($E80,Recetas!$A$5:$A$84,0)),Confeccion!$A$5:$A$100,0)),""))</f>
        <v/>
      </c>
      <c r="O80" s="9" t="str">
        <f aca="false">IF(OR(B80="",E80=""),"",IFERROR(N(INDEX(Recetas!$O$5:$O$84,MATCH($E80,Recetas!$A$5:$A$84,0)))*INDEX(Precios!$D$5:$D$120,MATCH(INDEX(Recetas!$N$5:$N$84,MATCH($E80,Recetas!$A$5:$A$84,0)),Precios!$A$5:$A$120,0)),0))</f>
        <v/>
      </c>
      <c r="P80" s="26" t="str">
        <f aca="false">IF(OR(B80="",E80=""),"",IF(AND(IFERROR(INDEX(Recetas!$T$5:$T$84,MATCH($E80,Recetas!$A$5:$A$84,0))="Lista",FALSE()),ISNUMBER(L80),ISNUMBER(M80),ISNUMBER(N80),N(N80)&gt;0),L80+M80+N80+N(O80)+N(H80),""))</f>
        <v/>
      </c>
      <c r="Q80" s="9" t="str">
        <f aca="false">IF(AND(ISNUMBER(P80),ISNUMBER(I80)),I80*Parametros!$B$12,"")</f>
        <v/>
      </c>
      <c r="R80" s="9" t="str">
        <f aca="false">IF(AND(ISNUMBER(P80),ISNUMBER(I80)),I80*Parametros!$B$13,"")</f>
        <v/>
      </c>
      <c r="S80" s="26" t="str">
        <f aca="false">IF(AND(ISNUMBER(P80),ISNUMBER(I80)),I80-P80-Q80-R80,"")</f>
        <v/>
      </c>
      <c r="T80" s="16" t="str">
        <f aca="false">IF(AND(ISNUMBER(P80),ISNUMBER(I80)),S80/I80,"")</f>
        <v/>
      </c>
      <c r="U80" s="9" t="str">
        <f aca="false">IF(OR(NOT(ISNUMBER(P80)),Parametros!$B$14&gt;=1),"",P80/(1-Parametros!$B$14))</f>
        <v/>
      </c>
      <c r="V80" s="9" t="str">
        <f aca="false">IF(OR(NOT(ISNUMBER(P80)),Parametros!$B$14+Parametros!$B$18&gt;=1),"",P80/(1-Parametros!$B$14-Parametros!$B$18))</f>
        <v/>
      </c>
      <c r="W80" s="35" t="str">
        <f aca="false">IF(B80="","",IF(E80="","SIN RECETA",IF(NOT(ISNUMBER(P80)),"FALTAN DATOS",IF(NOT(ISNUMBER(I80)),"FALTA PRECIO",IF(S80&lt;0,"PIERDE",IF(T80&lt;Parametros!$B$18,"BAJO META","OK"))))))</f>
        <v/>
      </c>
      <c r="X80" s="36" t="str">
        <f aca="false">IF(B80="","",IF(E80="","Elegir receta (molde). ",IF(ISNA(MATCH(E80,Recetas!$A$5:$A$84,0)),"La receta no existe. ",IF(IFERROR(INDEX(Recetas!$T$5:$T$84,MATCH($E80,Recetas!$A$5:$A$84,0))="Lista",FALSE()),"","Receta "&amp;E80&amp;": "&amp;INDEX(Recetas!$T$5:$T$84,MATCH($E80,Recetas!$A$5:$A$84,0)))))&amp;IF(F80="","Elegir tela. ",IF(IFERROR(INDEX(Precios!$F$5:$F$120,MATCH(F80,Precios!$A$5:$A$120,0)),"")="","Tela sin $/metro (falta rendimiento o precio). ",""))&amp;IF(AND(E80&lt;&gt;"",N(IFERROR(INDEX(Recetas!$S$5:$S$84,MATCH($E80,Recetas!$A$5:$A$84,0)),0))&gt;0,G80=""),"Elegir tela 2. ","")&amp;IF(NOT(ISNUMBER(I80)),"Precio de venta.",""))</f>
        <v/>
      </c>
      <c r="Y80" s="37" t="n">
        <f aca="false">IF(AND(ISNUMBER(P80),ISNUMBER(I80),ISNUMBER(D80)),P80*D80,0)</f>
        <v>0</v>
      </c>
      <c r="Z80" s="37" t="n">
        <f aca="false">IF(AND(ISNUMBER(P80),ISNUMBER(I80),ISNUMBER(D80)),I80*D80,0)</f>
        <v>0</v>
      </c>
      <c r="AA80" s="38" t="n">
        <f aca="false">IF(AND(ISNUMBER(P80),ISNUMBER(I80),ISNUMBER(D80)),D80,0)</f>
        <v>0</v>
      </c>
    </row>
    <row r="81" customFormat="false" ht="15" hidden="false" customHeight="false" outlineLevel="0" collapsed="false">
      <c r="A81" s="34"/>
      <c r="B81" s="34"/>
      <c r="C81" s="34"/>
      <c r="D81" s="34"/>
      <c r="E81" s="34"/>
      <c r="F81" s="34"/>
      <c r="G81" s="34"/>
      <c r="H81" s="8"/>
      <c r="I81" s="8"/>
      <c r="J81" s="34"/>
      <c r="L81" s="9" t="str">
        <f aca="false">IF(OR(B81="",E81=""),"",IFERROR(INDEX(Recetas!$R$5:$R$84,MATCH($E81,Recetas!$A$5:$A$84,0))*IFERROR(INDEX(Precios!$F$5:$F$120,MATCH(F81,Precios!$A$5:$A$120,0)),"")+IF(N(INDEX(Recetas!$S$5:$S$84,MATCH($E81,Recetas!$A$5:$A$84,0)))=0,0,INDEX(Recetas!$S$5:$S$84,MATCH($E81,Recetas!$A$5:$A$84,0))*IFERROR(INDEX(Precios!$F$5:$F$120,MATCH(G81,Precios!$A$5:$A$120,0)),"")),""))</f>
        <v/>
      </c>
      <c r="M81" s="9" t="str">
        <f aca="false">IF(OR(B81="",E81=""),"",IFERROR(N(INDEX(Recetas!$L$5:$L$84,MATCH($E81,Recetas!$A$5:$A$84,0)))*Parametros!$B$27,""))</f>
        <v/>
      </c>
      <c r="N81" s="9" t="str">
        <f aca="false">IF(OR(B81="",E81=""),"",IFERROR(INDEX(Confeccion!$B$5:$B$100,MATCH(INDEX(Recetas!$M$5:$M$84,MATCH($E81,Recetas!$A$5:$A$84,0)),Confeccion!$A$5:$A$100,0)),""))</f>
        <v/>
      </c>
      <c r="O81" s="9" t="str">
        <f aca="false">IF(OR(B81="",E81=""),"",IFERROR(N(INDEX(Recetas!$O$5:$O$84,MATCH($E81,Recetas!$A$5:$A$84,0)))*INDEX(Precios!$D$5:$D$120,MATCH(INDEX(Recetas!$N$5:$N$84,MATCH($E81,Recetas!$A$5:$A$84,0)),Precios!$A$5:$A$120,0)),0))</f>
        <v/>
      </c>
      <c r="P81" s="26" t="str">
        <f aca="false">IF(OR(B81="",E81=""),"",IF(AND(IFERROR(INDEX(Recetas!$T$5:$T$84,MATCH($E81,Recetas!$A$5:$A$84,0))="Lista",FALSE()),ISNUMBER(L81),ISNUMBER(M81),ISNUMBER(N81),N(N81)&gt;0),L81+M81+N81+N(O81)+N(H81),""))</f>
        <v/>
      </c>
      <c r="Q81" s="9" t="str">
        <f aca="false">IF(AND(ISNUMBER(P81),ISNUMBER(I81)),I81*Parametros!$B$12,"")</f>
        <v/>
      </c>
      <c r="R81" s="9" t="str">
        <f aca="false">IF(AND(ISNUMBER(P81),ISNUMBER(I81)),I81*Parametros!$B$13,"")</f>
        <v/>
      </c>
      <c r="S81" s="26" t="str">
        <f aca="false">IF(AND(ISNUMBER(P81),ISNUMBER(I81)),I81-P81-Q81-R81,"")</f>
        <v/>
      </c>
      <c r="T81" s="16" t="str">
        <f aca="false">IF(AND(ISNUMBER(P81),ISNUMBER(I81)),S81/I81,"")</f>
        <v/>
      </c>
      <c r="U81" s="9" t="str">
        <f aca="false">IF(OR(NOT(ISNUMBER(P81)),Parametros!$B$14&gt;=1),"",P81/(1-Parametros!$B$14))</f>
        <v/>
      </c>
      <c r="V81" s="9" t="str">
        <f aca="false">IF(OR(NOT(ISNUMBER(P81)),Parametros!$B$14+Parametros!$B$18&gt;=1),"",P81/(1-Parametros!$B$14-Parametros!$B$18))</f>
        <v/>
      </c>
      <c r="W81" s="35" t="str">
        <f aca="false">IF(B81="","",IF(E81="","SIN RECETA",IF(NOT(ISNUMBER(P81)),"FALTAN DATOS",IF(NOT(ISNUMBER(I81)),"FALTA PRECIO",IF(S81&lt;0,"PIERDE",IF(T81&lt;Parametros!$B$18,"BAJO META","OK"))))))</f>
        <v/>
      </c>
      <c r="X81" s="36" t="str">
        <f aca="false">IF(B81="","",IF(E81="","Elegir receta (molde). ",IF(ISNA(MATCH(E81,Recetas!$A$5:$A$84,0)),"La receta no existe. ",IF(IFERROR(INDEX(Recetas!$T$5:$T$84,MATCH($E81,Recetas!$A$5:$A$84,0))="Lista",FALSE()),"","Receta "&amp;E81&amp;": "&amp;INDEX(Recetas!$T$5:$T$84,MATCH($E81,Recetas!$A$5:$A$84,0)))))&amp;IF(F81="","Elegir tela. ",IF(IFERROR(INDEX(Precios!$F$5:$F$120,MATCH(F81,Precios!$A$5:$A$120,0)),"")="","Tela sin $/metro (falta rendimiento o precio). ",""))&amp;IF(AND(E81&lt;&gt;"",N(IFERROR(INDEX(Recetas!$S$5:$S$84,MATCH($E81,Recetas!$A$5:$A$84,0)),0))&gt;0,G81=""),"Elegir tela 2. ","")&amp;IF(NOT(ISNUMBER(I81)),"Precio de venta.",""))</f>
        <v/>
      </c>
      <c r="Y81" s="37" t="n">
        <f aca="false">IF(AND(ISNUMBER(P81),ISNUMBER(I81),ISNUMBER(D81)),P81*D81,0)</f>
        <v>0</v>
      </c>
      <c r="Z81" s="37" t="n">
        <f aca="false">IF(AND(ISNUMBER(P81),ISNUMBER(I81),ISNUMBER(D81)),I81*D81,0)</f>
        <v>0</v>
      </c>
      <c r="AA81" s="38" t="n">
        <f aca="false">IF(AND(ISNUMBER(P81),ISNUMBER(I81),ISNUMBER(D81)),D81,0)</f>
        <v>0</v>
      </c>
    </row>
    <row r="82" customFormat="false" ht="15" hidden="false" customHeight="false" outlineLevel="0" collapsed="false">
      <c r="A82" s="34"/>
      <c r="B82" s="34"/>
      <c r="C82" s="34"/>
      <c r="D82" s="34"/>
      <c r="E82" s="34"/>
      <c r="F82" s="34"/>
      <c r="G82" s="34"/>
      <c r="H82" s="8"/>
      <c r="I82" s="8"/>
      <c r="J82" s="34"/>
      <c r="L82" s="9" t="str">
        <f aca="false">IF(OR(B82="",E82=""),"",IFERROR(INDEX(Recetas!$R$5:$R$84,MATCH($E82,Recetas!$A$5:$A$84,0))*IFERROR(INDEX(Precios!$F$5:$F$120,MATCH(F82,Precios!$A$5:$A$120,0)),"")+IF(N(INDEX(Recetas!$S$5:$S$84,MATCH($E82,Recetas!$A$5:$A$84,0)))=0,0,INDEX(Recetas!$S$5:$S$84,MATCH($E82,Recetas!$A$5:$A$84,0))*IFERROR(INDEX(Precios!$F$5:$F$120,MATCH(G82,Precios!$A$5:$A$120,0)),"")),""))</f>
        <v/>
      </c>
      <c r="M82" s="9" t="str">
        <f aca="false">IF(OR(B82="",E82=""),"",IFERROR(N(INDEX(Recetas!$L$5:$L$84,MATCH($E82,Recetas!$A$5:$A$84,0)))*Parametros!$B$27,""))</f>
        <v/>
      </c>
      <c r="N82" s="9" t="str">
        <f aca="false">IF(OR(B82="",E82=""),"",IFERROR(INDEX(Confeccion!$B$5:$B$100,MATCH(INDEX(Recetas!$M$5:$M$84,MATCH($E82,Recetas!$A$5:$A$84,0)),Confeccion!$A$5:$A$100,0)),""))</f>
        <v/>
      </c>
      <c r="O82" s="9" t="str">
        <f aca="false">IF(OR(B82="",E82=""),"",IFERROR(N(INDEX(Recetas!$O$5:$O$84,MATCH($E82,Recetas!$A$5:$A$84,0)))*INDEX(Precios!$D$5:$D$120,MATCH(INDEX(Recetas!$N$5:$N$84,MATCH($E82,Recetas!$A$5:$A$84,0)),Precios!$A$5:$A$120,0)),0))</f>
        <v/>
      </c>
      <c r="P82" s="26" t="str">
        <f aca="false">IF(OR(B82="",E82=""),"",IF(AND(IFERROR(INDEX(Recetas!$T$5:$T$84,MATCH($E82,Recetas!$A$5:$A$84,0))="Lista",FALSE()),ISNUMBER(L82),ISNUMBER(M82),ISNUMBER(N82),N(N82)&gt;0),L82+M82+N82+N(O82)+N(H82),""))</f>
        <v/>
      </c>
      <c r="Q82" s="9" t="str">
        <f aca="false">IF(AND(ISNUMBER(P82),ISNUMBER(I82)),I82*Parametros!$B$12,"")</f>
        <v/>
      </c>
      <c r="R82" s="9" t="str">
        <f aca="false">IF(AND(ISNUMBER(P82),ISNUMBER(I82)),I82*Parametros!$B$13,"")</f>
        <v/>
      </c>
      <c r="S82" s="26" t="str">
        <f aca="false">IF(AND(ISNUMBER(P82),ISNUMBER(I82)),I82-P82-Q82-R82,"")</f>
        <v/>
      </c>
      <c r="T82" s="16" t="str">
        <f aca="false">IF(AND(ISNUMBER(P82),ISNUMBER(I82)),S82/I82,"")</f>
        <v/>
      </c>
      <c r="U82" s="9" t="str">
        <f aca="false">IF(OR(NOT(ISNUMBER(P82)),Parametros!$B$14&gt;=1),"",P82/(1-Parametros!$B$14))</f>
        <v/>
      </c>
      <c r="V82" s="9" t="str">
        <f aca="false">IF(OR(NOT(ISNUMBER(P82)),Parametros!$B$14+Parametros!$B$18&gt;=1),"",P82/(1-Parametros!$B$14-Parametros!$B$18))</f>
        <v/>
      </c>
      <c r="W82" s="35" t="str">
        <f aca="false">IF(B82="","",IF(E82="","SIN RECETA",IF(NOT(ISNUMBER(P82)),"FALTAN DATOS",IF(NOT(ISNUMBER(I82)),"FALTA PRECIO",IF(S82&lt;0,"PIERDE",IF(T82&lt;Parametros!$B$18,"BAJO META","OK"))))))</f>
        <v/>
      </c>
      <c r="X82" s="36" t="str">
        <f aca="false">IF(B82="","",IF(E82="","Elegir receta (molde). ",IF(ISNA(MATCH(E82,Recetas!$A$5:$A$84,0)),"La receta no existe. ",IF(IFERROR(INDEX(Recetas!$T$5:$T$84,MATCH($E82,Recetas!$A$5:$A$84,0))="Lista",FALSE()),"","Receta "&amp;E82&amp;": "&amp;INDEX(Recetas!$T$5:$T$84,MATCH($E82,Recetas!$A$5:$A$84,0)))))&amp;IF(F82="","Elegir tela. ",IF(IFERROR(INDEX(Precios!$F$5:$F$120,MATCH(F82,Precios!$A$5:$A$120,0)),"")="","Tela sin $/metro (falta rendimiento o precio). ",""))&amp;IF(AND(E82&lt;&gt;"",N(IFERROR(INDEX(Recetas!$S$5:$S$84,MATCH($E82,Recetas!$A$5:$A$84,0)),0))&gt;0,G82=""),"Elegir tela 2. ","")&amp;IF(NOT(ISNUMBER(I82)),"Precio de venta.",""))</f>
        <v/>
      </c>
      <c r="Y82" s="37" t="n">
        <f aca="false">IF(AND(ISNUMBER(P82),ISNUMBER(I82),ISNUMBER(D82)),P82*D82,0)</f>
        <v>0</v>
      </c>
      <c r="Z82" s="37" t="n">
        <f aca="false">IF(AND(ISNUMBER(P82),ISNUMBER(I82),ISNUMBER(D82)),I82*D82,0)</f>
        <v>0</v>
      </c>
      <c r="AA82" s="38" t="n">
        <f aca="false">IF(AND(ISNUMBER(P82),ISNUMBER(I82),ISNUMBER(D82)),D82,0)</f>
        <v>0</v>
      </c>
    </row>
    <row r="83" customFormat="false" ht="15" hidden="false" customHeight="false" outlineLevel="0" collapsed="false">
      <c r="A83" s="34"/>
      <c r="B83" s="34"/>
      <c r="C83" s="34"/>
      <c r="D83" s="34"/>
      <c r="E83" s="34"/>
      <c r="F83" s="34"/>
      <c r="G83" s="34"/>
      <c r="H83" s="8"/>
      <c r="I83" s="8"/>
      <c r="J83" s="34"/>
      <c r="L83" s="9" t="str">
        <f aca="false">IF(OR(B83="",E83=""),"",IFERROR(INDEX(Recetas!$R$5:$R$84,MATCH($E83,Recetas!$A$5:$A$84,0))*IFERROR(INDEX(Precios!$F$5:$F$120,MATCH(F83,Precios!$A$5:$A$120,0)),"")+IF(N(INDEX(Recetas!$S$5:$S$84,MATCH($E83,Recetas!$A$5:$A$84,0)))=0,0,INDEX(Recetas!$S$5:$S$84,MATCH($E83,Recetas!$A$5:$A$84,0))*IFERROR(INDEX(Precios!$F$5:$F$120,MATCH(G83,Precios!$A$5:$A$120,0)),"")),""))</f>
        <v/>
      </c>
      <c r="M83" s="9" t="str">
        <f aca="false">IF(OR(B83="",E83=""),"",IFERROR(N(INDEX(Recetas!$L$5:$L$84,MATCH($E83,Recetas!$A$5:$A$84,0)))*Parametros!$B$27,""))</f>
        <v/>
      </c>
      <c r="N83" s="9" t="str">
        <f aca="false">IF(OR(B83="",E83=""),"",IFERROR(INDEX(Confeccion!$B$5:$B$100,MATCH(INDEX(Recetas!$M$5:$M$84,MATCH($E83,Recetas!$A$5:$A$84,0)),Confeccion!$A$5:$A$100,0)),""))</f>
        <v/>
      </c>
      <c r="O83" s="9" t="str">
        <f aca="false">IF(OR(B83="",E83=""),"",IFERROR(N(INDEX(Recetas!$O$5:$O$84,MATCH($E83,Recetas!$A$5:$A$84,0)))*INDEX(Precios!$D$5:$D$120,MATCH(INDEX(Recetas!$N$5:$N$84,MATCH($E83,Recetas!$A$5:$A$84,0)),Precios!$A$5:$A$120,0)),0))</f>
        <v/>
      </c>
      <c r="P83" s="26" t="str">
        <f aca="false">IF(OR(B83="",E83=""),"",IF(AND(IFERROR(INDEX(Recetas!$T$5:$T$84,MATCH($E83,Recetas!$A$5:$A$84,0))="Lista",FALSE()),ISNUMBER(L83),ISNUMBER(M83),ISNUMBER(N83),N(N83)&gt;0),L83+M83+N83+N(O83)+N(H83),""))</f>
        <v/>
      </c>
      <c r="Q83" s="9" t="str">
        <f aca="false">IF(AND(ISNUMBER(P83),ISNUMBER(I83)),I83*Parametros!$B$12,"")</f>
        <v/>
      </c>
      <c r="R83" s="9" t="str">
        <f aca="false">IF(AND(ISNUMBER(P83),ISNUMBER(I83)),I83*Parametros!$B$13,"")</f>
        <v/>
      </c>
      <c r="S83" s="26" t="str">
        <f aca="false">IF(AND(ISNUMBER(P83),ISNUMBER(I83)),I83-P83-Q83-R83,"")</f>
        <v/>
      </c>
      <c r="T83" s="16" t="str">
        <f aca="false">IF(AND(ISNUMBER(P83),ISNUMBER(I83)),S83/I83,"")</f>
        <v/>
      </c>
      <c r="U83" s="9" t="str">
        <f aca="false">IF(OR(NOT(ISNUMBER(P83)),Parametros!$B$14&gt;=1),"",P83/(1-Parametros!$B$14))</f>
        <v/>
      </c>
      <c r="V83" s="9" t="str">
        <f aca="false">IF(OR(NOT(ISNUMBER(P83)),Parametros!$B$14+Parametros!$B$18&gt;=1),"",P83/(1-Parametros!$B$14-Parametros!$B$18))</f>
        <v/>
      </c>
      <c r="W83" s="35" t="str">
        <f aca="false">IF(B83="","",IF(E83="","SIN RECETA",IF(NOT(ISNUMBER(P83)),"FALTAN DATOS",IF(NOT(ISNUMBER(I83)),"FALTA PRECIO",IF(S83&lt;0,"PIERDE",IF(T83&lt;Parametros!$B$18,"BAJO META","OK"))))))</f>
        <v/>
      </c>
      <c r="X83" s="36" t="str">
        <f aca="false">IF(B83="","",IF(E83="","Elegir receta (molde). ",IF(ISNA(MATCH(E83,Recetas!$A$5:$A$84,0)),"La receta no existe. ",IF(IFERROR(INDEX(Recetas!$T$5:$T$84,MATCH($E83,Recetas!$A$5:$A$84,0))="Lista",FALSE()),"","Receta "&amp;E83&amp;": "&amp;INDEX(Recetas!$T$5:$T$84,MATCH($E83,Recetas!$A$5:$A$84,0)))))&amp;IF(F83="","Elegir tela. ",IF(IFERROR(INDEX(Precios!$F$5:$F$120,MATCH(F83,Precios!$A$5:$A$120,0)),"")="","Tela sin $/metro (falta rendimiento o precio). ",""))&amp;IF(AND(E83&lt;&gt;"",N(IFERROR(INDEX(Recetas!$S$5:$S$84,MATCH($E83,Recetas!$A$5:$A$84,0)),0))&gt;0,G83=""),"Elegir tela 2. ","")&amp;IF(NOT(ISNUMBER(I83)),"Precio de venta.",""))</f>
        <v/>
      </c>
      <c r="Y83" s="37" t="n">
        <f aca="false">IF(AND(ISNUMBER(P83),ISNUMBER(I83),ISNUMBER(D83)),P83*D83,0)</f>
        <v>0</v>
      </c>
      <c r="Z83" s="37" t="n">
        <f aca="false">IF(AND(ISNUMBER(P83),ISNUMBER(I83),ISNUMBER(D83)),I83*D83,0)</f>
        <v>0</v>
      </c>
      <c r="AA83" s="38" t="n">
        <f aca="false">IF(AND(ISNUMBER(P83),ISNUMBER(I83),ISNUMBER(D83)),D83,0)</f>
        <v>0</v>
      </c>
    </row>
    <row r="84" customFormat="false" ht="15" hidden="false" customHeight="false" outlineLevel="0" collapsed="false">
      <c r="A84" s="34"/>
      <c r="B84" s="34"/>
      <c r="C84" s="34"/>
      <c r="D84" s="34"/>
      <c r="E84" s="34"/>
      <c r="F84" s="34"/>
      <c r="G84" s="34"/>
      <c r="H84" s="8"/>
      <c r="I84" s="8"/>
      <c r="J84" s="34"/>
      <c r="L84" s="9" t="str">
        <f aca="false">IF(OR(B84="",E84=""),"",IFERROR(INDEX(Recetas!$R$5:$R$84,MATCH($E84,Recetas!$A$5:$A$84,0))*IFERROR(INDEX(Precios!$F$5:$F$120,MATCH(F84,Precios!$A$5:$A$120,0)),"")+IF(N(INDEX(Recetas!$S$5:$S$84,MATCH($E84,Recetas!$A$5:$A$84,0)))=0,0,INDEX(Recetas!$S$5:$S$84,MATCH($E84,Recetas!$A$5:$A$84,0))*IFERROR(INDEX(Precios!$F$5:$F$120,MATCH(G84,Precios!$A$5:$A$120,0)),"")),""))</f>
        <v/>
      </c>
      <c r="M84" s="9" t="str">
        <f aca="false">IF(OR(B84="",E84=""),"",IFERROR(N(INDEX(Recetas!$L$5:$L$84,MATCH($E84,Recetas!$A$5:$A$84,0)))*Parametros!$B$27,""))</f>
        <v/>
      </c>
      <c r="N84" s="9" t="str">
        <f aca="false">IF(OR(B84="",E84=""),"",IFERROR(INDEX(Confeccion!$B$5:$B$100,MATCH(INDEX(Recetas!$M$5:$M$84,MATCH($E84,Recetas!$A$5:$A$84,0)),Confeccion!$A$5:$A$100,0)),""))</f>
        <v/>
      </c>
      <c r="O84" s="9" t="str">
        <f aca="false">IF(OR(B84="",E84=""),"",IFERROR(N(INDEX(Recetas!$O$5:$O$84,MATCH($E84,Recetas!$A$5:$A$84,0)))*INDEX(Precios!$D$5:$D$120,MATCH(INDEX(Recetas!$N$5:$N$84,MATCH($E84,Recetas!$A$5:$A$84,0)),Precios!$A$5:$A$120,0)),0))</f>
        <v/>
      </c>
      <c r="P84" s="26" t="str">
        <f aca="false">IF(OR(B84="",E84=""),"",IF(AND(IFERROR(INDEX(Recetas!$T$5:$T$84,MATCH($E84,Recetas!$A$5:$A$84,0))="Lista",FALSE()),ISNUMBER(L84),ISNUMBER(M84),ISNUMBER(N84),N(N84)&gt;0),L84+M84+N84+N(O84)+N(H84),""))</f>
        <v/>
      </c>
      <c r="Q84" s="9" t="str">
        <f aca="false">IF(AND(ISNUMBER(P84),ISNUMBER(I84)),I84*Parametros!$B$12,"")</f>
        <v/>
      </c>
      <c r="R84" s="9" t="str">
        <f aca="false">IF(AND(ISNUMBER(P84),ISNUMBER(I84)),I84*Parametros!$B$13,"")</f>
        <v/>
      </c>
      <c r="S84" s="26" t="str">
        <f aca="false">IF(AND(ISNUMBER(P84),ISNUMBER(I84)),I84-P84-Q84-R84,"")</f>
        <v/>
      </c>
      <c r="T84" s="16" t="str">
        <f aca="false">IF(AND(ISNUMBER(P84),ISNUMBER(I84)),S84/I84,"")</f>
        <v/>
      </c>
      <c r="U84" s="9" t="str">
        <f aca="false">IF(OR(NOT(ISNUMBER(P84)),Parametros!$B$14&gt;=1),"",P84/(1-Parametros!$B$14))</f>
        <v/>
      </c>
      <c r="V84" s="9" t="str">
        <f aca="false">IF(OR(NOT(ISNUMBER(P84)),Parametros!$B$14+Parametros!$B$18&gt;=1),"",P84/(1-Parametros!$B$14-Parametros!$B$18))</f>
        <v/>
      </c>
      <c r="W84" s="35" t="str">
        <f aca="false">IF(B84="","",IF(E84="","SIN RECETA",IF(NOT(ISNUMBER(P84)),"FALTAN DATOS",IF(NOT(ISNUMBER(I84)),"FALTA PRECIO",IF(S84&lt;0,"PIERDE",IF(T84&lt;Parametros!$B$18,"BAJO META","OK"))))))</f>
        <v/>
      </c>
      <c r="X84" s="36" t="str">
        <f aca="false">IF(B84="","",IF(E84="","Elegir receta (molde). ",IF(ISNA(MATCH(E84,Recetas!$A$5:$A$84,0)),"La receta no existe. ",IF(IFERROR(INDEX(Recetas!$T$5:$T$84,MATCH($E84,Recetas!$A$5:$A$84,0))="Lista",FALSE()),"","Receta "&amp;E84&amp;": "&amp;INDEX(Recetas!$T$5:$T$84,MATCH($E84,Recetas!$A$5:$A$84,0)))))&amp;IF(F84="","Elegir tela. ",IF(IFERROR(INDEX(Precios!$F$5:$F$120,MATCH(F84,Precios!$A$5:$A$120,0)),"")="","Tela sin $/metro (falta rendimiento o precio). ",""))&amp;IF(AND(E84&lt;&gt;"",N(IFERROR(INDEX(Recetas!$S$5:$S$84,MATCH($E84,Recetas!$A$5:$A$84,0)),0))&gt;0,G84=""),"Elegir tela 2. ","")&amp;IF(NOT(ISNUMBER(I84)),"Precio de venta.",""))</f>
        <v/>
      </c>
      <c r="Y84" s="37" t="n">
        <f aca="false">IF(AND(ISNUMBER(P84),ISNUMBER(I84),ISNUMBER(D84)),P84*D84,0)</f>
        <v>0</v>
      </c>
      <c r="Z84" s="37" t="n">
        <f aca="false">IF(AND(ISNUMBER(P84),ISNUMBER(I84),ISNUMBER(D84)),I84*D84,0)</f>
        <v>0</v>
      </c>
      <c r="AA84" s="38" t="n">
        <f aca="false">IF(AND(ISNUMBER(P84),ISNUMBER(I84),ISNUMBER(D84)),D84,0)</f>
        <v>0</v>
      </c>
    </row>
    <row r="85" customFormat="false" ht="15" hidden="false" customHeight="false" outlineLevel="0" collapsed="false">
      <c r="A85" s="34"/>
      <c r="B85" s="34"/>
      <c r="C85" s="34"/>
      <c r="D85" s="34"/>
      <c r="E85" s="34"/>
      <c r="F85" s="34"/>
      <c r="G85" s="34"/>
      <c r="H85" s="8"/>
      <c r="I85" s="8"/>
      <c r="J85" s="34"/>
      <c r="L85" s="9" t="str">
        <f aca="false">IF(OR(B85="",E85=""),"",IFERROR(INDEX(Recetas!$R$5:$R$84,MATCH($E85,Recetas!$A$5:$A$84,0))*IFERROR(INDEX(Precios!$F$5:$F$120,MATCH(F85,Precios!$A$5:$A$120,0)),"")+IF(N(INDEX(Recetas!$S$5:$S$84,MATCH($E85,Recetas!$A$5:$A$84,0)))=0,0,INDEX(Recetas!$S$5:$S$84,MATCH($E85,Recetas!$A$5:$A$84,0))*IFERROR(INDEX(Precios!$F$5:$F$120,MATCH(G85,Precios!$A$5:$A$120,0)),"")),""))</f>
        <v/>
      </c>
      <c r="M85" s="9" t="str">
        <f aca="false">IF(OR(B85="",E85=""),"",IFERROR(N(INDEX(Recetas!$L$5:$L$84,MATCH($E85,Recetas!$A$5:$A$84,0)))*Parametros!$B$27,""))</f>
        <v/>
      </c>
      <c r="N85" s="9" t="str">
        <f aca="false">IF(OR(B85="",E85=""),"",IFERROR(INDEX(Confeccion!$B$5:$B$100,MATCH(INDEX(Recetas!$M$5:$M$84,MATCH($E85,Recetas!$A$5:$A$84,0)),Confeccion!$A$5:$A$100,0)),""))</f>
        <v/>
      </c>
      <c r="O85" s="9" t="str">
        <f aca="false">IF(OR(B85="",E85=""),"",IFERROR(N(INDEX(Recetas!$O$5:$O$84,MATCH($E85,Recetas!$A$5:$A$84,0)))*INDEX(Precios!$D$5:$D$120,MATCH(INDEX(Recetas!$N$5:$N$84,MATCH($E85,Recetas!$A$5:$A$84,0)),Precios!$A$5:$A$120,0)),0))</f>
        <v/>
      </c>
      <c r="P85" s="26" t="str">
        <f aca="false">IF(OR(B85="",E85=""),"",IF(AND(IFERROR(INDEX(Recetas!$T$5:$T$84,MATCH($E85,Recetas!$A$5:$A$84,0))="Lista",FALSE()),ISNUMBER(L85),ISNUMBER(M85),ISNUMBER(N85),N(N85)&gt;0),L85+M85+N85+N(O85)+N(H85),""))</f>
        <v/>
      </c>
      <c r="Q85" s="9" t="str">
        <f aca="false">IF(AND(ISNUMBER(P85),ISNUMBER(I85)),I85*Parametros!$B$12,"")</f>
        <v/>
      </c>
      <c r="R85" s="9" t="str">
        <f aca="false">IF(AND(ISNUMBER(P85),ISNUMBER(I85)),I85*Parametros!$B$13,"")</f>
        <v/>
      </c>
      <c r="S85" s="26" t="str">
        <f aca="false">IF(AND(ISNUMBER(P85),ISNUMBER(I85)),I85-P85-Q85-R85,"")</f>
        <v/>
      </c>
      <c r="T85" s="16" t="str">
        <f aca="false">IF(AND(ISNUMBER(P85),ISNUMBER(I85)),S85/I85,"")</f>
        <v/>
      </c>
      <c r="U85" s="9" t="str">
        <f aca="false">IF(OR(NOT(ISNUMBER(P85)),Parametros!$B$14&gt;=1),"",P85/(1-Parametros!$B$14))</f>
        <v/>
      </c>
      <c r="V85" s="9" t="str">
        <f aca="false">IF(OR(NOT(ISNUMBER(P85)),Parametros!$B$14+Parametros!$B$18&gt;=1),"",P85/(1-Parametros!$B$14-Parametros!$B$18))</f>
        <v/>
      </c>
      <c r="W85" s="35" t="str">
        <f aca="false">IF(B85="","",IF(E85="","SIN RECETA",IF(NOT(ISNUMBER(P85)),"FALTAN DATOS",IF(NOT(ISNUMBER(I85)),"FALTA PRECIO",IF(S85&lt;0,"PIERDE",IF(T85&lt;Parametros!$B$18,"BAJO META","OK"))))))</f>
        <v/>
      </c>
      <c r="X85" s="36" t="str">
        <f aca="false">IF(B85="","",IF(E85="","Elegir receta (molde). ",IF(ISNA(MATCH(E85,Recetas!$A$5:$A$84,0)),"La receta no existe. ",IF(IFERROR(INDEX(Recetas!$T$5:$T$84,MATCH($E85,Recetas!$A$5:$A$84,0))="Lista",FALSE()),"","Receta "&amp;E85&amp;": "&amp;INDEX(Recetas!$T$5:$T$84,MATCH($E85,Recetas!$A$5:$A$84,0)))))&amp;IF(F85="","Elegir tela. ",IF(IFERROR(INDEX(Precios!$F$5:$F$120,MATCH(F85,Precios!$A$5:$A$120,0)),"")="","Tela sin $/metro (falta rendimiento o precio). ",""))&amp;IF(AND(E85&lt;&gt;"",N(IFERROR(INDEX(Recetas!$S$5:$S$84,MATCH($E85,Recetas!$A$5:$A$84,0)),0))&gt;0,G85=""),"Elegir tela 2. ","")&amp;IF(NOT(ISNUMBER(I85)),"Precio de venta.",""))</f>
        <v/>
      </c>
      <c r="Y85" s="37" t="n">
        <f aca="false">IF(AND(ISNUMBER(P85),ISNUMBER(I85),ISNUMBER(D85)),P85*D85,0)</f>
        <v>0</v>
      </c>
      <c r="Z85" s="37" t="n">
        <f aca="false">IF(AND(ISNUMBER(P85),ISNUMBER(I85),ISNUMBER(D85)),I85*D85,0)</f>
        <v>0</v>
      </c>
      <c r="AA85" s="38" t="n">
        <f aca="false">IF(AND(ISNUMBER(P85),ISNUMBER(I85),ISNUMBER(D85)),D85,0)</f>
        <v>0</v>
      </c>
    </row>
    <row r="86" customFormat="false" ht="15" hidden="false" customHeight="false" outlineLevel="0" collapsed="false">
      <c r="A86" s="34"/>
      <c r="B86" s="34"/>
      <c r="C86" s="34"/>
      <c r="D86" s="34"/>
      <c r="E86" s="34"/>
      <c r="F86" s="34"/>
      <c r="G86" s="34"/>
      <c r="H86" s="8"/>
      <c r="I86" s="8"/>
      <c r="J86" s="34"/>
      <c r="L86" s="9" t="str">
        <f aca="false">IF(OR(B86="",E86=""),"",IFERROR(INDEX(Recetas!$R$5:$R$84,MATCH($E86,Recetas!$A$5:$A$84,0))*IFERROR(INDEX(Precios!$F$5:$F$120,MATCH(F86,Precios!$A$5:$A$120,0)),"")+IF(N(INDEX(Recetas!$S$5:$S$84,MATCH($E86,Recetas!$A$5:$A$84,0)))=0,0,INDEX(Recetas!$S$5:$S$84,MATCH($E86,Recetas!$A$5:$A$84,0))*IFERROR(INDEX(Precios!$F$5:$F$120,MATCH(G86,Precios!$A$5:$A$120,0)),"")),""))</f>
        <v/>
      </c>
      <c r="M86" s="9" t="str">
        <f aca="false">IF(OR(B86="",E86=""),"",IFERROR(N(INDEX(Recetas!$L$5:$L$84,MATCH($E86,Recetas!$A$5:$A$84,0)))*Parametros!$B$27,""))</f>
        <v/>
      </c>
      <c r="N86" s="9" t="str">
        <f aca="false">IF(OR(B86="",E86=""),"",IFERROR(INDEX(Confeccion!$B$5:$B$100,MATCH(INDEX(Recetas!$M$5:$M$84,MATCH($E86,Recetas!$A$5:$A$84,0)),Confeccion!$A$5:$A$100,0)),""))</f>
        <v/>
      </c>
      <c r="O86" s="9" t="str">
        <f aca="false">IF(OR(B86="",E86=""),"",IFERROR(N(INDEX(Recetas!$O$5:$O$84,MATCH($E86,Recetas!$A$5:$A$84,0)))*INDEX(Precios!$D$5:$D$120,MATCH(INDEX(Recetas!$N$5:$N$84,MATCH($E86,Recetas!$A$5:$A$84,0)),Precios!$A$5:$A$120,0)),0))</f>
        <v/>
      </c>
      <c r="P86" s="26" t="str">
        <f aca="false">IF(OR(B86="",E86=""),"",IF(AND(IFERROR(INDEX(Recetas!$T$5:$T$84,MATCH($E86,Recetas!$A$5:$A$84,0))="Lista",FALSE()),ISNUMBER(L86),ISNUMBER(M86),ISNUMBER(N86),N(N86)&gt;0),L86+M86+N86+N(O86)+N(H86),""))</f>
        <v/>
      </c>
      <c r="Q86" s="9" t="str">
        <f aca="false">IF(AND(ISNUMBER(P86),ISNUMBER(I86)),I86*Parametros!$B$12,"")</f>
        <v/>
      </c>
      <c r="R86" s="9" t="str">
        <f aca="false">IF(AND(ISNUMBER(P86),ISNUMBER(I86)),I86*Parametros!$B$13,"")</f>
        <v/>
      </c>
      <c r="S86" s="26" t="str">
        <f aca="false">IF(AND(ISNUMBER(P86),ISNUMBER(I86)),I86-P86-Q86-R86,"")</f>
        <v/>
      </c>
      <c r="T86" s="16" t="str">
        <f aca="false">IF(AND(ISNUMBER(P86),ISNUMBER(I86)),S86/I86,"")</f>
        <v/>
      </c>
      <c r="U86" s="9" t="str">
        <f aca="false">IF(OR(NOT(ISNUMBER(P86)),Parametros!$B$14&gt;=1),"",P86/(1-Parametros!$B$14))</f>
        <v/>
      </c>
      <c r="V86" s="9" t="str">
        <f aca="false">IF(OR(NOT(ISNUMBER(P86)),Parametros!$B$14+Parametros!$B$18&gt;=1),"",P86/(1-Parametros!$B$14-Parametros!$B$18))</f>
        <v/>
      </c>
      <c r="W86" s="35" t="str">
        <f aca="false">IF(B86="","",IF(E86="","SIN RECETA",IF(NOT(ISNUMBER(P86)),"FALTAN DATOS",IF(NOT(ISNUMBER(I86)),"FALTA PRECIO",IF(S86&lt;0,"PIERDE",IF(T86&lt;Parametros!$B$18,"BAJO META","OK"))))))</f>
        <v/>
      </c>
      <c r="X86" s="36" t="str">
        <f aca="false">IF(B86="","",IF(E86="","Elegir receta (molde). ",IF(ISNA(MATCH(E86,Recetas!$A$5:$A$84,0)),"La receta no existe. ",IF(IFERROR(INDEX(Recetas!$T$5:$T$84,MATCH($E86,Recetas!$A$5:$A$84,0))="Lista",FALSE()),"","Receta "&amp;E86&amp;": "&amp;INDEX(Recetas!$T$5:$T$84,MATCH($E86,Recetas!$A$5:$A$84,0)))))&amp;IF(F86="","Elegir tela. ",IF(IFERROR(INDEX(Precios!$F$5:$F$120,MATCH(F86,Precios!$A$5:$A$120,0)),"")="","Tela sin $/metro (falta rendimiento o precio). ",""))&amp;IF(AND(E86&lt;&gt;"",N(IFERROR(INDEX(Recetas!$S$5:$S$84,MATCH($E86,Recetas!$A$5:$A$84,0)),0))&gt;0,G86=""),"Elegir tela 2. ","")&amp;IF(NOT(ISNUMBER(I86)),"Precio de venta.",""))</f>
        <v/>
      </c>
      <c r="Y86" s="37" t="n">
        <f aca="false">IF(AND(ISNUMBER(P86),ISNUMBER(I86),ISNUMBER(D86)),P86*D86,0)</f>
        <v>0</v>
      </c>
      <c r="Z86" s="37" t="n">
        <f aca="false">IF(AND(ISNUMBER(P86),ISNUMBER(I86),ISNUMBER(D86)),I86*D86,0)</f>
        <v>0</v>
      </c>
      <c r="AA86" s="38" t="n">
        <f aca="false">IF(AND(ISNUMBER(P86),ISNUMBER(I86),ISNUMBER(D86)),D86,0)</f>
        <v>0</v>
      </c>
    </row>
    <row r="87" customFormat="false" ht="15" hidden="false" customHeight="false" outlineLevel="0" collapsed="false">
      <c r="A87" s="34"/>
      <c r="B87" s="34"/>
      <c r="C87" s="34"/>
      <c r="D87" s="34"/>
      <c r="E87" s="34"/>
      <c r="F87" s="34"/>
      <c r="G87" s="34"/>
      <c r="H87" s="8"/>
      <c r="I87" s="8"/>
      <c r="J87" s="34"/>
      <c r="L87" s="9" t="str">
        <f aca="false">IF(OR(B87="",E87=""),"",IFERROR(INDEX(Recetas!$R$5:$R$84,MATCH($E87,Recetas!$A$5:$A$84,0))*IFERROR(INDEX(Precios!$F$5:$F$120,MATCH(F87,Precios!$A$5:$A$120,0)),"")+IF(N(INDEX(Recetas!$S$5:$S$84,MATCH($E87,Recetas!$A$5:$A$84,0)))=0,0,INDEX(Recetas!$S$5:$S$84,MATCH($E87,Recetas!$A$5:$A$84,0))*IFERROR(INDEX(Precios!$F$5:$F$120,MATCH(G87,Precios!$A$5:$A$120,0)),"")),""))</f>
        <v/>
      </c>
      <c r="M87" s="9" t="str">
        <f aca="false">IF(OR(B87="",E87=""),"",IFERROR(N(INDEX(Recetas!$L$5:$L$84,MATCH($E87,Recetas!$A$5:$A$84,0)))*Parametros!$B$27,""))</f>
        <v/>
      </c>
      <c r="N87" s="9" t="str">
        <f aca="false">IF(OR(B87="",E87=""),"",IFERROR(INDEX(Confeccion!$B$5:$B$100,MATCH(INDEX(Recetas!$M$5:$M$84,MATCH($E87,Recetas!$A$5:$A$84,0)),Confeccion!$A$5:$A$100,0)),""))</f>
        <v/>
      </c>
      <c r="O87" s="9" t="str">
        <f aca="false">IF(OR(B87="",E87=""),"",IFERROR(N(INDEX(Recetas!$O$5:$O$84,MATCH($E87,Recetas!$A$5:$A$84,0)))*INDEX(Precios!$D$5:$D$120,MATCH(INDEX(Recetas!$N$5:$N$84,MATCH($E87,Recetas!$A$5:$A$84,0)),Precios!$A$5:$A$120,0)),0))</f>
        <v/>
      </c>
      <c r="P87" s="26" t="str">
        <f aca="false">IF(OR(B87="",E87=""),"",IF(AND(IFERROR(INDEX(Recetas!$T$5:$T$84,MATCH($E87,Recetas!$A$5:$A$84,0))="Lista",FALSE()),ISNUMBER(L87),ISNUMBER(M87),ISNUMBER(N87),N(N87)&gt;0),L87+M87+N87+N(O87)+N(H87),""))</f>
        <v/>
      </c>
      <c r="Q87" s="9" t="str">
        <f aca="false">IF(AND(ISNUMBER(P87),ISNUMBER(I87)),I87*Parametros!$B$12,"")</f>
        <v/>
      </c>
      <c r="R87" s="9" t="str">
        <f aca="false">IF(AND(ISNUMBER(P87),ISNUMBER(I87)),I87*Parametros!$B$13,"")</f>
        <v/>
      </c>
      <c r="S87" s="26" t="str">
        <f aca="false">IF(AND(ISNUMBER(P87),ISNUMBER(I87)),I87-P87-Q87-R87,"")</f>
        <v/>
      </c>
      <c r="T87" s="16" t="str">
        <f aca="false">IF(AND(ISNUMBER(P87),ISNUMBER(I87)),S87/I87,"")</f>
        <v/>
      </c>
      <c r="U87" s="9" t="str">
        <f aca="false">IF(OR(NOT(ISNUMBER(P87)),Parametros!$B$14&gt;=1),"",P87/(1-Parametros!$B$14))</f>
        <v/>
      </c>
      <c r="V87" s="9" t="str">
        <f aca="false">IF(OR(NOT(ISNUMBER(P87)),Parametros!$B$14+Parametros!$B$18&gt;=1),"",P87/(1-Parametros!$B$14-Parametros!$B$18))</f>
        <v/>
      </c>
      <c r="W87" s="35" t="str">
        <f aca="false">IF(B87="","",IF(E87="","SIN RECETA",IF(NOT(ISNUMBER(P87)),"FALTAN DATOS",IF(NOT(ISNUMBER(I87)),"FALTA PRECIO",IF(S87&lt;0,"PIERDE",IF(T87&lt;Parametros!$B$18,"BAJO META","OK"))))))</f>
        <v/>
      </c>
      <c r="X87" s="36" t="str">
        <f aca="false">IF(B87="","",IF(E87="","Elegir receta (molde). ",IF(ISNA(MATCH(E87,Recetas!$A$5:$A$84,0)),"La receta no existe. ",IF(IFERROR(INDEX(Recetas!$T$5:$T$84,MATCH($E87,Recetas!$A$5:$A$84,0))="Lista",FALSE()),"","Receta "&amp;E87&amp;": "&amp;INDEX(Recetas!$T$5:$T$84,MATCH($E87,Recetas!$A$5:$A$84,0)))))&amp;IF(F87="","Elegir tela. ",IF(IFERROR(INDEX(Precios!$F$5:$F$120,MATCH(F87,Precios!$A$5:$A$120,0)),"")="","Tela sin $/metro (falta rendimiento o precio). ",""))&amp;IF(AND(E87&lt;&gt;"",N(IFERROR(INDEX(Recetas!$S$5:$S$84,MATCH($E87,Recetas!$A$5:$A$84,0)),0))&gt;0,G87=""),"Elegir tela 2. ","")&amp;IF(NOT(ISNUMBER(I87)),"Precio de venta.",""))</f>
        <v/>
      </c>
      <c r="Y87" s="37" t="n">
        <f aca="false">IF(AND(ISNUMBER(P87),ISNUMBER(I87),ISNUMBER(D87)),P87*D87,0)</f>
        <v>0</v>
      </c>
      <c r="Z87" s="37" t="n">
        <f aca="false">IF(AND(ISNUMBER(P87),ISNUMBER(I87),ISNUMBER(D87)),I87*D87,0)</f>
        <v>0</v>
      </c>
      <c r="AA87" s="38" t="n">
        <f aca="false">IF(AND(ISNUMBER(P87),ISNUMBER(I87),ISNUMBER(D87)),D87,0)</f>
        <v>0</v>
      </c>
    </row>
    <row r="88" customFormat="false" ht="15" hidden="false" customHeight="false" outlineLevel="0" collapsed="false">
      <c r="A88" s="34"/>
      <c r="B88" s="34"/>
      <c r="C88" s="34"/>
      <c r="D88" s="34"/>
      <c r="E88" s="34"/>
      <c r="F88" s="34"/>
      <c r="G88" s="34"/>
      <c r="H88" s="8"/>
      <c r="I88" s="8"/>
      <c r="J88" s="34"/>
      <c r="L88" s="9" t="str">
        <f aca="false">IF(OR(B88="",E88=""),"",IFERROR(INDEX(Recetas!$R$5:$R$84,MATCH($E88,Recetas!$A$5:$A$84,0))*IFERROR(INDEX(Precios!$F$5:$F$120,MATCH(F88,Precios!$A$5:$A$120,0)),"")+IF(N(INDEX(Recetas!$S$5:$S$84,MATCH($E88,Recetas!$A$5:$A$84,0)))=0,0,INDEX(Recetas!$S$5:$S$84,MATCH($E88,Recetas!$A$5:$A$84,0))*IFERROR(INDEX(Precios!$F$5:$F$120,MATCH(G88,Precios!$A$5:$A$120,0)),"")),""))</f>
        <v/>
      </c>
      <c r="M88" s="9" t="str">
        <f aca="false">IF(OR(B88="",E88=""),"",IFERROR(N(INDEX(Recetas!$L$5:$L$84,MATCH($E88,Recetas!$A$5:$A$84,0)))*Parametros!$B$27,""))</f>
        <v/>
      </c>
      <c r="N88" s="9" t="str">
        <f aca="false">IF(OR(B88="",E88=""),"",IFERROR(INDEX(Confeccion!$B$5:$B$100,MATCH(INDEX(Recetas!$M$5:$M$84,MATCH($E88,Recetas!$A$5:$A$84,0)),Confeccion!$A$5:$A$100,0)),""))</f>
        <v/>
      </c>
      <c r="O88" s="9" t="str">
        <f aca="false">IF(OR(B88="",E88=""),"",IFERROR(N(INDEX(Recetas!$O$5:$O$84,MATCH($E88,Recetas!$A$5:$A$84,0)))*INDEX(Precios!$D$5:$D$120,MATCH(INDEX(Recetas!$N$5:$N$84,MATCH($E88,Recetas!$A$5:$A$84,0)),Precios!$A$5:$A$120,0)),0))</f>
        <v/>
      </c>
      <c r="P88" s="26" t="str">
        <f aca="false">IF(OR(B88="",E88=""),"",IF(AND(IFERROR(INDEX(Recetas!$T$5:$T$84,MATCH($E88,Recetas!$A$5:$A$84,0))="Lista",FALSE()),ISNUMBER(L88),ISNUMBER(M88),ISNUMBER(N88),N(N88)&gt;0),L88+M88+N88+N(O88)+N(H88),""))</f>
        <v/>
      </c>
      <c r="Q88" s="9" t="str">
        <f aca="false">IF(AND(ISNUMBER(P88),ISNUMBER(I88)),I88*Parametros!$B$12,"")</f>
        <v/>
      </c>
      <c r="R88" s="9" t="str">
        <f aca="false">IF(AND(ISNUMBER(P88),ISNUMBER(I88)),I88*Parametros!$B$13,"")</f>
        <v/>
      </c>
      <c r="S88" s="26" t="str">
        <f aca="false">IF(AND(ISNUMBER(P88),ISNUMBER(I88)),I88-P88-Q88-R88,"")</f>
        <v/>
      </c>
      <c r="T88" s="16" t="str">
        <f aca="false">IF(AND(ISNUMBER(P88),ISNUMBER(I88)),S88/I88,"")</f>
        <v/>
      </c>
      <c r="U88" s="9" t="str">
        <f aca="false">IF(OR(NOT(ISNUMBER(P88)),Parametros!$B$14&gt;=1),"",P88/(1-Parametros!$B$14))</f>
        <v/>
      </c>
      <c r="V88" s="9" t="str">
        <f aca="false">IF(OR(NOT(ISNUMBER(P88)),Parametros!$B$14+Parametros!$B$18&gt;=1),"",P88/(1-Parametros!$B$14-Parametros!$B$18))</f>
        <v/>
      </c>
      <c r="W88" s="35" t="str">
        <f aca="false">IF(B88="","",IF(E88="","SIN RECETA",IF(NOT(ISNUMBER(P88)),"FALTAN DATOS",IF(NOT(ISNUMBER(I88)),"FALTA PRECIO",IF(S88&lt;0,"PIERDE",IF(T88&lt;Parametros!$B$18,"BAJO META","OK"))))))</f>
        <v/>
      </c>
      <c r="X88" s="36" t="str">
        <f aca="false">IF(B88="","",IF(E88="","Elegir receta (molde). ",IF(ISNA(MATCH(E88,Recetas!$A$5:$A$84,0)),"La receta no existe. ",IF(IFERROR(INDEX(Recetas!$T$5:$T$84,MATCH($E88,Recetas!$A$5:$A$84,0))="Lista",FALSE()),"","Receta "&amp;E88&amp;": "&amp;INDEX(Recetas!$T$5:$T$84,MATCH($E88,Recetas!$A$5:$A$84,0)))))&amp;IF(F88="","Elegir tela. ",IF(IFERROR(INDEX(Precios!$F$5:$F$120,MATCH(F88,Precios!$A$5:$A$120,0)),"")="","Tela sin $/metro (falta rendimiento o precio). ",""))&amp;IF(AND(E88&lt;&gt;"",N(IFERROR(INDEX(Recetas!$S$5:$S$84,MATCH($E88,Recetas!$A$5:$A$84,0)),0))&gt;0,G88=""),"Elegir tela 2. ","")&amp;IF(NOT(ISNUMBER(I88)),"Precio de venta.",""))</f>
        <v/>
      </c>
      <c r="Y88" s="37" t="n">
        <f aca="false">IF(AND(ISNUMBER(P88),ISNUMBER(I88),ISNUMBER(D88)),P88*D88,0)</f>
        <v>0</v>
      </c>
      <c r="Z88" s="37" t="n">
        <f aca="false">IF(AND(ISNUMBER(P88),ISNUMBER(I88),ISNUMBER(D88)),I88*D88,0)</f>
        <v>0</v>
      </c>
      <c r="AA88" s="38" t="n">
        <f aca="false">IF(AND(ISNUMBER(P88),ISNUMBER(I88),ISNUMBER(D88)),D88,0)</f>
        <v>0</v>
      </c>
    </row>
    <row r="89" customFormat="false" ht="15" hidden="false" customHeight="false" outlineLevel="0" collapsed="false">
      <c r="A89" s="34"/>
      <c r="B89" s="34"/>
      <c r="C89" s="34"/>
      <c r="D89" s="34"/>
      <c r="E89" s="34"/>
      <c r="F89" s="34"/>
      <c r="G89" s="34"/>
      <c r="H89" s="8"/>
      <c r="I89" s="8"/>
      <c r="J89" s="34"/>
      <c r="L89" s="9" t="str">
        <f aca="false">IF(OR(B89="",E89=""),"",IFERROR(INDEX(Recetas!$R$5:$R$84,MATCH($E89,Recetas!$A$5:$A$84,0))*IFERROR(INDEX(Precios!$F$5:$F$120,MATCH(F89,Precios!$A$5:$A$120,0)),"")+IF(N(INDEX(Recetas!$S$5:$S$84,MATCH($E89,Recetas!$A$5:$A$84,0)))=0,0,INDEX(Recetas!$S$5:$S$84,MATCH($E89,Recetas!$A$5:$A$84,0))*IFERROR(INDEX(Precios!$F$5:$F$120,MATCH(G89,Precios!$A$5:$A$120,0)),"")),""))</f>
        <v/>
      </c>
      <c r="M89" s="9" t="str">
        <f aca="false">IF(OR(B89="",E89=""),"",IFERROR(N(INDEX(Recetas!$L$5:$L$84,MATCH($E89,Recetas!$A$5:$A$84,0)))*Parametros!$B$27,""))</f>
        <v/>
      </c>
      <c r="N89" s="9" t="str">
        <f aca="false">IF(OR(B89="",E89=""),"",IFERROR(INDEX(Confeccion!$B$5:$B$100,MATCH(INDEX(Recetas!$M$5:$M$84,MATCH($E89,Recetas!$A$5:$A$84,0)),Confeccion!$A$5:$A$100,0)),""))</f>
        <v/>
      </c>
      <c r="O89" s="9" t="str">
        <f aca="false">IF(OR(B89="",E89=""),"",IFERROR(N(INDEX(Recetas!$O$5:$O$84,MATCH($E89,Recetas!$A$5:$A$84,0)))*INDEX(Precios!$D$5:$D$120,MATCH(INDEX(Recetas!$N$5:$N$84,MATCH($E89,Recetas!$A$5:$A$84,0)),Precios!$A$5:$A$120,0)),0))</f>
        <v/>
      </c>
      <c r="P89" s="26" t="str">
        <f aca="false">IF(OR(B89="",E89=""),"",IF(AND(IFERROR(INDEX(Recetas!$T$5:$T$84,MATCH($E89,Recetas!$A$5:$A$84,0))="Lista",FALSE()),ISNUMBER(L89),ISNUMBER(M89),ISNUMBER(N89),N(N89)&gt;0),L89+M89+N89+N(O89)+N(H89),""))</f>
        <v/>
      </c>
      <c r="Q89" s="9" t="str">
        <f aca="false">IF(AND(ISNUMBER(P89),ISNUMBER(I89)),I89*Parametros!$B$12,"")</f>
        <v/>
      </c>
      <c r="R89" s="9" t="str">
        <f aca="false">IF(AND(ISNUMBER(P89),ISNUMBER(I89)),I89*Parametros!$B$13,"")</f>
        <v/>
      </c>
      <c r="S89" s="26" t="str">
        <f aca="false">IF(AND(ISNUMBER(P89),ISNUMBER(I89)),I89-P89-Q89-R89,"")</f>
        <v/>
      </c>
      <c r="T89" s="16" t="str">
        <f aca="false">IF(AND(ISNUMBER(P89),ISNUMBER(I89)),S89/I89,"")</f>
        <v/>
      </c>
      <c r="U89" s="9" t="str">
        <f aca="false">IF(OR(NOT(ISNUMBER(P89)),Parametros!$B$14&gt;=1),"",P89/(1-Parametros!$B$14))</f>
        <v/>
      </c>
      <c r="V89" s="9" t="str">
        <f aca="false">IF(OR(NOT(ISNUMBER(P89)),Parametros!$B$14+Parametros!$B$18&gt;=1),"",P89/(1-Parametros!$B$14-Parametros!$B$18))</f>
        <v/>
      </c>
      <c r="W89" s="35" t="str">
        <f aca="false">IF(B89="","",IF(E89="","SIN RECETA",IF(NOT(ISNUMBER(P89)),"FALTAN DATOS",IF(NOT(ISNUMBER(I89)),"FALTA PRECIO",IF(S89&lt;0,"PIERDE",IF(T89&lt;Parametros!$B$18,"BAJO META","OK"))))))</f>
        <v/>
      </c>
      <c r="X89" s="36" t="str">
        <f aca="false">IF(B89="","",IF(E89="","Elegir receta (molde). ",IF(ISNA(MATCH(E89,Recetas!$A$5:$A$84,0)),"La receta no existe. ",IF(IFERROR(INDEX(Recetas!$T$5:$T$84,MATCH($E89,Recetas!$A$5:$A$84,0))="Lista",FALSE()),"","Receta "&amp;E89&amp;": "&amp;INDEX(Recetas!$T$5:$T$84,MATCH($E89,Recetas!$A$5:$A$84,0)))))&amp;IF(F89="","Elegir tela. ",IF(IFERROR(INDEX(Precios!$F$5:$F$120,MATCH(F89,Precios!$A$5:$A$120,0)),"")="","Tela sin $/metro (falta rendimiento o precio). ",""))&amp;IF(AND(E89&lt;&gt;"",N(IFERROR(INDEX(Recetas!$S$5:$S$84,MATCH($E89,Recetas!$A$5:$A$84,0)),0))&gt;0,G89=""),"Elegir tela 2. ","")&amp;IF(NOT(ISNUMBER(I89)),"Precio de venta.",""))</f>
        <v/>
      </c>
      <c r="Y89" s="37" t="n">
        <f aca="false">IF(AND(ISNUMBER(P89),ISNUMBER(I89),ISNUMBER(D89)),P89*D89,0)</f>
        <v>0</v>
      </c>
      <c r="Z89" s="37" t="n">
        <f aca="false">IF(AND(ISNUMBER(P89),ISNUMBER(I89),ISNUMBER(D89)),I89*D89,0)</f>
        <v>0</v>
      </c>
      <c r="AA89" s="38" t="n">
        <f aca="false">IF(AND(ISNUMBER(P89),ISNUMBER(I89),ISNUMBER(D89)),D89,0)</f>
        <v>0</v>
      </c>
    </row>
    <row r="90" customFormat="false" ht="15" hidden="false" customHeight="false" outlineLevel="0" collapsed="false">
      <c r="A90" s="34"/>
      <c r="B90" s="34"/>
      <c r="C90" s="34"/>
      <c r="D90" s="34"/>
      <c r="E90" s="34"/>
      <c r="F90" s="34"/>
      <c r="G90" s="34"/>
      <c r="H90" s="8"/>
      <c r="I90" s="8"/>
      <c r="J90" s="34"/>
      <c r="L90" s="9" t="str">
        <f aca="false">IF(OR(B90="",E90=""),"",IFERROR(INDEX(Recetas!$R$5:$R$84,MATCH($E90,Recetas!$A$5:$A$84,0))*IFERROR(INDEX(Precios!$F$5:$F$120,MATCH(F90,Precios!$A$5:$A$120,0)),"")+IF(N(INDEX(Recetas!$S$5:$S$84,MATCH($E90,Recetas!$A$5:$A$84,0)))=0,0,INDEX(Recetas!$S$5:$S$84,MATCH($E90,Recetas!$A$5:$A$84,0))*IFERROR(INDEX(Precios!$F$5:$F$120,MATCH(G90,Precios!$A$5:$A$120,0)),"")),""))</f>
        <v/>
      </c>
      <c r="M90" s="9" t="str">
        <f aca="false">IF(OR(B90="",E90=""),"",IFERROR(N(INDEX(Recetas!$L$5:$L$84,MATCH($E90,Recetas!$A$5:$A$84,0)))*Parametros!$B$27,""))</f>
        <v/>
      </c>
      <c r="N90" s="9" t="str">
        <f aca="false">IF(OR(B90="",E90=""),"",IFERROR(INDEX(Confeccion!$B$5:$B$100,MATCH(INDEX(Recetas!$M$5:$M$84,MATCH($E90,Recetas!$A$5:$A$84,0)),Confeccion!$A$5:$A$100,0)),""))</f>
        <v/>
      </c>
      <c r="O90" s="9" t="str">
        <f aca="false">IF(OR(B90="",E90=""),"",IFERROR(N(INDEX(Recetas!$O$5:$O$84,MATCH($E90,Recetas!$A$5:$A$84,0)))*INDEX(Precios!$D$5:$D$120,MATCH(INDEX(Recetas!$N$5:$N$84,MATCH($E90,Recetas!$A$5:$A$84,0)),Precios!$A$5:$A$120,0)),0))</f>
        <v/>
      </c>
      <c r="P90" s="26" t="str">
        <f aca="false">IF(OR(B90="",E90=""),"",IF(AND(IFERROR(INDEX(Recetas!$T$5:$T$84,MATCH($E90,Recetas!$A$5:$A$84,0))="Lista",FALSE()),ISNUMBER(L90),ISNUMBER(M90),ISNUMBER(N90),N(N90)&gt;0),L90+M90+N90+N(O90)+N(H90),""))</f>
        <v/>
      </c>
      <c r="Q90" s="9" t="str">
        <f aca="false">IF(AND(ISNUMBER(P90),ISNUMBER(I90)),I90*Parametros!$B$12,"")</f>
        <v/>
      </c>
      <c r="R90" s="9" t="str">
        <f aca="false">IF(AND(ISNUMBER(P90),ISNUMBER(I90)),I90*Parametros!$B$13,"")</f>
        <v/>
      </c>
      <c r="S90" s="26" t="str">
        <f aca="false">IF(AND(ISNUMBER(P90),ISNUMBER(I90)),I90-P90-Q90-R90,"")</f>
        <v/>
      </c>
      <c r="T90" s="16" t="str">
        <f aca="false">IF(AND(ISNUMBER(P90),ISNUMBER(I90)),S90/I90,"")</f>
        <v/>
      </c>
      <c r="U90" s="9" t="str">
        <f aca="false">IF(OR(NOT(ISNUMBER(P90)),Parametros!$B$14&gt;=1),"",P90/(1-Parametros!$B$14))</f>
        <v/>
      </c>
      <c r="V90" s="9" t="str">
        <f aca="false">IF(OR(NOT(ISNUMBER(P90)),Parametros!$B$14+Parametros!$B$18&gt;=1),"",P90/(1-Parametros!$B$14-Parametros!$B$18))</f>
        <v/>
      </c>
      <c r="W90" s="35" t="str">
        <f aca="false">IF(B90="","",IF(E90="","SIN RECETA",IF(NOT(ISNUMBER(P90)),"FALTAN DATOS",IF(NOT(ISNUMBER(I90)),"FALTA PRECIO",IF(S90&lt;0,"PIERDE",IF(T90&lt;Parametros!$B$18,"BAJO META","OK"))))))</f>
        <v/>
      </c>
      <c r="X90" s="36" t="str">
        <f aca="false">IF(B90="","",IF(E90="","Elegir receta (molde). ",IF(ISNA(MATCH(E90,Recetas!$A$5:$A$84,0)),"La receta no existe. ",IF(IFERROR(INDEX(Recetas!$T$5:$T$84,MATCH($E90,Recetas!$A$5:$A$84,0))="Lista",FALSE()),"","Receta "&amp;E90&amp;": "&amp;INDEX(Recetas!$T$5:$T$84,MATCH($E90,Recetas!$A$5:$A$84,0)))))&amp;IF(F90="","Elegir tela. ",IF(IFERROR(INDEX(Precios!$F$5:$F$120,MATCH(F90,Precios!$A$5:$A$120,0)),"")="","Tela sin $/metro (falta rendimiento o precio). ",""))&amp;IF(AND(E90&lt;&gt;"",N(IFERROR(INDEX(Recetas!$S$5:$S$84,MATCH($E90,Recetas!$A$5:$A$84,0)),0))&gt;0,G90=""),"Elegir tela 2. ","")&amp;IF(NOT(ISNUMBER(I90)),"Precio de venta.",""))</f>
        <v/>
      </c>
      <c r="Y90" s="37" t="n">
        <f aca="false">IF(AND(ISNUMBER(P90),ISNUMBER(I90),ISNUMBER(D90)),P90*D90,0)</f>
        <v>0</v>
      </c>
      <c r="Z90" s="37" t="n">
        <f aca="false">IF(AND(ISNUMBER(P90),ISNUMBER(I90),ISNUMBER(D90)),I90*D90,0)</f>
        <v>0</v>
      </c>
      <c r="AA90" s="38" t="n">
        <f aca="false">IF(AND(ISNUMBER(P90),ISNUMBER(I90),ISNUMBER(D90)),D90,0)</f>
        <v>0</v>
      </c>
    </row>
    <row r="91" customFormat="false" ht="15" hidden="false" customHeight="false" outlineLevel="0" collapsed="false">
      <c r="A91" s="34"/>
      <c r="B91" s="34"/>
      <c r="C91" s="34"/>
      <c r="D91" s="34"/>
      <c r="E91" s="34"/>
      <c r="F91" s="34"/>
      <c r="G91" s="34"/>
      <c r="H91" s="8"/>
      <c r="I91" s="8"/>
      <c r="J91" s="34"/>
      <c r="L91" s="9" t="str">
        <f aca="false">IF(OR(B91="",E91=""),"",IFERROR(INDEX(Recetas!$R$5:$R$84,MATCH($E91,Recetas!$A$5:$A$84,0))*IFERROR(INDEX(Precios!$F$5:$F$120,MATCH(F91,Precios!$A$5:$A$120,0)),"")+IF(N(INDEX(Recetas!$S$5:$S$84,MATCH($E91,Recetas!$A$5:$A$84,0)))=0,0,INDEX(Recetas!$S$5:$S$84,MATCH($E91,Recetas!$A$5:$A$84,0))*IFERROR(INDEX(Precios!$F$5:$F$120,MATCH(G91,Precios!$A$5:$A$120,0)),"")),""))</f>
        <v/>
      </c>
      <c r="M91" s="9" t="str">
        <f aca="false">IF(OR(B91="",E91=""),"",IFERROR(N(INDEX(Recetas!$L$5:$L$84,MATCH($E91,Recetas!$A$5:$A$84,0)))*Parametros!$B$27,""))</f>
        <v/>
      </c>
      <c r="N91" s="9" t="str">
        <f aca="false">IF(OR(B91="",E91=""),"",IFERROR(INDEX(Confeccion!$B$5:$B$100,MATCH(INDEX(Recetas!$M$5:$M$84,MATCH($E91,Recetas!$A$5:$A$84,0)),Confeccion!$A$5:$A$100,0)),""))</f>
        <v/>
      </c>
      <c r="O91" s="9" t="str">
        <f aca="false">IF(OR(B91="",E91=""),"",IFERROR(N(INDEX(Recetas!$O$5:$O$84,MATCH($E91,Recetas!$A$5:$A$84,0)))*INDEX(Precios!$D$5:$D$120,MATCH(INDEX(Recetas!$N$5:$N$84,MATCH($E91,Recetas!$A$5:$A$84,0)),Precios!$A$5:$A$120,0)),0))</f>
        <v/>
      </c>
      <c r="P91" s="26" t="str">
        <f aca="false">IF(OR(B91="",E91=""),"",IF(AND(IFERROR(INDEX(Recetas!$T$5:$T$84,MATCH($E91,Recetas!$A$5:$A$84,0))="Lista",FALSE()),ISNUMBER(L91),ISNUMBER(M91),ISNUMBER(N91),N(N91)&gt;0),L91+M91+N91+N(O91)+N(H91),""))</f>
        <v/>
      </c>
      <c r="Q91" s="9" t="str">
        <f aca="false">IF(AND(ISNUMBER(P91),ISNUMBER(I91)),I91*Parametros!$B$12,"")</f>
        <v/>
      </c>
      <c r="R91" s="9" t="str">
        <f aca="false">IF(AND(ISNUMBER(P91),ISNUMBER(I91)),I91*Parametros!$B$13,"")</f>
        <v/>
      </c>
      <c r="S91" s="26" t="str">
        <f aca="false">IF(AND(ISNUMBER(P91),ISNUMBER(I91)),I91-P91-Q91-R91,"")</f>
        <v/>
      </c>
      <c r="T91" s="16" t="str">
        <f aca="false">IF(AND(ISNUMBER(P91),ISNUMBER(I91)),S91/I91,"")</f>
        <v/>
      </c>
      <c r="U91" s="9" t="str">
        <f aca="false">IF(OR(NOT(ISNUMBER(P91)),Parametros!$B$14&gt;=1),"",P91/(1-Parametros!$B$14))</f>
        <v/>
      </c>
      <c r="V91" s="9" t="str">
        <f aca="false">IF(OR(NOT(ISNUMBER(P91)),Parametros!$B$14+Parametros!$B$18&gt;=1),"",P91/(1-Parametros!$B$14-Parametros!$B$18))</f>
        <v/>
      </c>
      <c r="W91" s="35" t="str">
        <f aca="false">IF(B91="","",IF(E91="","SIN RECETA",IF(NOT(ISNUMBER(P91)),"FALTAN DATOS",IF(NOT(ISNUMBER(I91)),"FALTA PRECIO",IF(S91&lt;0,"PIERDE",IF(T91&lt;Parametros!$B$18,"BAJO META","OK"))))))</f>
        <v/>
      </c>
      <c r="X91" s="36" t="str">
        <f aca="false">IF(B91="","",IF(E91="","Elegir receta (molde). ",IF(ISNA(MATCH(E91,Recetas!$A$5:$A$84,0)),"La receta no existe. ",IF(IFERROR(INDEX(Recetas!$T$5:$T$84,MATCH($E91,Recetas!$A$5:$A$84,0))="Lista",FALSE()),"","Receta "&amp;E91&amp;": "&amp;INDEX(Recetas!$T$5:$T$84,MATCH($E91,Recetas!$A$5:$A$84,0)))))&amp;IF(F91="","Elegir tela. ",IF(IFERROR(INDEX(Precios!$F$5:$F$120,MATCH(F91,Precios!$A$5:$A$120,0)),"")="","Tela sin $/metro (falta rendimiento o precio). ",""))&amp;IF(AND(E91&lt;&gt;"",N(IFERROR(INDEX(Recetas!$S$5:$S$84,MATCH($E91,Recetas!$A$5:$A$84,0)),0))&gt;0,G91=""),"Elegir tela 2. ","")&amp;IF(NOT(ISNUMBER(I91)),"Precio de venta.",""))</f>
        <v/>
      </c>
      <c r="Y91" s="37" t="n">
        <f aca="false">IF(AND(ISNUMBER(P91),ISNUMBER(I91),ISNUMBER(D91)),P91*D91,0)</f>
        <v>0</v>
      </c>
      <c r="Z91" s="37" t="n">
        <f aca="false">IF(AND(ISNUMBER(P91),ISNUMBER(I91),ISNUMBER(D91)),I91*D91,0)</f>
        <v>0</v>
      </c>
      <c r="AA91" s="38" t="n">
        <f aca="false">IF(AND(ISNUMBER(P91),ISNUMBER(I91),ISNUMBER(D91)),D91,0)</f>
        <v>0</v>
      </c>
    </row>
    <row r="92" customFormat="false" ht="15" hidden="false" customHeight="false" outlineLevel="0" collapsed="false">
      <c r="A92" s="34"/>
      <c r="B92" s="34"/>
      <c r="C92" s="34"/>
      <c r="D92" s="34"/>
      <c r="E92" s="34"/>
      <c r="F92" s="34"/>
      <c r="G92" s="34"/>
      <c r="H92" s="8"/>
      <c r="I92" s="8"/>
      <c r="J92" s="34"/>
      <c r="L92" s="9" t="str">
        <f aca="false">IF(OR(B92="",E92=""),"",IFERROR(INDEX(Recetas!$R$5:$R$84,MATCH($E92,Recetas!$A$5:$A$84,0))*IFERROR(INDEX(Precios!$F$5:$F$120,MATCH(F92,Precios!$A$5:$A$120,0)),"")+IF(N(INDEX(Recetas!$S$5:$S$84,MATCH($E92,Recetas!$A$5:$A$84,0)))=0,0,INDEX(Recetas!$S$5:$S$84,MATCH($E92,Recetas!$A$5:$A$84,0))*IFERROR(INDEX(Precios!$F$5:$F$120,MATCH(G92,Precios!$A$5:$A$120,0)),"")),""))</f>
        <v/>
      </c>
      <c r="M92" s="9" t="str">
        <f aca="false">IF(OR(B92="",E92=""),"",IFERROR(N(INDEX(Recetas!$L$5:$L$84,MATCH($E92,Recetas!$A$5:$A$84,0)))*Parametros!$B$27,""))</f>
        <v/>
      </c>
      <c r="N92" s="9" t="str">
        <f aca="false">IF(OR(B92="",E92=""),"",IFERROR(INDEX(Confeccion!$B$5:$B$100,MATCH(INDEX(Recetas!$M$5:$M$84,MATCH($E92,Recetas!$A$5:$A$84,0)),Confeccion!$A$5:$A$100,0)),""))</f>
        <v/>
      </c>
      <c r="O92" s="9" t="str">
        <f aca="false">IF(OR(B92="",E92=""),"",IFERROR(N(INDEX(Recetas!$O$5:$O$84,MATCH($E92,Recetas!$A$5:$A$84,0)))*INDEX(Precios!$D$5:$D$120,MATCH(INDEX(Recetas!$N$5:$N$84,MATCH($E92,Recetas!$A$5:$A$84,0)),Precios!$A$5:$A$120,0)),0))</f>
        <v/>
      </c>
      <c r="P92" s="26" t="str">
        <f aca="false">IF(OR(B92="",E92=""),"",IF(AND(IFERROR(INDEX(Recetas!$T$5:$T$84,MATCH($E92,Recetas!$A$5:$A$84,0))="Lista",FALSE()),ISNUMBER(L92),ISNUMBER(M92),ISNUMBER(N92),N(N92)&gt;0),L92+M92+N92+N(O92)+N(H92),""))</f>
        <v/>
      </c>
      <c r="Q92" s="9" t="str">
        <f aca="false">IF(AND(ISNUMBER(P92),ISNUMBER(I92)),I92*Parametros!$B$12,"")</f>
        <v/>
      </c>
      <c r="R92" s="9" t="str">
        <f aca="false">IF(AND(ISNUMBER(P92),ISNUMBER(I92)),I92*Parametros!$B$13,"")</f>
        <v/>
      </c>
      <c r="S92" s="26" t="str">
        <f aca="false">IF(AND(ISNUMBER(P92),ISNUMBER(I92)),I92-P92-Q92-R92,"")</f>
        <v/>
      </c>
      <c r="T92" s="16" t="str">
        <f aca="false">IF(AND(ISNUMBER(P92),ISNUMBER(I92)),S92/I92,"")</f>
        <v/>
      </c>
      <c r="U92" s="9" t="str">
        <f aca="false">IF(OR(NOT(ISNUMBER(P92)),Parametros!$B$14&gt;=1),"",P92/(1-Parametros!$B$14))</f>
        <v/>
      </c>
      <c r="V92" s="9" t="str">
        <f aca="false">IF(OR(NOT(ISNUMBER(P92)),Parametros!$B$14+Parametros!$B$18&gt;=1),"",P92/(1-Parametros!$B$14-Parametros!$B$18))</f>
        <v/>
      </c>
      <c r="W92" s="35" t="str">
        <f aca="false">IF(B92="","",IF(E92="","SIN RECETA",IF(NOT(ISNUMBER(P92)),"FALTAN DATOS",IF(NOT(ISNUMBER(I92)),"FALTA PRECIO",IF(S92&lt;0,"PIERDE",IF(T92&lt;Parametros!$B$18,"BAJO META","OK"))))))</f>
        <v/>
      </c>
      <c r="X92" s="36" t="str">
        <f aca="false">IF(B92="","",IF(E92="","Elegir receta (molde). ",IF(ISNA(MATCH(E92,Recetas!$A$5:$A$84,0)),"La receta no existe. ",IF(IFERROR(INDEX(Recetas!$T$5:$T$84,MATCH($E92,Recetas!$A$5:$A$84,0))="Lista",FALSE()),"","Receta "&amp;E92&amp;": "&amp;INDEX(Recetas!$T$5:$T$84,MATCH($E92,Recetas!$A$5:$A$84,0)))))&amp;IF(F92="","Elegir tela. ",IF(IFERROR(INDEX(Precios!$F$5:$F$120,MATCH(F92,Precios!$A$5:$A$120,0)),"")="","Tela sin $/metro (falta rendimiento o precio). ",""))&amp;IF(AND(E92&lt;&gt;"",N(IFERROR(INDEX(Recetas!$S$5:$S$84,MATCH($E92,Recetas!$A$5:$A$84,0)),0))&gt;0,G92=""),"Elegir tela 2. ","")&amp;IF(NOT(ISNUMBER(I92)),"Precio de venta.",""))</f>
        <v/>
      </c>
      <c r="Y92" s="37" t="n">
        <f aca="false">IF(AND(ISNUMBER(P92),ISNUMBER(I92),ISNUMBER(D92)),P92*D92,0)</f>
        <v>0</v>
      </c>
      <c r="Z92" s="37" t="n">
        <f aca="false">IF(AND(ISNUMBER(P92),ISNUMBER(I92),ISNUMBER(D92)),I92*D92,0)</f>
        <v>0</v>
      </c>
      <c r="AA92" s="38" t="n">
        <f aca="false">IF(AND(ISNUMBER(P92),ISNUMBER(I92),ISNUMBER(D92)),D92,0)</f>
        <v>0</v>
      </c>
    </row>
    <row r="93" customFormat="false" ht="15" hidden="false" customHeight="false" outlineLevel="0" collapsed="false">
      <c r="A93" s="34"/>
      <c r="B93" s="34"/>
      <c r="C93" s="34"/>
      <c r="D93" s="34"/>
      <c r="E93" s="34"/>
      <c r="F93" s="34"/>
      <c r="G93" s="34"/>
      <c r="H93" s="8"/>
      <c r="I93" s="8"/>
      <c r="J93" s="34"/>
      <c r="L93" s="9" t="str">
        <f aca="false">IF(OR(B93="",E93=""),"",IFERROR(INDEX(Recetas!$R$5:$R$84,MATCH($E93,Recetas!$A$5:$A$84,0))*IFERROR(INDEX(Precios!$F$5:$F$120,MATCH(F93,Precios!$A$5:$A$120,0)),"")+IF(N(INDEX(Recetas!$S$5:$S$84,MATCH($E93,Recetas!$A$5:$A$84,0)))=0,0,INDEX(Recetas!$S$5:$S$84,MATCH($E93,Recetas!$A$5:$A$84,0))*IFERROR(INDEX(Precios!$F$5:$F$120,MATCH(G93,Precios!$A$5:$A$120,0)),"")),""))</f>
        <v/>
      </c>
      <c r="M93" s="9" t="str">
        <f aca="false">IF(OR(B93="",E93=""),"",IFERROR(N(INDEX(Recetas!$L$5:$L$84,MATCH($E93,Recetas!$A$5:$A$84,0)))*Parametros!$B$27,""))</f>
        <v/>
      </c>
      <c r="N93" s="9" t="str">
        <f aca="false">IF(OR(B93="",E93=""),"",IFERROR(INDEX(Confeccion!$B$5:$B$100,MATCH(INDEX(Recetas!$M$5:$M$84,MATCH($E93,Recetas!$A$5:$A$84,0)),Confeccion!$A$5:$A$100,0)),""))</f>
        <v/>
      </c>
      <c r="O93" s="9" t="str">
        <f aca="false">IF(OR(B93="",E93=""),"",IFERROR(N(INDEX(Recetas!$O$5:$O$84,MATCH($E93,Recetas!$A$5:$A$84,0)))*INDEX(Precios!$D$5:$D$120,MATCH(INDEX(Recetas!$N$5:$N$84,MATCH($E93,Recetas!$A$5:$A$84,0)),Precios!$A$5:$A$120,0)),0))</f>
        <v/>
      </c>
      <c r="P93" s="26" t="str">
        <f aca="false">IF(OR(B93="",E93=""),"",IF(AND(IFERROR(INDEX(Recetas!$T$5:$T$84,MATCH($E93,Recetas!$A$5:$A$84,0))="Lista",FALSE()),ISNUMBER(L93),ISNUMBER(M93),ISNUMBER(N93),N(N93)&gt;0),L93+M93+N93+N(O93)+N(H93),""))</f>
        <v/>
      </c>
      <c r="Q93" s="9" t="str">
        <f aca="false">IF(AND(ISNUMBER(P93),ISNUMBER(I93)),I93*Parametros!$B$12,"")</f>
        <v/>
      </c>
      <c r="R93" s="9" t="str">
        <f aca="false">IF(AND(ISNUMBER(P93),ISNUMBER(I93)),I93*Parametros!$B$13,"")</f>
        <v/>
      </c>
      <c r="S93" s="26" t="str">
        <f aca="false">IF(AND(ISNUMBER(P93),ISNUMBER(I93)),I93-P93-Q93-R93,"")</f>
        <v/>
      </c>
      <c r="T93" s="16" t="str">
        <f aca="false">IF(AND(ISNUMBER(P93),ISNUMBER(I93)),S93/I93,"")</f>
        <v/>
      </c>
      <c r="U93" s="9" t="str">
        <f aca="false">IF(OR(NOT(ISNUMBER(P93)),Parametros!$B$14&gt;=1),"",P93/(1-Parametros!$B$14))</f>
        <v/>
      </c>
      <c r="V93" s="9" t="str">
        <f aca="false">IF(OR(NOT(ISNUMBER(P93)),Parametros!$B$14+Parametros!$B$18&gt;=1),"",P93/(1-Parametros!$B$14-Parametros!$B$18))</f>
        <v/>
      </c>
      <c r="W93" s="35" t="str">
        <f aca="false">IF(B93="","",IF(E93="","SIN RECETA",IF(NOT(ISNUMBER(P93)),"FALTAN DATOS",IF(NOT(ISNUMBER(I93)),"FALTA PRECIO",IF(S93&lt;0,"PIERDE",IF(T93&lt;Parametros!$B$18,"BAJO META","OK"))))))</f>
        <v/>
      </c>
      <c r="X93" s="36" t="str">
        <f aca="false">IF(B93="","",IF(E93="","Elegir receta (molde). ",IF(ISNA(MATCH(E93,Recetas!$A$5:$A$84,0)),"La receta no existe. ",IF(IFERROR(INDEX(Recetas!$T$5:$T$84,MATCH($E93,Recetas!$A$5:$A$84,0))="Lista",FALSE()),"","Receta "&amp;E93&amp;": "&amp;INDEX(Recetas!$T$5:$T$84,MATCH($E93,Recetas!$A$5:$A$84,0)))))&amp;IF(F93="","Elegir tela. ",IF(IFERROR(INDEX(Precios!$F$5:$F$120,MATCH(F93,Precios!$A$5:$A$120,0)),"")="","Tela sin $/metro (falta rendimiento o precio). ",""))&amp;IF(AND(E93&lt;&gt;"",N(IFERROR(INDEX(Recetas!$S$5:$S$84,MATCH($E93,Recetas!$A$5:$A$84,0)),0))&gt;0,G93=""),"Elegir tela 2. ","")&amp;IF(NOT(ISNUMBER(I93)),"Precio de venta.",""))</f>
        <v/>
      </c>
      <c r="Y93" s="37" t="n">
        <f aca="false">IF(AND(ISNUMBER(P93),ISNUMBER(I93),ISNUMBER(D93)),P93*D93,0)</f>
        <v>0</v>
      </c>
      <c r="Z93" s="37" t="n">
        <f aca="false">IF(AND(ISNUMBER(P93),ISNUMBER(I93),ISNUMBER(D93)),I93*D93,0)</f>
        <v>0</v>
      </c>
      <c r="AA93" s="38" t="n">
        <f aca="false">IF(AND(ISNUMBER(P93),ISNUMBER(I93),ISNUMBER(D93)),D93,0)</f>
        <v>0</v>
      </c>
    </row>
    <row r="94" customFormat="false" ht="15" hidden="false" customHeight="false" outlineLevel="0" collapsed="false">
      <c r="A94" s="34"/>
      <c r="B94" s="34"/>
      <c r="C94" s="34"/>
      <c r="D94" s="34"/>
      <c r="E94" s="34"/>
      <c r="F94" s="34"/>
      <c r="G94" s="34"/>
      <c r="H94" s="8"/>
      <c r="I94" s="8"/>
      <c r="J94" s="34"/>
      <c r="L94" s="9" t="str">
        <f aca="false">IF(OR(B94="",E94=""),"",IFERROR(INDEX(Recetas!$R$5:$R$84,MATCH($E94,Recetas!$A$5:$A$84,0))*IFERROR(INDEX(Precios!$F$5:$F$120,MATCH(F94,Precios!$A$5:$A$120,0)),"")+IF(N(INDEX(Recetas!$S$5:$S$84,MATCH($E94,Recetas!$A$5:$A$84,0)))=0,0,INDEX(Recetas!$S$5:$S$84,MATCH($E94,Recetas!$A$5:$A$84,0))*IFERROR(INDEX(Precios!$F$5:$F$120,MATCH(G94,Precios!$A$5:$A$120,0)),"")),""))</f>
        <v/>
      </c>
      <c r="M94" s="9" t="str">
        <f aca="false">IF(OR(B94="",E94=""),"",IFERROR(N(INDEX(Recetas!$L$5:$L$84,MATCH($E94,Recetas!$A$5:$A$84,0)))*Parametros!$B$27,""))</f>
        <v/>
      </c>
      <c r="N94" s="9" t="str">
        <f aca="false">IF(OR(B94="",E94=""),"",IFERROR(INDEX(Confeccion!$B$5:$B$100,MATCH(INDEX(Recetas!$M$5:$M$84,MATCH($E94,Recetas!$A$5:$A$84,0)),Confeccion!$A$5:$A$100,0)),""))</f>
        <v/>
      </c>
      <c r="O94" s="9" t="str">
        <f aca="false">IF(OR(B94="",E94=""),"",IFERROR(N(INDEX(Recetas!$O$5:$O$84,MATCH($E94,Recetas!$A$5:$A$84,0)))*INDEX(Precios!$D$5:$D$120,MATCH(INDEX(Recetas!$N$5:$N$84,MATCH($E94,Recetas!$A$5:$A$84,0)),Precios!$A$5:$A$120,0)),0))</f>
        <v/>
      </c>
      <c r="P94" s="26" t="str">
        <f aca="false">IF(OR(B94="",E94=""),"",IF(AND(IFERROR(INDEX(Recetas!$T$5:$T$84,MATCH($E94,Recetas!$A$5:$A$84,0))="Lista",FALSE()),ISNUMBER(L94),ISNUMBER(M94),ISNUMBER(N94),N(N94)&gt;0),L94+M94+N94+N(O94)+N(H94),""))</f>
        <v/>
      </c>
      <c r="Q94" s="9" t="str">
        <f aca="false">IF(AND(ISNUMBER(P94),ISNUMBER(I94)),I94*Parametros!$B$12,"")</f>
        <v/>
      </c>
      <c r="R94" s="9" t="str">
        <f aca="false">IF(AND(ISNUMBER(P94),ISNUMBER(I94)),I94*Parametros!$B$13,"")</f>
        <v/>
      </c>
      <c r="S94" s="26" t="str">
        <f aca="false">IF(AND(ISNUMBER(P94),ISNUMBER(I94)),I94-P94-Q94-R94,"")</f>
        <v/>
      </c>
      <c r="T94" s="16" t="str">
        <f aca="false">IF(AND(ISNUMBER(P94),ISNUMBER(I94)),S94/I94,"")</f>
        <v/>
      </c>
      <c r="U94" s="9" t="str">
        <f aca="false">IF(OR(NOT(ISNUMBER(P94)),Parametros!$B$14&gt;=1),"",P94/(1-Parametros!$B$14))</f>
        <v/>
      </c>
      <c r="V94" s="9" t="str">
        <f aca="false">IF(OR(NOT(ISNUMBER(P94)),Parametros!$B$14+Parametros!$B$18&gt;=1),"",P94/(1-Parametros!$B$14-Parametros!$B$18))</f>
        <v/>
      </c>
      <c r="W94" s="35" t="str">
        <f aca="false">IF(B94="","",IF(E94="","SIN RECETA",IF(NOT(ISNUMBER(P94)),"FALTAN DATOS",IF(NOT(ISNUMBER(I94)),"FALTA PRECIO",IF(S94&lt;0,"PIERDE",IF(T94&lt;Parametros!$B$18,"BAJO META","OK"))))))</f>
        <v/>
      </c>
      <c r="X94" s="36" t="str">
        <f aca="false">IF(B94="","",IF(E94="","Elegir receta (molde). ",IF(ISNA(MATCH(E94,Recetas!$A$5:$A$84,0)),"La receta no existe. ",IF(IFERROR(INDEX(Recetas!$T$5:$T$84,MATCH($E94,Recetas!$A$5:$A$84,0))="Lista",FALSE()),"","Receta "&amp;E94&amp;": "&amp;INDEX(Recetas!$T$5:$T$84,MATCH($E94,Recetas!$A$5:$A$84,0)))))&amp;IF(F94="","Elegir tela. ",IF(IFERROR(INDEX(Precios!$F$5:$F$120,MATCH(F94,Precios!$A$5:$A$120,0)),"")="","Tela sin $/metro (falta rendimiento o precio). ",""))&amp;IF(AND(E94&lt;&gt;"",N(IFERROR(INDEX(Recetas!$S$5:$S$84,MATCH($E94,Recetas!$A$5:$A$84,0)),0))&gt;0,G94=""),"Elegir tela 2. ","")&amp;IF(NOT(ISNUMBER(I94)),"Precio de venta.",""))</f>
        <v/>
      </c>
      <c r="Y94" s="37" t="n">
        <f aca="false">IF(AND(ISNUMBER(P94),ISNUMBER(I94),ISNUMBER(D94)),P94*D94,0)</f>
        <v>0</v>
      </c>
      <c r="Z94" s="37" t="n">
        <f aca="false">IF(AND(ISNUMBER(P94),ISNUMBER(I94),ISNUMBER(D94)),I94*D94,0)</f>
        <v>0</v>
      </c>
      <c r="AA94" s="38" t="n">
        <f aca="false">IF(AND(ISNUMBER(P94),ISNUMBER(I94),ISNUMBER(D94)),D94,0)</f>
        <v>0</v>
      </c>
    </row>
    <row r="95" customFormat="false" ht="15" hidden="false" customHeight="false" outlineLevel="0" collapsed="false">
      <c r="A95" s="34"/>
      <c r="B95" s="34"/>
      <c r="C95" s="34"/>
      <c r="D95" s="34"/>
      <c r="E95" s="34"/>
      <c r="F95" s="34"/>
      <c r="G95" s="34"/>
      <c r="H95" s="8"/>
      <c r="I95" s="8"/>
      <c r="J95" s="34"/>
      <c r="L95" s="9" t="str">
        <f aca="false">IF(OR(B95="",E95=""),"",IFERROR(INDEX(Recetas!$R$5:$R$84,MATCH($E95,Recetas!$A$5:$A$84,0))*IFERROR(INDEX(Precios!$F$5:$F$120,MATCH(F95,Precios!$A$5:$A$120,0)),"")+IF(N(INDEX(Recetas!$S$5:$S$84,MATCH($E95,Recetas!$A$5:$A$84,0)))=0,0,INDEX(Recetas!$S$5:$S$84,MATCH($E95,Recetas!$A$5:$A$84,0))*IFERROR(INDEX(Precios!$F$5:$F$120,MATCH(G95,Precios!$A$5:$A$120,0)),"")),""))</f>
        <v/>
      </c>
      <c r="M95" s="9" t="str">
        <f aca="false">IF(OR(B95="",E95=""),"",IFERROR(N(INDEX(Recetas!$L$5:$L$84,MATCH($E95,Recetas!$A$5:$A$84,0)))*Parametros!$B$27,""))</f>
        <v/>
      </c>
      <c r="N95" s="9" t="str">
        <f aca="false">IF(OR(B95="",E95=""),"",IFERROR(INDEX(Confeccion!$B$5:$B$100,MATCH(INDEX(Recetas!$M$5:$M$84,MATCH($E95,Recetas!$A$5:$A$84,0)),Confeccion!$A$5:$A$100,0)),""))</f>
        <v/>
      </c>
      <c r="O95" s="9" t="str">
        <f aca="false">IF(OR(B95="",E95=""),"",IFERROR(N(INDEX(Recetas!$O$5:$O$84,MATCH($E95,Recetas!$A$5:$A$84,0)))*INDEX(Precios!$D$5:$D$120,MATCH(INDEX(Recetas!$N$5:$N$84,MATCH($E95,Recetas!$A$5:$A$84,0)),Precios!$A$5:$A$120,0)),0))</f>
        <v/>
      </c>
      <c r="P95" s="26" t="str">
        <f aca="false">IF(OR(B95="",E95=""),"",IF(AND(IFERROR(INDEX(Recetas!$T$5:$T$84,MATCH($E95,Recetas!$A$5:$A$84,0))="Lista",FALSE()),ISNUMBER(L95),ISNUMBER(M95),ISNUMBER(N95),N(N95)&gt;0),L95+M95+N95+N(O95)+N(H95),""))</f>
        <v/>
      </c>
      <c r="Q95" s="9" t="str">
        <f aca="false">IF(AND(ISNUMBER(P95),ISNUMBER(I95)),I95*Parametros!$B$12,"")</f>
        <v/>
      </c>
      <c r="R95" s="9" t="str">
        <f aca="false">IF(AND(ISNUMBER(P95),ISNUMBER(I95)),I95*Parametros!$B$13,"")</f>
        <v/>
      </c>
      <c r="S95" s="26" t="str">
        <f aca="false">IF(AND(ISNUMBER(P95),ISNUMBER(I95)),I95-P95-Q95-R95,"")</f>
        <v/>
      </c>
      <c r="T95" s="16" t="str">
        <f aca="false">IF(AND(ISNUMBER(P95),ISNUMBER(I95)),S95/I95,"")</f>
        <v/>
      </c>
      <c r="U95" s="9" t="str">
        <f aca="false">IF(OR(NOT(ISNUMBER(P95)),Parametros!$B$14&gt;=1),"",P95/(1-Parametros!$B$14))</f>
        <v/>
      </c>
      <c r="V95" s="9" t="str">
        <f aca="false">IF(OR(NOT(ISNUMBER(P95)),Parametros!$B$14+Parametros!$B$18&gt;=1),"",P95/(1-Parametros!$B$14-Parametros!$B$18))</f>
        <v/>
      </c>
      <c r="W95" s="35" t="str">
        <f aca="false">IF(B95="","",IF(E95="","SIN RECETA",IF(NOT(ISNUMBER(P95)),"FALTAN DATOS",IF(NOT(ISNUMBER(I95)),"FALTA PRECIO",IF(S95&lt;0,"PIERDE",IF(T95&lt;Parametros!$B$18,"BAJO META","OK"))))))</f>
        <v/>
      </c>
      <c r="X95" s="36" t="str">
        <f aca="false">IF(B95="","",IF(E95="","Elegir receta (molde). ",IF(ISNA(MATCH(E95,Recetas!$A$5:$A$84,0)),"La receta no existe. ",IF(IFERROR(INDEX(Recetas!$T$5:$T$84,MATCH($E95,Recetas!$A$5:$A$84,0))="Lista",FALSE()),"","Receta "&amp;E95&amp;": "&amp;INDEX(Recetas!$T$5:$T$84,MATCH($E95,Recetas!$A$5:$A$84,0)))))&amp;IF(F95="","Elegir tela. ",IF(IFERROR(INDEX(Precios!$F$5:$F$120,MATCH(F95,Precios!$A$5:$A$120,0)),"")="","Tela sin $/metro (falta rendimiento o precio). ",""))&amp;IF(AND(E95&lt;&gt;"",N(IFERROR(INDEX(Recetas!$S$5:$S$84,MATCH($E95,Recetas!$A$5:$A$84,0)),0))&gt;0,G95=""),"Elegir tela 2. ","")&amp;IF(NOT(ISNUMBER(I95)),"Precio de venta.",""))</f>
        <v/>
      </c>
      <c r="Y95" s="37" t="n">
        <f aca="false">IF(AND(ISNUMBER(P95),ISNUMBER(I95),ISNUMBER(D95)),P95*D95,0)</f>
        <v>0</v>
      </c>
      <c r="Z95" s="37" t="n">
        <f aca="false">IF(AND(ISNUMBER(P95),ISNUMBER(I95),ISNUMBER(D95)),I95*D95,0)</f>
        <v>0</v>
      </c>
      <c r="AA95" s="38" t="n">
        <f aca="false">IF(AND(ISNUMBER(P95),ISNUMBER(I95),ISNUMBER(D95)),D95,0)</f>
        <v>0</v>
      </c>
    </row>
    <row r="96" customFormat="false" ht="15" hidden="false" customHeight="false" outlineLevel="0" collapsed="false">
      <c r="A96" s="34"/>
      <c r="B96" s="34"/>
      <c r="C96" s="34"/>
      <c r="D96" s="34"/>
      <c r="E96" s="34"/>
      <c r="F96" s="34"/>
      <c r="G96" s="34"/>
      <c r="H96" s="8"/>
      <c r="I96" s="8"/>
      <c r="J96" s="34"/>
      <c r="L96" s="9" t="str">
        <f aca="false">IF(OR(B96="",E96=""),"",IFERROR(INDEX(Recetas!$R$5:$R$84,MATCH($E96,Recetas!$A$5:$A$84,0))*IFERROR(INDEX(Precios!$F$5:$F$120,MATCH(F96,Precios!$A$5:$A$120,0)),"")+IF(N(INDEX(Recetas!$S$5:$S$84,MATCH($E96,Recetas!$A$5:$A$84,0)))=0,0,INDEX(Recetas!$S$5:$S$84,MATCH($E96,Recetas!$A$5:$A$84,0))*IFERROR(INDEX(Precios!$F$5:$F$120,MATCH(G96,Precios!$A$5:$A$120,0)),"")),""))</f>
        <v/>
      </c>
      <c r="M96" s="9" t="str">
        <f aca="false">IF(OR(B96="",E96=""),"",IFERROR(N(INDEX(Recetas!$L$5:$L$84,MATCH($E96,Recetas!$A$5:$A$84,0)))*Parametros!$B$27,""))</f>
        <v/>
      </c>
      <c r="N96" s="9" t="str">
        <f aca="false">IF(OR(B96="",E96=""),"",IFERROR(INDEX(Confeccion!$B$5:$B$100,MATCH(INDEX(Recetas!$M$5:$M$84,MATCH($E96,Recetas!$A$5:$A$84,0)),Confeccion!$A$5:$A$100,0)),""))</f>
        <v/>
      </c>
      <c r="O96" s="9" t="str">
        <f aca="false">IF(OR(B96="",E96=""),"",IFERROR(N(INDEX(Recetas!$O$5:$O$84,MATCH($E96,Recetas!$A$5:$A$84,0)))*INDEX(Precios!$D$5:$D$120,MATCH(INDEX(Recetas!$N$5:$N$84,MATCH($E96,Recetas!$A$5:$A$84,0)),Precios!$A$5:$A$120,0)),0))</f>
        <v/>
      </c>
      <c r="P96" s="26" t="str">
        <f aca="false">IF(OR(B96="",E96=""),"",IF(AND(IFERROR(INDEX(Recetas!$T$5:$T$84,MATCH($E96,Recetas!$A$5:$A$84,0))="Lista",FALSE()),ISNUMBER(L96),ISNUMBER(M96),ISNUMBER(N96),N(N96)&gt;0),L96+M96+N96+N(O96)+N(H96),""))</f>
        <v/>
      </c>
      <c r="Q96" s="9" t="str">
        <f aca="false">IF(AND(ISNUMBER(P96),ISNUMBER(I96)),I96*Parametros!$B$12,"")</f>
        <v/>
      </c>
      <c r="R96" s="9" t="str">
        <f aca="false">IF(AND(ISNUMBER(P96),ISNUMBER(I96)),I96*Parametros!$B$13,"")</f>
        <v/>
      </c>
      <c r="S96" s="26" t="str">
        <f aca="false">IF(AND(ISNUMBER(P96),ISNUMBER(I96)),I96-P96-Q96-R96,"")</f>
        <v/>
      </c>
      <c r="T96" s="16" t="str">
        <f aca="false">IF(AND(ISNUMBER(P96),ISNUMBER(I96)),S96/I96,"")</f>
        <v/>
      </c>
      <c r="U96" s="9" t="str">
        <f aca="false">IF(OR(NOT(ISNUMBER(P96)),Parametros!$B$14&gt;=1),"",P96/(1-Parametros!$B$14))</f>
        <v/>
      </c>
      <c r="V96" s="9" t="str">
        <f aca="false">IF(OR(NOT(ISNUMBER(P96)),Parametros!$B$14+Parametros!$B$18&gt;=1),"",P96/(1-Parametros!$B$14-Parametros!$B$18))</f>
        <v/>
      </c>
      <c r="W96" s="35" t="str">
        <f aca="false">IF(B96="","",IF(E96="","SIN RECETA",IF(NOT(ISNUMBER(P96)),"FALTAN DATOS",IF(NOT(ISNUMBER(I96)),"FALTA PRECIO",IF(S96&lt;0,"PIERDE",IF(T96&lt;Parametros!$B$18,"BAJO META","OK"))))))</f>
        <v/>
      </c>
      <c r="X96" s="36" t="str">
        <f aca="false">IF(B96="","",IF(E96="","Elegir receta (molde). ",IF(ISNA(MATCH(E96,Recetas!$A$5:$A$84,0)),"La receta no existe. ",IF(IFERROR(INDEX(Recetas!$T$5:$T$84,MATCH($E96,Recetas!$A$5:$A$84,0))="Lista",FALSE()),"","Receta "&amp;E96&amp;": "&amp;INDEX(Recetas!$T$5:$T$84,MATCH($E96,Recetas!$A$5:$A$84,0)))))&amp;IF(F96="","Elegir tela. ",IF(IFERROR(INDEX(Precios!$F$5:$F$120,MATCH(F96,Precios!$A$5:$A$120,0)),"")="","Tela sin $/metro (falta rendimiento o precio). ",""))&amp;IF(AND(E96&lt;&gt;"",N(IFERROR(INDEX(Recetas!$S$5:$S$84,MATCH($E96,Recetas!$A$5:$A$84,0)),0))&gt;0,G96=""),"Elegir tela 2. ","")&amp;IF(NOT(ISNUMBER(I96)),"Precio de venta.",""))</f>
        <v/>
      </c>
      <c r="Y96" s="37" t="n">
        <f aca="false">IF(AND(ISNUMBER(P96),ISNUMBER(I96),ISNUMBER(D96)),P96*D96,0)</f>
        <v>0</v>
      </c>
      <c r="Z96" s="37" t="n">
        <f aca="false">IF(AND(ISNUMBER(P96),ISNUMBER(I96),ISNUMBER(D96)),I96*D96,0)</f>
        <v>0</v>
      </c>
      <c r="AA96" s="38" t="n">
        <f aca="false">IF(AND(ISNUMBER(P96),ISNUMBER(I96),ISNUMBER(D96)),D96,0)</f>
        <v>0</v>
      </c>
    </row>
    <row r="97" customFormat="false" ht="15" hidden="false" customHeight="false" outlineLevel="0" collapsed="false">
      <c r="A97" s="34"/>
      <c r="B97" s="34"/>
      <c r="C97" s="34"/>
      <c r="D97" s="34"/>
      <c r="E97" s="34"/>
      <c r="F97" s="34"/>
      <c r="G97" s="34"/>
      <c r="H97" s="8"/>
      <c r="I97" s="8"/>
      <c r="J97" s="34"/>
      <c r="L97" s="9" t="str">
        <f aca="false">IF(OR(B97="",E97=""),"",IFERROR(INDEX(Recetas!$R$5:$R$84,MATCH($E97,Recetas!$A$5:$A$84,0))*IFERROR(INDEX(Precios!$F$5:$F$120,MATCH(F97,Precios!$A$5:$A$120,0)),"")+IF(N(INDEX(Recetas!$S$5:$S$84,MATCH($E97,Recetas!$A$5:$A$84,0)))=0,0,INDEX(Recetas!$S$5:$S$84,MATCH($E97,Recetas!$A$5:$A$84,0))*IFERROR(INDEX(Precios!$F$5:$F$120,MATCH(G97,Precios!$A$5:$A$120,0)),"")),""))</f>
        <v/>
      </c>
      <c r="M97" s="9" t="str">
        <f aca="false">IF(OR(B97="",E97=""),"",IFERROR(N(INDEX(Recetas!$L$5:$L$84,MATCH($E97,Recetas!$A$5:$A$84,0)))*Parametros!$B$27,""))</f>
        <v/>
      </c>
      <c r="N97" s="9" t="str">
        <f aca="false">IF(OR(B97="",E97=""),"",IFERROR(INDEX(Confeccion!$B$5:$B$100,MATCH(INDEX(Recetas!$M$5:$M$84,MATCH($E97,Recetas!$A$5:$A$84,0)),Confeccion!$A$5:$A$100,0)),""))</f>
        <v/>
      </c>
      <c r="O97" s="9" t="str">
        <f aca="false">IF(OR(B97="",E97=""),"",IFERROR(N(INDEX(Recetas!$O$5:$O$84,MATCH($E97,Recetas!$A$5:$A$84,0)))*INDEX(Precios!$D$5:$D$120,MATCH(INDEX(Recetas!$N$5:$N$84,MATCH($E97,Recetas!$A$5:$A$84,0)),Precios!$A$5:$A$120,0)),0))</f>
        <v/>
      </c>
      <c r="P97" s="26" t="str">
        <f aca="false">IF(OR(B97="",E97=""),"",IF(AND(IFERROR(INDEX(Recetas!$T$5:$T$84,MATCH($E97,Recetas!$A$5:$A$84,0))="Lista",FALSE()),ISNUMBER(L97),ISNUMBER(M97),ISNUMBER(N97),N(N97)&gt;0),L97+M97+N97+N(O97)+N(H97),""))</f>
        <v/>
      </c>
      <c r="Q97" s="9" t="str">
        <f aca="false">IF(AND(ISNUMBER(P97),ISNUMBER(I97)),I97*Parametros!$B$12,"")</f>
        <v/>
      </c>
      <c r="R97" s="9" t="str">
        <f aca="false">IF(AND(ISNUMBER(P97),ISNUMBER(I97)),I97*Parametros!$B$13,"")</f>
        <v/>
      </c>
      <c r="S97" s="26" t="str">
        <f aca="false">IF(AND(ISNUMBER(P97),ISNUMBER(I97)),I97-P97-Q97-R97,"")</f>
        <v/>
      </c>
      <c r="T97" s="16" t="str">
        <f aca="false">IF(AND(ISNUMBER(P97),ISNUMBER(I97)),S97/I97,"")</f>
        <v/>
      </c>
      <c r="U97" s="9" t="str">
        <f aca="false">IF(OR(NOT(ISNUMBER(P97)),Parametros!$B$14&gt;=1),"",P97/(1-Parametros!$B$14))</f>
        <v/>
      </c>
      <c r="V97" s="9" t="str">
        <f aca="false">IF(OR(NOT(ISNUMBER(P97)),Parametros!$B$14+Parametros!$B$18&gt;=1),"",P97/(1-Parametros!$B$14-Parametros!$B$18))</f>
        <v/>
      </c>
      <c r="W97" s="35" t="str">
        <f aca="false">IF(B97="","",IF(E97="","SIN RECETA",IF(NOT(ISNUMBER(P97)),"FALTAN DATOS",IF(NOT(ISNUMBER(I97)),"FALTA PRECIO",IF(S97&lt;0,"PIERDE",IF(T97&lt;Parametros!$B$18,"BAJO META","OK"))))))</f>
        <v/>
      </c>
      <c r="X97" s="36" t="str">
        <f aca="false">IF(B97="","",IF(E97="","Elegir receta (molde). ",IF(ISNA(MATCH(E97,Recetas!$A$5:$A$84,0)),"La receta no existe. ",IF(IFERROR(INDEX(Recetas!$T$5:$T$84,MATCH($E97,Recetas!$A$5:$A$84,0))="Lista",FALSE()),"","Receta "&amp;E97&amp;": "&amp;INDEX(Recetas!$T$5:$T$84,MATCH($E97,Recetas!$A$5:$A$84,0)))))&amp;IF(F97="","Elegir tela. ",IF(IFERROR(INDEX(Precios!$F$5:$F$120,MATCH(F97,Precios!$A$5:$A$120,0)),"")="","Tela sin $/metro (falta rendimiento o precio). ",""))&amp;IF(AND(E97&lt;&gt;"",N(IFERROR(INDEX(Recetas!$S$5:$S$84,MATCH($E97,Recetas!$A$5:$A$84,0)),0))&gt;0,G97=""),"Elegir tela 2. ","")&amp;IF(NOT(ISNUMBER(I97)),"Precio de venta.",""))</f>
        <v/>
      </c>
      <c r="Y97" s="37" t="n">
        <f aca="false">IF(AND(ISNUMBER(P97),ISNUMBER(I97),ISNUMBER(D97)),P97*D97,0)</f>
        <v>0</v>
      </c>
      <c r="Z97" s="37" t="n">
        <f aca="false">IF(AND(ISNUMBER(P97),ISNUMBER(I97),ISNUMBER(D97)),I97*D97,0)</f>
        <v>0</v>
      </c>
      <c r="AA97" s="38" t="n">
        <f aca="false">IF(AND(ISNUMBER(P97),ISNUMBER(I97),ISNUMBER(D97)),D97,0)</f>
        <v>0</v>
      </c>
    </row>
    <row r="98" customFormat="false" ht="15" hidden="false" customHeight="false" outlineLevel="0" collapsed="false">
      <c r="A98" s="34"/>
      <c r="B98" s="34"/>
      <c r="C98" s="34"/>
      <c r="D98" s="34"/>
      <c r="E98" s="34"/>
      <c r="F98" s="34"/>
      <c r="G98" s="34"/>
      <c r="H98" s="8"/>
      <c r="I98" s="8"/>
      <c r="J98" s="34"/>
      <c r="L98" s="9" t="str">
        <f aca="false">IF(OR(B98="",E98=""),"",IFERROR(INDEX(Recetas!$R$5:$R$84,MATCH($E98,Recetas!$A$5:$A$84,0))*IFERROR(INDEX(Precios!$F$5:$F$120,MATCH(F98,Precios!$A$5:$A$120,0)),"")+IF(N(INDEX(Recetas!$S$5:$S$84,MATCH($E98,Recetas!$A$5:$A$84,0)))=0,0,INDEX(Recetas!$S$5:$S$84,MATCH($E98,Recetas!$A$5:$A$84,0))*IFERROR(INDEX(Precios!$F$5:$F$120,MATCH(G98,Precios!$A$5:$A$120,0)),"")),""))</f>
        <v/>
      </c>
      <c r="M98" s="9" t="str">
        <f aca="false">IF(OR(B98="",E98=""),"",IFERROR(N(INDEX(Recetas!$L$5:$L$84,MATCH($E98,Recetas!$A$5:$A$84,0)))*Parametros!$B$27,""))</f>
        <v/>
      </c>
      <c r="N98" s="9" t="str">
        <f aca="false">IF(OR(B98="",E98=""),"",IFERROR(INDEX(Confeccion!$B$5:$B$100,MATCH(INDEX(Recetas!$M$5:$M$84,MATCH($E98,Recetas!$A$5:$A$84,0)),Confeccion!$A$5:$A$100,0)),""))</f>
        <v/>
      </c>
      <c r="O98" s="9" t="str">
        <f aca="false">IF(OR(B98="",E98=""),"",IFERROR(N(INDEX(Recetas!$O$5:$O$84,MATCH($E98,Recetas!$A$5:$A$84,0)))*INDEX(Precios!$D$5:$D$120,MATCH(INDEX(Recetas!$N$5:$N$84,MATCH($E98,Recetas!$A$5:$A$84,0)),Precios!$A$5:$A$120,0)),0))</f>
        <v/>
      </c>
      <c r="P98" s="26" t="str">
        <f aca="false">IF(OR(B98="",E98=""),"",IF(AND(IFERROR(INDEX(Recetas!$T$5:$T$84,MATCH($E98,Recetas!$A$5:$A$84,0))="Lista",FALSE()),ISNUMBER(L98),ISNUMBER(M98),ISNUMBER(N98),N(N98)&gt;0),L98+M98+N98+N(O98)+N(H98),""))</f>
        <v/>
      </c>
      <c r="Q98" s="9" t="str">
        <f aca="false">IF(AND(ISNUMBER(P98),ISNUMBER(I98)),I98*Parametros!$B$12,"")</f>
        <v/>
      </c>
      <c r="R98" s="9" t="str">
        <f aca="false">IF(AND(ISNUMBER(P98),ISNUMBER(I98)),I98*Parametros!$B$13,"")</f>
        <v/>
      </c>
      <c r="S98" s="26" t="str">
        <f aca="false">IF(AND(ISNUMBER(P98),ISNUMBER(I98)),I98-P98-Q98-R98,"")</f>
        <v/>
      </c>
      <c r="T98" s="16" t="str">
        <f aca="false">IF(AND(ISNUMBER(P98),ISNUMBER(I98)),S98/I98,"")</f>
        <v/>
      </c>
      <c r="U98" s="9" t="str">
        <f aca="false">IF(OR(NOT(ISNUMBER(P98)),Parametros!$B$14&gt;=1),"",P98/(1-Parametros!$B$14))</f>
        <v/>
      </c>
      <c r="V98" s="9" t="str">
        <f aca="false">IF(OR(NOT(ISNUMBER(P98)),Parametros!$B$14+Parametros!$B$18&gt;=1),"",P98/(1-Parametros!$B$14-Parametros!$B$18))</f>
        <v/>
      </c>
      <c r="W98" s="35" t="str">
        <f aca="false">IF(B98="","",IF(E98="","SIN RECETA",IF(NOT(ISNUMBER(P98)),"FALTAN DATOS",IF(NOT(ISNUMBER(I98)),"FALTA PRECIO",IF(S98&lt;0,"PIERDE",IF(T98&lt;Parametros!$B$18,"BAJO META","OK"))))))</f>
        <v/>
      </c>
      <c r="X98" s="36" t="str">
        <f aca="false">IF(B98="","",IF(E98="","Elegir receta (molde). ",IF(ISNA(MATCH(E98,Recetas!$A$5:$A$84,0)),"La receta no existe. ",IF(IFERROR(INDEX(Recetas!$T$5:$T$84,MATCH($E98,Recetas!$A$5:$A$84,0))="Lista",FALSE()),"","Receta "&amp;E98&amp;": "&amp;INDEX(Recetas!$T$5:$T$84,MATCH($E98,Recetas!$A$5:$A$84,0)))))&amp;IF(F98="","Elegir tela. ",IF(IFERROR(INDEX(Precios!$F$5:$F$120,MATCH(F98,Precios!$A$5:$A$120,0)),"")="","Tela sin $/metro (falta rendimiento o precio). ",""))&amp;IF(AND(E98&lt;&gt;"",N(IFERROR(INDEX(Recetas!$S$5:$S$84,MATCH($E98,Recetas!$A$5:$A$84,0)),0))&gt;0,G98=""),"Elegir tela 2. ","")&amp;IF(NOT(ISNUMBER(I98)),"Precio de venta.",""))</f>
        <v/>
      </c>
      <c r="Y98" s="37" t="n">
        <f aca="false">IF(AND(ISNUMBER(P98),ISNUMBER(I98),ISNUMBER(D98)),P98*D98,0)</f>
        <v>0</v>
      </c>
      <c r="Z98" s="37" t="n">
        <f aca="false">IF(AND(ISNUMBER(P98),ISNUMBER(I98),ISNUMBER(D98)),I98*D98,0)</f>
        <v>0</v>
      </c>
      <c r="AA98" s="38" t="n">
        <f aca="false">IF(AND(ISNUMBER(P98),ISNUMBER(I98),ISNUMBER(D98)),D98,0)</f>
        <v>0</v>
      </c>
    </row>
    <row r="99" customFormat="false" ht="15" hidden="false" customHeight="false" outlineLevel="0" collapsed="false">
      <c r="A99" s="34"/>
      <c r="B99" s="34"/>
      <c r="C99" s="34"/>
      <c r="D99" s="34"/>
      <c r="E99" s="34"/>
      <c r="F99" s="34"/>
      <c r="G99" s="34"/>
      <c r="H99" s="8"/>
      <c r="I99" s="8"/>
      <c r="J99" s="34"/>
      <c r="L99" s="9" t="str">
        <f aca="false">IF(OR(B99="",E99=""),"",IFERROR(INDEX(Recetas!$R$5:$R$84,MATCH($E99,Recetas!$A$5:$A$84,0))*IFERROR(INDEX(Precios!$F$5:$F$120,MATCH(F99,Precios!$A$5:$A$120,0)),"")+IF(N(INDEX(Recetas!$S$5:$S$84,MATCH($E99,Recetas!$A$5:$A$84,0)))=0,0,INDEX(Recetas!$S$5:$S$84,MATCH($E99,Recetas!$A$5:$A$84,0))*IFERROR(INDEX(Precios!$F$5:$F$120,MATCH(G99,Precios!$A$5:$A$120,0)),"")),""))</f>
        <v/>
      </c>
      <c r="M99" s="9" t="str">
        <f aca="false">IF(OR(B99="",E99=""),"",IFERROR(N(INDEX(Recetas!$L$5:$L$84,MATCH($E99,Recetas!$A$5:$A$84,0)))*Parametros!$B$27,""))</f>
        <v/>
      </c>
      <c r="N99" s="9" t="str">
        <f aca="false">IF(OR(B99="",E99=""),"",IFERROR(INDEX(Confeccion!$B$5:$B$100,MATCH(INDEX(Recetas!$M$5:$M$84,MATCH($E99,Recetas!$A$5:$A$84,0)),Confeccion!$A$5:$A$100,0)),""))</f>
        <v/>
      </c>
      <c r="O99" s="9" t="str">
        <f aca="false">IF(OR(B99="",E99=""),"",IFERROR(N(INDEX(Recetas!$O$5:$O$84,MATCH($E99,Recetas!$A$5:$A$84,0)))*INDEX(Precios!$D$5:$D$120,MATCH(INDEX(Recetas!$N$5:$N$84,MATCH($E99,Recetas!$A$5:$A$84,0)),Precios!$A$5:$A$120,0)),0))</f>
        <v/>
      </c>
      <c r="P99" s="26" t="str">
        <f aca="false">IF(OR(B99="",E99=""),"",IF(AND(IFERROR(INDEX(Recetas!$T$5:$T$84,MATCH($E99,Recetas!$A$5:$A$84,0))="Lista",FALSE()),ISNUMBER(L99),ISNUMBER(M99),ISNUMBER(N99),N(N99)&gt;0),L99+M99+N99+N(O99)+N(H99),""))</f>
        <v/>
      </c>
      <c r="Q99" s="9" t="str">
        <f aca="false">IF(AND(ISNUMBER(P99),ISNUMBER(I99)),I99*Parametros!$B$12,"")</f>
        <v/>
      </c>
      <c r="R99" s="9" t="str">
        <f aca="false">IF(AND(ISNUMBER(P99),ISNUMBER(I99)),I99*Parametros!$B$13,"")</f>
        <v/>
      </c>
      <c r="S99" s="26" t="str">
        <f aca="false">IF(AND(ISNUMBER(P99),ISNUMBER(I99)),I99-P99-Q99-R99,"")</f>
        <v/>
      </c>
      <c r="T99" s="16" t="str">
        <f aca="false">IF(AND(ISNUMBER(P99),ISNUMBER(I99)),S99/I99,"")</f>
        <v/>
      </c>
      <c r="U99" s="9" t="str">
        <f aca="false">IF(OR(NOT(ISNUMBER(P99)),Parametros!$B$14&gt;=1),"",P99/(1-Parametros!$B$14))</f>
        <v/>
      </c>
      <c r="V99" s="9" t="str">
        <f aca="false">IF(OR(NOT(ISNUMBER(P99)),Parametros!$B$14+Parametros!$B$18&gt;=1),"",P99/(1-Parametros!$B$14-Parametros!$B$18))</f>
        <v/>
      </c>
      <c r="W99" s="35" t="str">
        <f aca="false">IF(B99="","",IF(E99="","SIN RECETA",IF(NOT(ISNUMBER(P99)),"FALTAN DATOS",IF(NOT(ISNUMBER(I99)),"FALTA PRECIO",IF(S99&lt;0,"PIERDE",IF(T99&lt;Parametros!$B$18,"BAJO META","OK"))))))</f>
        <v/>
      </c>
      <c r="X99" s="36" t="str">
        <f aca="false">IF(B99="","",IF(E99="","Elegir receta (molde). ",IF(ISNA(MATCH(E99,Recetas!$A$5:$A$84,0)),"La receta no existe. ",IF(IFERROR(INDEX(Recetas!$T$5:$T$84,MATCH($E99,Recetas!$A$5:$A$84,0))="Lista",FALSE()),"","Receta "&amp;E99&amp;": "&amp;INDEX(Recetas!$T$5:$T$84,MATCH($E99,Recetas!$A$5:$A$84,0)))))&amp;IF(F99="","Elegir tela. ",IF(IFERROR(INDEX(Precios!$F$5:$F$120,MATCH(F99,Precios!$A$5:$A$120,0)),"")="","Tela sin $/metro (falta rendimiento o precio). ",""))&amp;IF(AND(E99&lt;&gt;"",N(IFERROR(INDEX(Recetas!$S$5:$S$84,MATCH($E99,Recetas!$A$5:$A$84,0)),0))&gt;0,G99=""),"Elegir tela 2. ","")&amp;IF(NOT(ISNUMBER(I99)),"Precio de venta.",""))</f>
        <v/>
      </c>
      <c r="Y99" s="37" t="n">
        <f aca="false">IF(AND(ISNUMBER(P99),ISNUMBER(I99),ISNUMBER(D99)),P99*D99,0)</f>
        <v>0</v>
      </c>
      <c r="Z99" s="37" t="n">
        <f aca="false">IF(AND(ISNUMBER(P99),ISNUMBER(I99),ISNUMBER(D99)),I99*D99,0)</f>
        <v>0</v>
      </c>
      <c r="AA99" s="38" t="n">
        <f aca="false">IF(AND(ISNUMBER(P99),ISNUMBER(I99),ISNUMBER(D99)),D99,0)</f>
        <v>0</v>
      </c>
    </row>
    <row r="100" customFormat="false" ht="15" hidden="false" customHeight="false" outlineLevel="0" collapsed="false">
      <c r="A100" s="34"/>
      <c r="B100" s="34"/>
      <c r="C100" s="34"/>
      <c r="D100" s="34"/>
      <c r="E100" s="34"/>
      <c r="F100" s="34"/>
      <c r="G100" s="34"/>
      <c r="H100" s="8"/>
      <c r="I100" s="8"/>
      <c r="J100" s="34"/>
      <c r="L100" s="9" t="str">
        <f aca="false">IF(OR(B100="",E100=""),"",IFERROR(INDEX(Recetas!$R$5:$R$84,MATCH($E100,Recetas!$A$5:$A$84,0))*IFERROR(INDEX(Precios!$F$5:$F$120,MATCH(F100,Precios!$A$5:$A$120,0)),"")+IF(N(INDEX(Recetas!$S$5:$S$84,MATCH($E100,Recetas!$A$5:$A$84,0)))=0,0,INDEX(Recetas!$S$5:$S$84,MATCH($E100,Recetas!$A$5:$A$84,0))*IFERROR(INDEX(Precios!$F$5:$F$120,MATCH(G100,Precios!$A$5:$A$120,0)),"")),""))</f>
        <v/>
      </c>
      <c r="M100" s="9" t="str">
        <f aca="false">IF(OR(B100="",E100=""),"",IFERROR(N(INDEX(Recetas!$L$5:$L$84,MATCH($E100,Recetas!$A$5:$A$84,0)))*Parametros!$B$27,""))</f>
        <v/>
      </c>
      <c r="N100" s="9" t="str">
        <f aca="false">IF(OR(B100="",E100=""),"",IFERROR(INDEX(Confeccion!$B$5:$B$100,MATCH(INDEX(Recetas!$M$5:$M$84,MATCH($E100,Recetas!$A$5:$A$84,0)),Confeccion!$A$5:$A$100,0)),""))</f>
        <v/>
      </c>
      <c r="O100" s="9" t="str">
        <f aca="false">IF(OR(B100="",E100=""),"",IFERROR(N(INDEX(Recetas!$O$5:$O$84,MATCH($E100,Recetas!$A$5:$A$84,0)))*INDEX(Precios!$D$5:$D$120,MATCH(INDEX(Recetas!$N$5:$N$84,MATCH($E100,Recetas!$A$5:$A$84,0)),Precios!$A$5:$A$120,0)),0))</f>
        <v/>
      </c>
      <c r="P100" s="26" t="str">
        <f aca="false">IF(OR(B100="",E100=""),"",IF(AND(IFERROR(INDEX(Recetas!$T$5:$T$84,MATCH($E100,Recetas!$A$5:$A$84,0))="Lista",FALSE()),ISNUMBER(L100),ISNUMBER(M100),ISNUMBER(N100),N(N100)&gt;0),L100+M100+N100+N(O100)+N(H100),""))</f>
        <v/>
      </c>
      <c r="Q100" s="9" t="str">
        <f aca="false">IF(AND(ISNUMBER(P100),ISNUMBER(I100)),I100*Parametros!$B$12,"")</f>
        <v/>
      </c>
      <c r="R100" s="9" t="str">
        <f aca="false">IF(AND(ISNUMBER(P100),ISNUMBER(I100)),I100*Parametros!$B$13,"")</f>
        <v/>
      </c>
      <c r="S100" s="26" t="str">
        <f aca="false">IF(AND(ISNUMBER(P100),ISNUMBER(I100)),I100-P100-Q100-R100,"")</f>
        <v/>
      </c>
      <c r="T100" s="16" t="str">
        <f aca="false">IF(AND(ISNUMBER(P100),ISNUMBER(I100)),S100/I100,"")</f>
        <v/>
      </c>
      <c r="U100" s="9" t="str">
        <f aca="false">IF(OR(NOT(ISNUMBER(P100)),Parametros!$B$14&gt;=1),"",P100/(1-Parametros!$B$14))</f>
        <v/>
      </c>
      <c r="V100" s="9" t="str">
        <f aca="false">IF(OR(NOT(ISNUMBER(P100)),Parametros!$B$14+Parametros!$B$18&gt;=1),"",P100/(1-Parametros!$B$14-Parametros!$B$18))</f>
        <v/>
      </c>
      <c r="W100" s="35" t="str">
        <f aca="false">IF(B100="","",IF(E100="","SIN RECETA",IF(NOT(ISNUMBER(P100)),"FALTAN DATOS",IF(NOT(ISNUMBER(I100)),"FALTA PRECIO",IF(S100&lt;0,"PIERDE",IF(T100&lt;Parametros!$B$18,"BAJO META","OK"))))))</f>
        <v/>
      </c>
      <c r="X100" s="36" t="str">
        <f aca="false">IF(B100="","",IF(E100="","Elegir receta (molde). ",IF(ISNA(MATCH(E100,Recetas!$A$5:$A$84,0)),"La receta no existe. ",IF(IFERROR(INDEX(Recetas!$T$5:$T$84,MATCH($E100,Recetas!$A$5:$A$84,0))="Lista",FALSE()),"","Receta "&amp;E100&amp;": "&amp;INDEX(Recetas!$T$5:$T$84,MATCH($E100,Recetas!$A$5:$A$84,0)))))&amp;IF(F100="","Elegir tela. ",IF(IFERROR(INDEX(Precios!$F$5:$F$120,MATCH(F100,Precios!$A$5:$A$120,0)),"")="","Tela sin $/metro (falta rendimiento o precio). ",""))&amp;IF(AND(E100&lt;&gt;"",N(IFERROR(INDEX(Recetas!$S$5:$S$84,MATCH($E100,Recetas!$A$5:$A$84,0)),0))&gt;0,G100=""),"Elegir tela 2. ","")&amp;IF(NOT(ISNUMBER(I100)),"Precio de venta.",""))</f>
        <v/>
      </c>
      <c r="Y100" s="37" t="n">
        <f aca="false">IF(AND(ISNUMBER(P100),ISNUMBER(I100),ISNUMBER(D100)),P100*D100,0)</f>
        <v>0</v>
      </c>
      <c r="Z100" s="37" t="n">
        <f aca="false">IF(AND(ISNUMBER(P100),ISNUMBER(I100),ISNUMBER(D100)),I100*D100,0)</f>
        <v>0</v>
      </c>
      <c r="AA100" s="38" t="n">
        <f aca="false">IF(AND(ISNUMBER(P100),ISNUMBER(I100),ISNUMBER(D100)),D100,0)</f>
        <v>0</v>
      </c>
    </row>
    <row r="101" customFormat="false" ht="15" hidden="false" customHeight="false" outlineLevel="0" collapsed="false">
      <c r="A101" s="34"/>
      <c r="B101" s="34"/>
      <c r="C101" s="34"/>
      <c r="D101" s="34"/>
      <c r="E101" s="34"/>
      <c r="F101" s="34"/>
      <c r="G101" s="34"/>
      <c r="H101" s="8"/>
      <c r="I101" s="8"/>
      <c r="J101" s="34"/>
      <c r="L101" s="9" t="str">
        <f aca="false">IF(OR(B101="",E101=""),"",IFERROR(INDEX(Recetas!$R$5:$R$84,MATCH($E101,Recetas!$A$5:$A$84,0))*IFERROR(INDEX(Precios!$F$5:$F$120,MATCH(F101,Precios!$A$5:$A$120,0)),"")+IF(N(INDEX(Recetas!$S$5:$S$84,MATCH($E101,Recetas!$A$5:$A$84,0)))=0,0,INDEX(Recetas!$S$5:$S$84,MATCH($E101,Recetas!$A$5:$A$84,0))*IFERROR(INDEX(Precios!$F$5:$F$120,MATCH(G101,Precios!$A$5:$A$120,0)),"")),""))</f>
        <v/>
      </c>
      <c r="M101" s="9" t="str">
        <f aca="false">IF(OR(B101="",E101=""),"",IFERROR(N(INDEX(Recetas!$L$5:$L$84,MATCH($E101,Recetas!$A$5:$A$84,0)))*Parametros!$B$27,""))</f>
        <v/>
      </c>
      <c r="N101" s="9" t="str">
        <f aca="false">IF(OR(B101="",E101=""),"",IFERROR(INDEX(Confeccion!$B$5:$B$100,MATCH(INDEX(Recetas!$M$5:$M$84,MATCH($E101,Recetas!$A$5:$A$84,0)),Confeccion!$A$5:$A$100,0)),""))</f>
        <v/>
      </c>
      <c r="O101" s="9" t="str">
        <f aca="false">IF(OR(B101="",E101=""),"",IFERROR(N(INDEX(Recetas!$O$5:$O$84,MATCH($E101,Recetas!$A$5:$A$84,0)))*INDEX(Precios!$D$5:$D$120,MATCH(INDEX(Recetas!$N$5:$N$84,MATCH($E101,Recetas!$A$5:$A$84,0)),Precios!$A$5:$A$120,0)),0))</f>
        <v/>
      </c>
      <c r="P101" s="26" t="str">
        <f aca="false">IF(OR(B101="",E101=""),"",IF(AND(IFERROR(INDEX(Recetas!$T$5:$T$84,MATCH($E101,Recetas!$A$5:$A$84,0))="Lista",FALSE()),ISNUMBER(L101),ISNUMBER(M101),ISNUMBER(N101),N(N101)&gt;0),L101+M101+N101+N(O101)+N(H101),""))</f>
        <v/>
      </c>
      <c r="Q101" s="9" t="str">
        <f aca="false">IF(AND(ISNUMBER(P101),ISNUMBER(I101)),I101*Parametros!$B$12,"")</f>
        <v/>
      </c>
      <c r="R101" s="9" t="str">
        <f aca="false">IF(AND(ISNUMBER(P101),ISNUMBER(I101)),I101*Parametros!$B$13,"")</f>
        <v/>
      </c>
      <c r="S101" s="26" t="str">
        <f aca="false">IF(AND(ISNUMBER(P101),ISNUMBER(I101)),I101-P101-Q101-R101,"")</f>
        <v/>
      </c>
      <c r="T101" s="16" t="str">
        <f aca="false">IF(AND(ISNUMBER(P101),ISNUMBER(I101)),S101/I101,"")</f>
        <v/>
      </c>
      <c r="U101" s="9" t="str">
        <f aca="false">IF(OR(NOT(ISNUMBER(P101)),Parametros!$B$14&gt;=1),"",P101/(1-Parametros!$B$14))</f>
        <v/>
      </c>
      <c r="V101" s="9" t="str">
        <f aca="false">IF(OR(NOT(ISNUMBER(P101)),Parametros!$B$14+Parametros!$B$18&gt;=1),"",P101/(1-Parametros!$B$14-Parametros!$B$18))</f>
        <v/>
      </c>
      <c r="W101" s="35" t="str">
        <f aca="false">IF(B101="","",IF(E101="","SIN RECETA",IF(NOT(ISNUMBER(P101)),"FALTAN DATOS",IF(NOT(ISNUMBER(I101)),"FALTA PRECIO",IF(S101&lt;0,"PIERDE",IF(T101&lt;Parametros!$B$18,"BAJO META","OK"))))))</f>
        <v/>
      </c>
      <c r="X101" s="36" t="str">
        <f aca="false">IF(B101="","",IF(E101="","Elegir receta (molde). ",IF(ISNA(MATCH(E101,Recetas!$A$5:$A$84,0)),"La receta no existe. ",IF(IFERROR(INDEX(Recetas!$T$5:$T$84,MATCH($E101,Recetas!$A$5:$A$84,0))="Lista",FALSE()),"","Receta "&amp;E101&amp;": "&amp;INDEX(Recetas!$T$5:$T$84,MATCH($E101,Recetas!$A$5:$A$84,0)))))&amp;IF(F101="","Elegir tela. ",IF(IFERROR(INDEX(Precios!$F$5:$F$120,MATCH(F101,Precios!$A$5:$A$120,0)),"")="","Tela sin $/metro (falta rendimiento o precio). ",""))&amp;IF(AND(E101&lt;&gt;"",N(IFERROR(INDEX(Recetas!$S$5:$S$84,MATCH($E101,Recetas!$A$5:$A$84,0)),0))&gt;0,G101=""),"Elegir tela 2. ","")&amp;IF(NOT(ISNUMBER(I101)),"Precio de venta.",""))</f>
        <v/>
      </c>
      <c r="Y101" s="37" t="n">
        <f aca="false">IF(AND(ISNUMBER(P101),ISNUMBER(I101),ISNUMBER(D101)),P101*D101,0)</f>
        <v>0</v>
      </c>
      <c r="Z101" s="37" t="n">
        <f aca="false">IF(AND(ISNUMBER(P101),ISNUMBER(I101),ISNUMBER(D101)),I101*D101,0)</f>
        <v>0</v>
      </c>
      <c r="AA101" s="38" t="n">
        <f aca="false">IF(AND(ISNUMBER(P101),ISNUMBER(I101),ISNUMBER(D101)),D101,0)</f>
        <v>0</v>
      </c>
    </row>
    <row r="102" customFormat="false" ht="15" hidden="false" customHeight="false" outlineLevel="0" collapsed="false">
      <c r="A102" s="34"/>
      <c r="B102" s="34"/>
      <c r="C102" s="34"/>
      <c r="D102" s="34"/>
      <c r="E102" s="34"/>
      <c r="F102" s="34"/>
      <c r="G102" s="34"/>
      <c r="H102" s="8"/>
      <c r="I102" s="8"/>
      <c r="J102" s="34"/>
      <c r="L102" s="9" t="str">
        <f aca="false">IF(OR(B102="",E102=""),"",IFERROR(INDEX(Recetas!$R$5:$R$84,MATCH($E102,Recetas!$A$5:$A$84,0))*IFERROR(INDEX(Precios!$F$5:$F$120,MATCH(F102,Precios!$A$5:$A$120,0)),"")+IF(N(INDEX(Recetas!$S$5:$S$84,MATCH($E102,Recetas!$A$5:$A$84,0)))=0,0,INDEX(Recetas!$S$5:$S$84,MATCH($E102,Recetas!$A$5:$A$84,0))*IFERROR(INDEX(Precios!$F$5:$F$120,MATCH(G102,Precios!$A$5:$A$120,0)),"")),""))</f>
        <v/>
      </c>
      <c r="M102" s="9" t="str">
        <f aca="false">IF(OR(B102="",E102=""),"",IFERROR(N(INDEX(Recetas!$L$5:$L$84,MATCH($E102,Recetas!$A$5:$A$84,0)))*Parametros!$B$27,""))</f>
        <v/>
      </c>
      <c r="N102" s="9" t="str">
        <f aca="false">IF(OR(B102="",E102=""),"",IFERROR(INDEX(Confeccion!$B$5:$B$100,MATCH(INDEX(Recetas!$M$5:$M$84,MATCH($E102,Recetas!$A$5:$A$84,0)),Confeccion!$A$5:$A$100,0)),""))</f>
        <v/>
      </c>
      <c r="O102" s="9" t="str">
        <f aca="false">IF(OR(B102="",E102=""),"",IFERROR(N(INDEX(Recetas!$O$5:$O$84,MATCH($E102,Recetas!$A$5:$A$84,0)))*INDEX(Precios!$D$5:$D$120,MATCH(INDEX(Recetas!$N$5:$N$84,MATCH($E102,Recetas!$A$5:$A$84,0)),Precios!$A$5:$A$120,0)),0))</f>
        <v/>
      </c>
      <c r="P102" s="26" t="str">
        <f aca="false">IF(OR(B102="",E102=""),"",IF(AND(IFERROR(INDEX(Recetas!$T$5:$T$84,MATCH($E102,Recetas!$A$5:$A$84,0))="Lista",FALSE()),ISNUMBER(L102),ISNUMBER(M102),ISNUMBER(N102),N(N102)&gt;0),L102+M102+N102+N(O102)+N(H102),""))</f>
        <v/>
      </c>
      <c r="Q102" s="9" t="str">
        <f aca="false">IF(AND(ISNUMBER(P102),ISNUMBER(I102)),I102*Parametros!$B$12,"")</f>
        <v/>
      </c>
      <c r="R102" s="9" t="str">
        <f aca="false">IF(AND(ISNUMBER(P102),ISNUMBER(I102)),I102*Parametros!$B$13,"")</f>
        <v/>
      </c>
      <c r="S102" s="26" t="str">
        <f aca="false">IF(AND(ISNUMBER(P102),ISNUMBER(I102)),I102-P102-Q102-R102,"")</f>
        <v/>
      </c>
      <c r="T102" s="16" t="str">
        <f aca="false">IF(AND(ISNUMBER(P102),ISNUMBER(I102)),S102/I102,"")</f>
        <v/>
      </c>
      <c r="U102" s="9" t="str">
        <f aca="false">IF(OR(NOT(ISNUMBER(P102)),Parametros!$B$14&gt;=1),"",P102/(1-Parametros!$B$14))</f>
        <v/>
      </c>
      <c r="V102" s="9" t="str">
        <f aca="false">IF(OR(NOT(ISNUMBER(P102)),Parametros!$B$14+Parametros!$B$18&gt;=1),"",P102/(1-Parametros!$B$14-Parametros!$B$18))</f>
        <v/>
      </c>
      <c r="W102" s="35" t="str">
        <f aca="false">IF(B102="","",IF(E102="","SIN RECETA",IF(NOT(ISNUMBER(P102)),"FALTAN DATOS",IF(NOT(ISNUMBER(I102)),"FALTA PRECIO",IF(S102&lt;0,"PIERDE",IF(T102&lt;Parametros!$B$18,"BAJO META","OK"))))))</f>
        <v/>
      </c>
      <c r="X102" s="36" t="str">
        <f aca="false">IF(B102="","",IF(E102="","Elegir receta (molde). ",IF(ISNA(MATCH(E102,Recetas!$A$5:$A$84,0)),"La receta no existe. ",IF(IFERROR(INDEX(Recetas!$T$5:$T$84,MATCH($E102,Recetas!$A$5:$A$84,0))="Lista",FALSE()),"","Receta "&amp;E102&amp;": "&amp;INDEX(Recetas!$T$5:$T$84,MATCH($E102,Recetas!$A$5:$A$84,0)))))&amp;IF(F102="","Elegir tela. ",IF(IFERROR(INDEX(Precios!$F$5:$F$120,MATCH(F102,Precios!$A$5:$A$120,0)),"")="","Tela sin $/metro (falta rendimiento o precio). ",""))&amp;IF(AND(E102&lt;&gt;"",N(IFERROR(INDEX(Recetas!$S$5:$S$84,MATCH($E102,Recetas!$A$5:$A$84,0)),0))&gt;0,G102=""),"Elegir tela 2. ","")&amp;IF(NOT(ISNUMBER(I102)),"Precio de venta.",""))</f>
        <v/>
      </c>
      <c r="Y102" s="37" t="n">
        <f aca="false">IF(AND(ISNUMBER(P102),ISNUMBER(I102),ISNUMBER(D102)),P102*D102,0)</f>
        <v>0</v>
      </c>
      <c r="Z102" s="37" t="n">
        <f aca="false">IF(AND(ISNUMBER(P102),ISNUMBER(I102),ISNUMBER(D102)),I102*D102,0)</f>
        <v>0</v>
      </c>
      <c r="AA102" s="38" t="n">
        <f aca="false">IF(AND(ISNUMBER(P102),ISNUMBER(I102),ISNUMBER(D102)),D102,0)</f>
        <v>0</v>
      </c>
    </row>
    <row r="103" customFormat="false" ht="15" hidden="false" customHeight="false" outlineLevel="0" collapsed="false">
      <c r="A103" s="34"/>
      <c r="B103" s="34"/>
      <c r="C103" s="34"/>
      <c r="D103" s="34"/>
      <c r="E103" s="34"/>
      <c r="F103" s="34"/>
      <c r="G103" s="34"/>
      <c r="H103" s="8"/>
      <c r="I103" s="8"/>
      <c r="J103" s="34"/>
      <c r="L103" s="9" t="str">
        <f aca="false">IF(OR(B103="",E103=""),"",IFERROR(INDEX(Recetas!$R$5:$R$84,MATCH($E103,Recetas!$A$5:$A$84,0))*IFERROR(INDEX(Precios!$F$5:$F$120,MATCH(F103,Precios!$A$5:$A$120,0)),"")+IF(N(INDEX(Recetas!$S$5:$S$84,MATCH($E103,Recetas!$A$5:$A$84,0)))=0,0,INDEX(Recetas!$S$5:$S$84,MATCH($E103,Recetas!$A$5:$A$84,0))*IFERROR(INDEX(Precios!$F$5:$F$120,MATCH(G103,Precios!$A$5:$A$120,0)),"")),""))</f>
        <v/>
      </c>
      <c r="M103" s="9" t="str">
        <f aca="false">IF(OR(B103="",E103=""),"",IFERROR(N(INDEX(Recetas!$L$5:$L$84,MATCH($E103,Recetas!$A$5:$A$84,0)))*Parametros!$B$27,""))</f>
        <v/>
      </c>
      <c r="N103" s="9" t="str">
        <f aca="false">IF(OR(B103="",E103=""),"",IFERROR(INDEX(Confeccion!$B$5:$B$100,MATCH(INDEX(Recetas!$M$5:$M$84,MATCH($E103,Recetas!$A$5:$A$84,0)),Confeccion!$A$5:$A$100,0)),""))</f>
        <v/>
      </c>
      <c r="O103" s="9" t="str">
        <f aca="false">IF(OR(B103="",E103=""),"",IFERROR(N(INDEX(Recetas!$O$5:$O$84,MATCH($E103,Recetas!$A$5:$A$84,0)))*INDEX(Precios!$D$5:$D$120,MATCH(INDEX(Recetas!$N$5:$N$84,MATCH($E103,Recetas!$A$5:$A$84,0)),Precios!$A$5:$A$120,0)),0))</f>
        <v/>
      </c>
      <c r="P103" s="26" t="str">
        <f aca="false">IF(OR(B103="",E103=""),"",IF(AND(IFERROR(INDEX(Recetas!$T$5:$T$84,MATCH($E103,Recetas!$A$5:$A$84,0))="Lista",FALSE()),ISNUMBER(L103),ISNUMBER(M103),ISNUMBER(N103),N(N103)&gt;0),L103+M103+N103+N(O103)+N(H103),""))</f>
        <v/>
      </c>
      <c r="Q103" s="9" t="str">
        <f aca="false">IF(AND(ISNUMBER(P103),ISNUMBER(I103)),I103*Parametros!$B$12,"")</f>
        <v/>
      </c>
      <c r="R103" s="9" t="str">
        <f aca="false">IF(AND(ISNUMBER(P103),ISNUMBER(I103)),I103*Parametros!$B$13,"")</f>
        <v/>
      </c>
      <c r="S103" s="26" t="str">
        <f aca="false">IF(AND(ISNUMBER(P103),ISNUMBER(I103)),I103-P103-Q103-R103,"")</f>
        <v/>
      </c>
      <c r="T103" s="16" t="str">
        <f aca="false">IF(AND(ISNUMBER(P103),ISNUMBER(I103)),S103/I103,"")</f>
        <v/>
      </c>
      <c r="U103" s="9" t="str">
        <f aca="false">IF(OR(NOT(ISNUMBER(P103)),Parametros!$B$14&gt;=1),"",P103/(1-Parametros!$B$14))</f>
        <v/>
      </c>
      <c r="V103" s="9" t="str">
        <f aca="false">IF(OR(NOT(ISNUMBER(P103)),Parametros!$B$14+Parametros!$B$18&gt;=1),"",P103/(1-Parametros!$B$14-Parametros!$B$18))</f>
        <v/>
      </c>
      <c r="W103" s="35" t="str">
        <f aca="false">IF(B103="","",IF(E103="","SIN RECETA",IF(NOT(ISNUMBER(P103)),"FALTAN DATOS",IF(NOT(ISNUMBER(I103)),"FALTA PRECIO",IF(S103&lt;0,"PIERDE",IF(T103&lt;Parametros!$B$18,"BAJO META","OK"))))))</f>
        <v/>
      </c>
      <c r="X103" s="36" t="str">
        <f aca="false">IF(B103="","",IF(E103="","Elegir receta (molde). ",IF(ISNA(MATCH(E103,Recetas!$A$5:$A$84,0)),"La receta no existe. ",IF(IFERROR(INDEX(Recetas!$T$5:$T$84,MATCH($E103,Recetas!$A$5:$A$84,0))="Lista",FALSE()),"","Receta "&amp;E103&amp;": "&amp;INDEX(Recetas!$T$5:$T$84,MATCH($E103,Recetas!$A$5:$A$84,0)))))&amp;IF(F103="","Elegir tela. ",IF(IFERROR(INDEX(Precios!$F$5:$F$120,MATCH(F103,Precios!$A$5:$A$120,0)),"")="","Tela sin $/metro (falta rendimiento o precio). ",""))&amp;IF(AND(E103&lt;&gt;"",N(IFERROR(INDEX(Recetas!$S$5:$S$84,MATCH($E103,Recetas!$A$5:$A$84,0)),0))&gt;0,G103=""),"Elegir tela 2. ","")&amp;IF(NOT(ISNUMBER(I103)),"Precio de venta.",""))</f>
        <v/>
      </c>
      <c r="Y103" s="37" t="n">
        <f aca="false">IF(AND(ISNUMBER(P103),ISNUMBER(I103),ISNUMBER(D103)),P103*D103,0)</f>
        <v>0</v>
      </c>
      <c r="Z103" s="37" t="n">
        <f aca="false">IF(AND(ISNUMBER(P103),ISNUMBER(I103),ISNUMBER(D103)),I103*D103,0)</f>
        <v>0</v>
      </c>
      <c r="AA103" s="38" t="n">
        <f aca="false">IF(AND(ISNUMBER(P103),ISNUMBER(I103),ISNUMBER(D103)),D103,0)</f>
        <v>0</v>
      </c>
    </row>
    <row r="104" customFormat="false" ht="15" hidden="false" customHeight="false" outlineLevel="0" collapsed="false">
      <c r="A104" s="34"/>
      <c r="B104" s="34"/>
      <c r="C104" s="34"/>
      <c r="D104" s="34"/>
      <c r="E104" s="34"/>
      <c r="F104" s="34"/>
      <c r="G104" s="34"/>
      <c r="H104" s="8"/>
      <c r="I104" s="8"/>
      <c r="J104" s="34"/>
      <c r="L104" s="9" t="str">
        <f aca="false">IF(OR(B104="",E104=""),"",IFERROR(INDEX(Recetas!$R$5:$R$84,MATCH($E104,Recetas!$A$5:$A$84,0))*IFERROR(INDEX(Precios!$F$5:$F$120,MATCH(F104,Precios!$A$5:$A$120,0)),"")+IF(N(INDEX(Recetas!$S$5:$S$84,MATCH($E104,Recetas!$A$5:$A$84,0)))=0,0,INDEX(Recetas!$S$5:$S$84,MATCH($E104,Recetas!$A$5:$A$84,0))*IFERROR(INDEX(Precios!$F$5:$F$120,MATCH(G104,Precios!$A$5:$A$120,0)),"")),""))</f>
        <v/>
      </c>
      <c r="M104" s="9" t="str">
        <f aca="false">IF(OR(B104="",E104=""),"",IFERROR(N(INDEX(Recetas!$L$5:$L$84,MATCH($E104,Recetas!$A$5:$A$84,0)))*Parametros!$B$27,""))</f>
        <v/>
      </c>
      <c r="N104" s="9" t="str">
        <f aca="false">IF(OR(B104="",E104=""),"",IFERROR(INDEX(Confeccion!$B$5:$B$100,MATCH(INDEX(Recetas!$M$5:$M$84,MATCH($E104,Recetas!$A$5:$A$84,0)),Confeccion!$A$5:$A$100,0)),""))</f>
        <v/>
      </c>
      <c r="O104" s="9" t="str">
        <f aca="false">IF(OR(B104="",E104=""),"",IFERROR(N(INDEX(Recetas!$O$5:$O$84,MATCH($E104,Recetas!$A$5:$A$84,0)))*INDEX(Precios!$D$5:$D$120,MATCH(INDEX(Recetas!$N$5:$N$84,MATCH($E104,Recetas!$A$5:$A$84,0)),Precios!$A$5:$A$120,0)),0))</f>
        <v/>
      </c>
      <c r="P104" s="26" t="str">
        <f aca="false">IF(OR(B104="",E104=""),"",IF(AND(IFERROR(INDEX(Recetas!$T$5:$T$84,MATCH($E104,Recetas!$A$5:$A$84,0))="Lista",FALSE()),ISNUMBER(L104),ISNUMBER(M104),ISNUMBER(N104),N(N104)&gt;0),L104+M104+N104+N(O104)+N(H104),""))</f>
        <v/>
      </c>
      <c r="Q104" s="9" t="str">
        <f aca="false">IF(AND(ISNUMBER(P104),ISNUMBER(I104)),I104*Parametros!$B$12,"")</f>
        <v/>
      </c>
      <c r="R104" s="9" t="str">
        <f aca="false">IF(AND(ISNUMBER(P104),ISNUMBER(I104)),I104*Parametros!$B$13,"")</f>
        <v/>
      </c>
      <c r="S104" s="26" t="str">
        <f aca="false">IF(AND(ISNUMBER(P104),ISNUMBER(I104)),I104-P104-Q104-R104,"")</f>
        <v/>
      </c>
      <c r="T104" s="16" t="str">
        <f aca="false">IF(AND(ISNUMBER(P104),ISNUMBER(I104)),S104/I104,"")</f>
        <v/>
      </c>
      <c r="U104" s="9" t="str">
        <f aca="false">IF(OR(NOT(ISNUMBER(P104)),Parametros!$B$14&gt;=1),"",P104/(1-Parametros!$B$14))</f>
        <v/>
      </c>
      <c r="V104" s="9" t="str">
        <f aca="false">IF(OR(NOT(ISNUMBER(P104)),Parametros!$B$14+Parametros!$B$18&gt;=1),"",P104/(1-Parametros!$B$14-Parametros!$B$18))</f>
        <v/>
      </c>
      <c r="W104" s="35" t="str">
        <f aca="false">IF(B104="","",IF(E104="","SIN RECETA",IF(NOT(ISNUMBER(P104)),"FALTAN DATOS",IF(NOT(ISNUMBER(I104)),"FALTA PRECIO",IF(S104&lt;0,"PIERDE",IF(T104&lt;Parametros!$B$18,"BAJO META","OK"))))))</f>
        <v/>
      </c>
      <c r="X104" s="36" t="str">
        <f aca="false">IF(B104="","",IF(E104="","Elegir receta (molde). ",IF(ISNA(MATCH(E104,Recetas!$A$5:$A$84,0)),"La receta no existe. ",IF(IFERROR(INDEX(Recetas!$T$5:$T$84,MATCH($E104,Recetas!$A$5:$A$84,0))="Lista",FALSE()),"","Receta "&amp;E104&amp;": "&amp;INDEX(Recetas!$T$5:$T$84,MATCH($E104,Recetas!$A$5:$A$84,0)))))&amp;IF(F104="","Elegir tela. ",IF(IFERROR(INDEX(Precios!$F$5:$F$120,MATCH(F104,Precios!$A$5:$A$120,0)),"")="","Tela sin $/metro (falta rendimiento o precio). ",""))&amp;IF(AND(E104&lt;&gt;"",N(IFERROR(INDEX(Recetas!$S$5:$S$84,MATCH($E104,Recetas!$A$5:$A$84,0)),0))&gt;0,G104=""),"Elegir tela 2. ","")&amp;IF(NOT(ISNUMBER(I104)),"Precio de venta.",""))</f>
        <v/>
      </c>
      <c r="Y104" s="37" t="n">
        <f aca="false">IF(AND(ISNUMBER(P104),ISNUMBER(I104),ISNUMBER(D104)),P104*D104,0)</f>
        <v>0</v>
      </c>
      <c r="Z104" s="37" t="n">
        <f aca="false">IF(AND(ISNUMBER(P104),ISNUMBER(I104),ISNUMBER(D104)),I104*D104,0)</f>
        <v>0</v>
      </c>
      <c r="AA104" s="38" t="n">
        <f aca="false">IF(AND(ISNUMBER(P104),ISNUMBER(I104),ISNUMBER(D104)),D104,0)</f>
        <v>0</v>
      </c>
    </row>
    <row r="105" customFormat="false" ht="15" hidden="false" customHeight="false" outlineLevel="0" collapsed="false">
      <c r="A105" s="34"/>
      <c r="B105" s="34"/>
      <c r="C105" s="34"/>
      <c r="D105" s="34"/>
      <c r="E105" s="34"/>
      <c r="F105" s="34"/>
      <c r="G105" s="34"/>
      <c r="H105" s="8"/>
      <c r="I105" s="8"/>
      <c r="J105" s="34"/>
      <c r="L105" s="9" t="str">
        <f aca="false">IF(OR(B105="",E105=""),"",IFERROR(INDEX(Recetas!$R$5:$R$84,MATCH($E105,Recetas!$A$5:$A$84,0))*IFERROR(INDEX(Precios!$F$5:$F$120,MATCH(F105,Precios!$A$5:$A$120,0)),"")+IF(N(INDEX(Recetas!$S$5:$S$84,MATCH($E105,Recetas!$A$5:$A$84,0)))=0,0,INDEX(Recetas!$S$5:$S$84,MATCH($E105,Recetas!$A$5:$A$84,0))*IFERROR(INDEX(Precios!$F$5:$F$120,MATCH(G105,Precios!$A$5:$A$120,0)),"")),""))</f>
        <v/>
      </c>
      <c r="M105" s="9" t="str">
        <f aca="false">IF(OR(B105="",E105=""),"",IFERROR(N(INDEX(Recetas!$L$5:$L$84,MATCH($E105,Recetas!$A$5:$A$84,0)))*Parametros!$B$27,""))</f>
        <v/>
      </c>
      <c r="N105" s="9" t="str">
        <f aca="false">IF(OR(B105="",E105=""),"",IFERROR(INDEX(Confeccion!$B$5:$B$100,MATCH(INDEX(Recetas!$M$5:$M$84,MATCH($E105,Recetas!$A$5:$A$84,0)),Confeccion!$A$5:$A$100,0)),""))</f>
        <v/>
      </c>
      <c r="O105" s="9" t="str">
        <f aca="false">IF(OR(B105="",E105=""),"",IFERROR(N(INDEX(Recetas!$O$5:$O$84,MATCH($E105,Recetas!$A$5:$A$84,0)))*INDEX(Precios!$D$5:$D$120,MATCH(INDEX(Recetas!$N$5:$N$84,MATCH($E105,Recetas!$A$5:$A$84,0)),Precios!$A$5:$A$120,0)),0))</f>
        <v/>
      </c>
      <c r="P105" s="26" t="str">
        <f aca="false">IF(OR(B105="",E105=""),"",IF(AND(IFERROR(INDEX(Recetas!$T$5:$T$84,MATCH($E105,Recetas!$A$5:$A$84,0))="Lista",FALSE()),ISNUMBER(L105),ISNUMBER(M105),ISNUMBER(N105),N(N105)&gt;0),L105+M105+N105+N(O105)+N(H105),""))</f>
        <v/>
      </c>
      <c r="Q105" s="9" t="str">
        <f aca="false">IF(AND(ISNUMBER(P105),ISNUMBER(I105)),I105*Parametros!$B$12,"")</f>
        <v/>
      </c>
      <c r="R105" s="9" t="str">
        <f aca="false">IF(AND(ISNUMBER(P105),ISNUMBER(I105)),I105*Parametros!$B$13,"")</f>
        <v/>
      </c>
      <c r="S105" s="26" t="str">
        <f aca="false">IF(AND(ISNUMBER(P105),ISNUMBER(I105)),I105-P105-Q105-R105,"")</f>
        <v/>
      </c>
      <c r="T105" s="16" t="str">
        <f aca="false">IF(AND(ISNUMBER(P105),ISNUMBER(I105)),S105/I105,"")</f>
        <v/>
      </c>
      <c r="U105" s="9" t="str">
        <f aca="false">IF(OR(NOT(ISNUMBER(P105)),Parametros!$B$14&gt;=1),"",P105/(1-Parametros!$B$14))</f>
        <v/>
      </c>
      <c r="V105" s="9" t="str">
        <f aca="false">IF(OR(NOT(ISNUMBER(P105)),Parametros!$B$14+Parametros!$B$18&gt;=1),"",P105/(1-Parametros!$B$14-Parametros!$B$18))</f>
        <v/>
      </c>
      <c r="W105" s="35" t="str">
        <f aca="false">IF(B105="","",IF(E105="","SIN RECETA",IF(NOT(ISNUMBER(P105)),"FALTAN DATOS",IF(NOT(ISNUMBER(I105)),"FALTA PRECIO",IF(S105&lt;0,"PIERDE",IF(T105&lt;Parametros!$B$18,"BAJO META","OK"))))))</f>
        <v/>
      </c>
      <c r="X105" s="36" t="str">
        <f aca="false">IF(B105="","",IF(E105="","Elegir receta (molde). ",IF(ISNA(MATCH(E105,Recetas!$A$5:$A$84,0)),"La receta no existe. ",IF(IFERROR(INDEX(Recetas!$T$5:$T$84,MATCH($E105,Recetas!$A$5:$A$84,0))="Lista",FALSE()),"","Receta "&amp;E105&amp;": "&amp;INDEX(Recetas!$T$5:$T$84,MATCH($E105,Recetas!$A$5:$A$84,0)))))&amp;IF(F105="","Elegir tela. ",IF(IFERROR(INDEX(Precios!$F$5:$F$120,MATCH(F105,Precios!$A$5:$A$120,0)),"")="","Tela sin $/metro (falta rendimiento o precio). ",""))&amp;IF(AND(E105&lt;&gt;"",N(IFERROR(INDEX(Recetas!$S$5:$S$84,MATCH($E105,Recetas!$A$5:$A$84,0)),0))&gt;0,G105=""),"Elegir tela 2. ","")&amp;IF(NOT(ISNUMBER(I105)),"Precio de venta.",""))</f>
        <v/>
      </c>
      <c r="Y105" s="37" t="n">
        <f aca="false">IF(AND(ISNUMBER(P105),ISNUMBER(I105),ISNUMBER(D105)),P105*D105,0)</f>
        <v>0</v>
      </c>
      <c r="Z105" s="37" t="n">
        <f aca="false">IF(AND(ISNUMBER(P105),ISNUMBER(I105),ISNUMBER(D105)),I105*D105,0)</f>
        <v>0</v>
      </c>
      <c r="AA105" s="38" t="n">
        <f aca="false">IF(AND(ISNUMBER(P105),ISNUMBER(I105),ISNUMBER(D105)),D105,0)</f>
        <v>0</v>
      </c>
    </row>
    <row r="106" customFormat="false" ht="15" hidden="false" customHeight="false" outlineLevel="0" collapsed="false">
      <c r="A106" s="34"/>
      <c r="B106" s="34"/>
      <c r="C106" s="34"/>
      <c r="D106" s="34"/>
      <c r="E106" s="34"/>
      <c r="F106" s="34"/>
      <c r="G106" s="34"/>
      <c r="H106" s="8"/>
      <c r="I106" s="8"/>
      <c r="J106" s="34"/>
      <c r="L106" s="9" t="str">
        <f aca="false">IF(OR(B106="",E106=""),"",IFERROR(INDEX(Recetas!$R$5:$R$84,MATCH($E106,Recetas!$A$5:$A$84,0))*IFERROR(INDEX(Precios!$F$5:$F$120,MATCH(F106,Precios!$A$5:$A$120,0)),"")+IF(N(INDEX(Recetas!$S$5:$S$84,MATCH($E106,Recetas!$A$5:$A$84,0)))=0,0,INDEX(Recetas!$S$5:$S$84,MATCH($E106,Recetas!$A$5:$A$84,0))*IFERROR(INDEX(Precios!$F$5:$F$120,MATCH(G106,Precios!$A$5:$A$120,0)),"")),""))</f>
        <v/>
      </c>
      <c r="M106" s="9" t="str">
        <f aca="false">IF(OR(B106="",E106=""),"",IFERROR(N(INDEX(Recetas!$L$5:$L$84,MATCH($E106,Recetas!$A$5:$A$84,0)))*Parametros!$B$27,""))</f>
        <v/>
      </c>
      <c r="N106" s="9" t="str">
        <f aca="false">IF(OR(B106="",E106=""),"",IFERROR(INDEX(Confeccion!$B$5:$B$100,MATCH(INDEX(Recetas!$M$5:$M$84,MATCH($E106,Recetas!$A$5:$A$84,0)),Confeccion!$A$5:$A$100,0)),""))</f>
        <v/>
      </c>
      <c r="O106" s="9" t="str">
        <f aca="false">IF(OR(B106="",E106=""),"",IFERROR(N(INDEX(Recetas!$O$5:$O$84,MATCH($E106,Recetas!$A$5:$A$84,0)))*INDEX(Precios!$D$5:$D$120,MATCH(INDEX(Recetas!$N$5:$N$84,MATCH($E106,Recetas!$A$5:$A$84,0)),Precios!$A$5:$A$120,0)),0))</f>
        <v/>
      </c>
      <c r="P106" s="26" t="str">
        <f aca="false">IF(OR(B106="",E106=""),"",IF(AND(IFERROR(INDEX(Recetas!$T$5:$T$84,MATCH($E106,Recetas!$A$5:$A$84,0))="Lista",FALSE()),ISNUMBER(L106),ISNUMBER(M106),ISNUMBER(N106),N(N106)&gt;0),L106+M106+N106+N(O106)+N(H106),""))</f>
        <v/>
      </c>
      <c r="Q106" s="9" t="str">
        <f aca="false">IF(AND(ISNUMBER(P106),ISNUMBER(I106)),I106*Parametros!$B$12,"")</f>
        <v/>
      </c>
      <c r="R106" s="9" t="str">
        <f aca="false">IF(AND(ISNUMBER(P106),ISNUMBER(I106)),I106*Parametros!$B$13,"")</f>
        <v/>
      </c>
      <c r="S106" s="26" t="str">
        <f aca="false">IF(AND(ISNUMBER(P106),ISNUMBER(I106)),I106-P106-Q106-R106,"")</f>
        <v/>
      </c>
      <c r="T106" s="16" t="str">
        <f aca="false">IF(AND(ISNUMBER(P106),ISNUMBER(I106)),S106/I106,"")</f>
        <v/>
      </c>
      <c r="U106" s="9" t="str">
        <f aca="false">IF(OR(NOT(ISNUMBER(P106)),Parametros!$B$14&gt;=1),"",P106/(1-Parametros!$B$14))</f>
        <v/>
      </c>
      <c r="V106" s="9" t="str">
        <f aca="false">IF(OR(NOT(ISNUMBER(P106)),Parametros!$B$14+Parametros!$B$18&gt;=1),"",P106/(1-Parametros!$B$14-Parametros!$B$18))</f>
        <v/>
      </c>
      <c r="W106" s="35" t="str">
        <f aca="false">IF(B106="","",IF(E106="","SIN RECETA",IF(NOT(ISNUMBER(P106)),"FALTAN DATOS",IF(NOT(ISNUMBER(I106)),"FALTA PRECIO",IF(S106&lt;0,"PIERDE",IF(T106&lt;Parametros!$B$18,"BAJO META","OK"))))))</f>
        <v/>
      </c>
      <c r="X106" s="36" t="str">
        <f aca="false">IF(B106="","",IF(E106="","Elegir receta (molde). ",IF(ISNA(MATCH(E106,Recetas!$A$5:$A$84,0)),"La receta no existe. ",IF(IFERROR(INDEX(Recetas!$T$5:$T$84,MATCH($E106,Recetas!$A$5:$A$84,0))="Lista",FALSE()),"","Receta "&amp;E106&amp;": "&amp;INDEX(Recetas!$T$5:$T$84,MATCH($E106,Recetas!$A$5:$A$84,0)))))&amp;IF(F106="","Elegir tela. ",IF(IFERROR(INDEX(Precios!$F$5:$F$120,MATCH(F106,Precios!$A$5:$A$120,0)),"")="","Tela sin $/metro (falta rendimiento o precio). ",""))&amp;IF(AND(E106&lt;&gt;"",N(IFERROR(INDEX(Recetas!$S$5:$S$84,MATCH($E106,Recetas!$A$5:$A$84,0)),0))&gt;0,G106=""),"Elegir tela 2. ","")&amp;IF(NOT(ISNUMBER(I106)),"Precio de venta.",""))</f>
        <v/>
      </c>
      <c r="Y106" s="37" t="n">
        <f aca="false">IF(AND(ISNUMBER(P106),ISNUMBER(I106),ISNUMBER(D106)),P106*D106,0)</f>
        <v>0</v>
      </c>
      <c r="Z106" s="37" t="n">
        <f aca="false">IF(AND(ISNUMBER(P106),ISNUMBER(I106),ISNUMBER(D106)),I106*D106,0)</f>
        <v>0</v>
      </c>
      <c r="AA106" s="38" t="n">
        <f aca="false">IF(AND(ISNUMBER(P106),ISNUMBER(I106),ISNUMBER(D106)),D106,0)</f>
        <v>0</v>
      </c>
    </row>
    <row r="107" customFormat="false" ht="15" hidden="false" customHeight="false" outlineLevel="0" collapsed="false">
      <c r="A107" s="34"/>
      <c r="B107" s="34"/>
      <c r="C107" s="34"/>
      <c r="D107" s="34"/>
      <c r="E107" s="34"/>
      <c r="F107" s="34"/>
      <c r="G107" s="34"/>
      <c r="H107" s="8"/>
      <c r="I107" s="8"/>
      <c r="J107" s="34"/>
      <c r="L107" s="9" t="str">
        <f aca="false">IF(OR(B107="",E107=""),"",IFERROR(INDEX(Recetas!$R$5:$R$84,MATCH($E107,Recetas!$A$5:$A$84,0))*IFERROR(INDEX(Precios!$F$5:$F$120,MATCH(F107,Precios!$A$5:$A$120,0)),"")+IF(N(INDEX(Recetas!$S$5:$S$84,MATCH($E107,Recetas!$A$5:$A$84,0)))=0,0,INDEX(Recetas!$S$5:$S$84,MATCH($E107,Recetas!$A$5:$A$84,0))*IFERROR(INDEX(Precios!$F$5:$F$120,MATCH(G107,Precios!$A$5:$A$120,0)),"")),""))</f>
        <v/>
      </c>
      <c r="M107" s="9" t="str">
        <f aca="false">IF(OR(B107="",E107=""),"",IFERROR(N(INDEX(Recetas!$L$5:$L$84,MATCH($E107,Recetas!$A$5:$A$84,0)))*Parametros!$B$27,""))</f>
        <v/>
      </c>
      <c r="N107" s="9" t="str">
        <f aca="false">IF(OR(B107="",E107=""),"",IFERROR(INDEX(Confeccion!$B$5:$B$100,MATCH(INDEX(Recetas!$M$5:$M$84,MATCH($E107,Recetas!$A$5:$A$84,0)),Confeccion!$A$5:$A$100,0)),""))</f>
        <v/>
      </c>
      <c r="O107" s="9" t="str">
        <f aca="false">IF(OR(B107="",E107=""),"",IFERROR(N(INDEX(Recetas!$O$5:$O$84,MATCH($E107,Recetas!$A$5:$A$84,0)))*INDEX(Precios!$D$5:$D$120,MATCH(INDEX(Recetas!$N$5:$N$84,MATCH($E107,Recetas!$A$5:$A$84,0)),Precios!$A$5:$A$120,0)),0))</f>
        <v/>
      </c>
      <c r="P107" s="26" t="str">
        <f aca="false">IF(OR(B107="",E107=""),"",IF(AND(IFERROR(INDEX(Recetas!$T$5:$T$84,MATCH($E107,Recetas!$A$5:$A$84,0))="Lista",FALSE()),ISNUMBER(L107),ISNUMBER(M107),ISNUMBER(N107),N(N107)&gt;0),L107+M107+N107+N(O107)+N(H107),""))</f>
        <v/>
      </c>
      <c r="Q107" s="9" t="str">
        <f aca="false">IF(AND(ISNUMBER(P107),ISNUMBER(I107)),I107*Parametros!$B$12,"")</f>
        <v/>
      </c>
      <c r="R107" s="9" t="str">
        <f aca="false">IF(AND(ISNUMBER(P107),ISNUMBER(I107)),I107*Parametros!$B$13,"")</f>
        <v/>
      </c>
      <c r="S107" s="26" t="str">
        <f aca="false">IF(AND(ISNUMBER(P107),ISNUMBER(I107)),I107-P107-Q107-R107,"")</f>
        <v/>
      </c>
      <c r="T107" s="16" t="str">
        <f aca="false">IF(AND(ISNUMBER(P107),ISNUMBER(I107)),S107/I107,"")</f>
        <v/>
      </c>
      <c r="U107" s="9" t="str">
        <f aca="false">IF(OR(NOT(ISNUMBER(P107)),Parametros!$B$14&gt;=1),"",P107/(1-Parametros!$B$14))</f>
        <v/>
      </c>
      <c r="V107" s="9" t="str">
        <f aca="false">IF(OR(NOT(ISNUMBER(P107)),Parametros!$B$14+Parametros!$B$18&gt;=1),"",P107/(1-Parametros!$B$14-Parametros!$B$18))</f>
        <v/>
      </c>
      <c r="W107" s="35" t="str">
        <f aca="false">IF(B107="","",IF(E107="","SIN RECETA",IF(NOT(ISNUMBER(P107)),"FALTAN DATOS",IF(NOT(ISNUMBER(I107)),"FALTA PRECIO",IF(S107&lt;0,"PIERDE",IF(T107&lt;Parametros!$B$18,"BAJO META","OK"))))))</f>
        <v/>
      </c>
      <c r="X107" s="36" t="str">
        <f aca="false">IF(B107="","",IF(E107="","Elegir receta (molde). ",IF(ISNA(MATCH(E107,Recetas!$A$5:$A$84,0)),"La receta no existe. ",IF(IFERROR(INDEX(Recetas!$T$5:$T$84,MATCH($E107,Recetas!$A$5:$A$84,0))="Lista",FALSE()),"","Receta "&amp;E107&amp;": "&amp;INDEX(Recetas!$T$5:$T$84,MATCH($E107,Recetas!$A$5:$A$84,0)))))&amp;IF(F107="","Elegir tela. ",IF(IFERROR(INDEX(Precios!$F$5:$F$120,MATCH(F107,Precios!$A$5:$A$120,0)),"")="","Tela sin $/metro (falta rendimiento o precio). ",""))&amp;IF(AND(E107&lt;&gt;"",N(IFERROR(INDEX(Recetas!$S$5:$S$84,MATCH($E107,Recetas!$A$5:$A$84,0)),0))&gt;0,G107=""),"Elegir tela 2. ","")&amp;IF(NOT(ISNUMBER(I107)),"Precio de venta.",""))</f>
        <v/>
      </c>
      <c r="Y107" s="37" t="n">
        <f aca="false">IF(AND(ISNUMBER(P107),ISNUMBER(I107),ISNUMBER(D107)),P107*D107,0)</f>
        <v>0</v>
      </c>
      <c r="Z107" s="37" t="n">
        <f aca="false">IF(AND(ISNUMBER(P107),ISNUMBER(I107),ISNUMBER(D107)),I107*D107,0)</f>
        <v>0</v>
      </c>
      <c r="AA107" s="38" t="n">
        <f aca="false">IF(AND(ISNUMBER(P107),ISNUMBER(I107),ISNUMBER(D107)),D107,0)</f>
        <v>0</v>
      </c>
    </row>
    <row r="108" customFormat="false" ht="15" hidden="false" customHeight="false" outlineLevel="0" collapsed="false">
      <c r="A108" s="34"/>
      <c r="B108" s="34"/>
      <c r="C108" s="34"/>
      <c r="D108" s="34"/>
      <c r="E108" s="34"/>
      <c r="F108" s="34"/>
      <c r="G108" s="34"/>
      <c r="H108" s="8"/>
      <c r="I108" s="8"/>
      <c r="J108" s="34"/>
      <c r="L108" s="9" t="str">
        <f aca="false">IF(OR(B108="",E108=""),"",IFERROR(INDEX(Recetas!$R$5:$R$84,MATCH($E108,Recetas!$A$5:$A$84,0))*IFERROR(INDEX(Precios!$F$5:$F$120,MATCH(F108,Precios!$A$5:$A$120,0)),"")+IF(N(INDEX(Recetas!$S$5:$S$84,MATCH($E108,Recetas!$A$5:$A$84,0)))=0,0,INDEX(Recetas!$S$5:$S$84,MATCH($E108,Recetas!$A$5:$A$84,0))*IFERROR(INDEX(Precios!$F$5:$F$120,MATCH(G108,Precios!$A$5:$A$120,0)),"")),""))</f>
        <v/>
      </c>
      <c r="M108" s="9" t="str">
        <f aca="false">IF(OR(B108="",E108=""),"",IFERROR(N(INDEX(Recetas!$L$5:$L$84,MATCH($E108,Recetas!$A$5:$A$84,0)))*Parametros!$B$27,""))</f>
        <v/>
      </c>
      <c r="N108" s="9" t="str">
        <f aca="false">IF(OR(B108="",E108=""),"",IFERROR(INDEX(Confeccion!$B$5:$B$100,MATCH(INDEX(Recetas!$M$5:$M$84,MATCH($E108,Recetas!$A$5:$A$84,0)),Confeccion!$A$5:$A$100,0)),""))</f>
        <v/>
      </c>
      <c r="O108" s="9" t="str">
        <f aca="false">IF(OR(B108="",E108=""),"",IFERROR(N(INDEX(Recetas!$O$5:$O$84,MATCH($E108,Recetas!$A$5:$A$84,0)))*INDEX(Precios!$D$5:$D$120,MATCH(INDEX(Recetas!$N$5:$N$84,MATCH($E108,Recetas!$A$5:$A$84,0)),Precios!$A$5:$A$120,0)),0))</f>
        <v/>
      </c>
      <c r="P108" s="26" t="str">
        <f aca="false">IF(OR(B108="",E108=""),"",IF(AND(IFERROR(INDEX(Recetas!$T$5:$T$84,MATCH($E108,Recetas!$A$5:$A$84,0))="Lista",FALSE()),ISNUMBER(L108),ISNUMBER(M108),ISNUMBER(N108),N(N108)&gt;0),L108+M108+N108+N(O108)+N(H108),""))</f>
        <v/>
      </c>
      <c r="Q108" s="9" t="str">
        <f aca="false">IF(AND(ISNUMBER(P108),ISNUMBER(I108)),I108*Parametros!$B$12,"")</f>
        <v/>
      </c>
      <c r="R108" s="9" t="str">
        <f aca="false">IF(AND(ISNUMBER(P108),ISNUMBER(I108)),I108*Parametros!$B$13,"")</f>
        <v/>
      </c>
      <c r="S108" s="26" t="str">
        <f aca="false">IF(AND(ISNUMBER(P108),ISNUMBER(I108)),I108-P108-Q108-R108,"")</f>
        <v/>
      </c>
      <c r="T108" s="16" t="str">
        <f aca="false">IF(AND(ISNUMBER(P108),ISNUMBER(I108)),S108/I108,"")</f>
        <v/>
      </c>
      <c r="U108" s="9" t="str">
        <f aca="false">IF(OR(NOT(ISNUMBER(P108)),Parametros!$B$14&gt;=1),"",P108/(1-Parametros!$B$14))</f>
        <v/>
      </c>
      <c r="V108" s="9" t="str">
        <f aca="false">IF(OR(NOT(ISNUMBER(P108)),Parametros!$B$14+Parametros!$B$18&gt;=1),"",P108/(1-Parametros!$B$14-Parametros!$B$18))</f>
        <v/>
      </c>
      <c r="W108" s="35" t="str">
        <f aca="false">IF(B108="","",IF(E108="","SIN RECETA",IF(NOT(ISNUMBER(P108)),"FALTAN DATOS",IF(NOT(ISNUMBER(I108)),"FALTA PRECIO",IF(S108&lt;0,"PIERDE",IF(T108&lt;Parametros!$B$18,"BAJO META","OK"))))))</f>
        <v/>
      </c>
      <c r="X108" s="36" t="str">
        <f aca="false">IF(B108="","",IF(E108="","Elegir receta (molde). ",IF(ISNA(MATCH(E108,Recetas!$A$5:$A$84,0)),"La receta no existe. ",IF(IFERROR(INDEX(Recetas!$T$5:$T$84,MATCH($E108,Recetas!$A$5:$A$84,0))="Lista",FALSE()),"","Receta "&amp;E108&amp;": "&amp;INDEX(Recetas!$T$5:$T$84,MATCH($E108,Recetas!$A$5:$A$84,0)))))&amp;IF(F108="","Elegir tela. ",IF(IFERROR(INDEX(Precios!$F$5:$F$120,MATCH(F108,Precios!$A$5:$A$120,0)),"")="","Tela sin $/metro (falta rendimiento o precio). ",""))&amp;IF(AND(E108&lt;&gt;"",N(IFERROR(INDEX(Recetas!$S$5:$S$84,MATCH($E108,Recetas!$A$5:$A$84,0)),0))&gt;0,G108=""),"Elegir tela 2. ","")&amp;IF(NOT(ISNUMBER(I108)),"Precio de venta.",""))</f>
        <v/>
      </c>
      <c r="Y108" s="37" t="n">
        <f aca="false">IF(AND(ISNUMBER(P108),ISNUMBER(I108),ISNUMBER(D108)),P108*D108,0)</f>
        <v>0</v>
      </c>
      <c r="Z108" s="37" t="n">
        <f aca="false">IF(AND(ISNUMBER(P108),ISNUMBER(I108),ISNUMBER(D108)),I108*D108,0)</f>
        <v>0</v>
      </c>
      <c r="AA108" s="38" t="n">
        <f aca="false">IF(AND(ISNUMBER(P108),ISNUMBER(I108),ISNUMBER(D108)),D108,0)</f>
        <v>0</v>
      </c>
    </row>
    <row r="109" customFormat="false" ht="15" hidden="false" customHeight="false" outlineLevel="0" collapsed="false">
      <c r="A109" s="34"/>
      <c r="B109" s="34"/>
      <c r="C109" s="34"/>
      <c r="D109" s="34"/>
      <c r="E109" s="34"/>
      <c r="F109" s="34"/>
      <c r="G109" s="34"/>
      <c r="H109" s="8"/>
      <c r="I109" s="8"/>
      <c r="J109" s="34"/>
      <c r="L109" s="9" t="str">
        <f aca="false">IF(OR(B109="",E109=""),"",IFERROR(INDEX(Recetas!$R$5:$R$84,MATCH($E109,Recetas!$A$5:$A$84,0))*IFERROR(INDEX(Precios!$F$5:$F$120,MATCH(F109,Precios!$A$5:$A$120,0)),"")+IF(N(INDEX(Recetas!$S$5:$S$84,MATCH($E109,Recetas!$A$5:$A$84,0)))=0,0,INDEX(Recetas!$S$5:$S$84,MATCH($E109,Recetas!$A$5:$A$84,0))*IFERROR(INDEX(Precios!$F$5:$F$120,MATCH(G109,Precios!$A$5:$A$120,0)),"")),""))</f>
        <v/>
      </c>
      <c r="M109" s="9" t="str">
        <f aca="false">IF(OR(B109="",E109=""),"",IFERROR(N(INDEX(Recetas!$L$5:$L$84,MATCH($E109,Recetas!$A$5:$A$84,0)))*Parametros!$B$27,""))</f>
        <v/>
      </c>
      <c r="N109" s="9" t="str">
        <f aca="false">IF(OR(B109="",E109=""),"",IFERROR(INDEX(Confeccion!$B$5:$B$100,MATCH(INDEX(Recetas!$M$5:$M$84,MATCH($E109,Recetas!$A$5:$A$84,0)),Confeccion!$A$5:$A$100,0)),""))</f>
        <v/>
      </c>
      <c r="O109" s="9" t="str">
        <f aca="false">IF(OR(B109="",E109=""),"",IFERROR(N(INDEX(Recetas!$O$5:$O$84,MATCH($E109,Recetas!$A$5:$A$84,0)))*INDEX(Precios!$D$5:$D$120,MATCH(INDEX(Recetas!$N$5:$N$84,MATCH($E109,Recetas!$A$5:$A$84,0)),Precios!$A$5:$A$120,0)),0))</f>
        <v/>
      </c>
      <c r="P109" s="26" t="str">
        <f aca="false">IF(OR(B109="",E109=""),"",IF(AND(IFERROR(INDEX(Recetas!$T$5:$T$84,MATCH($E109,Recetas!$A$5:$A$84,0))="Lista",FALSE()),ISNUMBER(L109),ISNUMBER(M109),ISNUMBER(N109),N(N109)&gt;0),L109+M109+N109+N(O109)+N(H109),""))</f>
        <v/>
      </c>
      <c r="Q109" s="9" t="str">
        <f aca="false">IF(AND(ISNUMBER(P109),ISNUMBER(I109)),I109*Parametros!$B$12,"")</f>
        <v/>
      </c>
      <c r="R109" s="9" t="str">
        <f aca="false">IF(AND(ISNUMBER(P109),ISNUMBER(I109)),I109*Parametros!$B$13,"")</f>
        <v/>
      </c>
      <c r="S109" s="26" t="str">
        <f aca="false">IF(AND(ISNUMBER(P109),ISNUMBER(I109)),I109-P109-Q109-R109,"")</f>
        <v/>
      </c>
      <c r="T109" s="16" t="str">
        <f aca="false">IF(AND(ISNUMBER(P109),ISNUMBER(I109)),S109/I109,"")</f>
        <v/>
      </c>
      <c r="U109" s="9" t="str">
        <f aca="false">IF(OR(NOT(ISNUMBER(P109)),Parametros!$B$14&gt;=1),"",P109/(1-Parametros!$B$14))</f>
        <v/>
      </c>
      <c r="V109" s="9" t="str">
        <f aca="false">IF(OR(NOT(ISNUMBER(P109)),Parametros!$B$14+Parametros!$B$18&gt;=1),"",P109/(1-Parametros!$B$14-Parametros!$B$18))</f>
        <v/>
      </c>
      <c r="W109" s="35" t="str">
        <f aca="false">IF(B109="","",IF(E109="","SIN RECETA",IF(NOT(ISNUMBER(P109)),"FALTAN DATOS",IF(NOT(ISNUMBER(I109)),"FALTA PRECIO",IF(S109&lt;0,"PIERDE",IF(T109&lt;Parametros!$B$18,"BAJO META","OK"))))))</f>
        <v/>
      </c>
      <c r="X109" s="36" t="str">
        <f aca="false">IF(B109="","",IF(E109="","Elegir receta (molde). ",IF(ISNA(MATCH(E109,Recetas!$A$5:$A$84,0)),"La receta no existe. ",IF(IFERROR(INDEX(Recetas!$T$5:$T$84,MATCH($E109,Recetas!$A$5:$A$84,0))="Lista",FALSE()),"","Receta "&amp;E109&amp;": "&amp;INDEX(Recetas!$T$5:$T$84,MATCH($E109,Recetas!$A$5:$A$84,0)))))&amp;IF(F109="","Elegir tela. ",IF(IFERROR(INDEX(Precios!$F$5:$F$120,MATCH(F109,Precios!$A$5:$A$120,0)),"")="","Tela sin $/metro (falta rendimiento o precio). ",""))&amp;IF(AND(E109&lt;&gt;"",N(IFERROR(INDEX(Recetas!$S$5:$S$84,MATCH($E109,Recetas!$A$5:$A$84,0)),0))&gt;0,G109=""),"Elegir tela 2. ","")&amp;IF(NOT(ISNUMBER(I109)),"Precio de venta.",""))</f>
        <v/>
      </c>
      <c r="Y109" s="37" t="n">
        <f aca="false">IF(AND(ISNUMBER(P109),ISNUMBER(I109),ISNUMBER(D109)),P109*D109,0)</f>
        <v>0</v>
      </c>
      <c r="Z109" s="37" t="n">
        <f aca="false">IF(AND(ISNUMBER(P109),ISNUMBER(I109),ISNUMBER(D109)),I109*D109,0)</f>
        <v>0</v>
      </c>
      <c r="AA109" s="38" t="n">
        <f aca="false">IF(AND(ISNUMBER(P109),ISNUMBER(I109),ISNUMBER(D109)),D109,0)</f>
        <v>0</v>
      </c>
    </row>
    <row r="110" customFormat="false" ht="15" hidden="false" customHeight="false" outlineLevel="0" collapsed="false">
      <c r="A110" s="34"/>
      <c r="B110" s="34"/>
      <c r="C110" s="34"/>
      <c r="D110" s="34"/>
      <c r="E110" s="34"/>
      <c r="F110" s="34"/>
      <c r="G110" s="34"/>
      <c r="H110" s="8"/>
      <c r="I110" s="8"/>
      <c r="J110" s="34"/>
      <c r="L110" s="9" t="str">
        <f aca="false">IF(OR(B110="",E110=""),"",IFERROR(INDEX(Recetas!$R$5:$R$84,MATCH($E110,Recetas!$A$5:$A$84,0))*IFERROR(INDEX(Precios!$F$5:$F$120,MATCH(F110,Precios!$A$5:$A$120,0)),"")+IF(N(INDEX(Recetas!$S$5:$S$84,MATCH($E110,Recetas!$A$5:$A$84,0)))=0,0,INDEX(Recetas!$S$5:$S$84,MATCH($E110,Recetas!$A$5:$A$84,0))*IFERROR(INDEX(Precios!$F$5:$F$120,MATCH(G110,Precios!$A$5:$A$120,0)),"")),""))</f>
        <v/>
      </c>
      <c r="M110" s="9" t="str">
        <f aca="false">IF(OR(B110="",E110=""),"",IFERROR(N(INDEX(Recetas!$L$5:$L$84,MATCH($E110,Recetas!$A$5:$A$84,0)))*Parametros!$B$27,""))</f>
        <v/>
      </c>
      <c r="N110" s="9" t="str">
        <f aca="false">IF(OR(B110="",E110=""),"",IFERROR(INDEX(Confeccion!$B$5:$B$100,MATCH(INDEX(Recetas!$M$5:$M$84,MATCH($E110,Recetas!$A$5:$A$84,0)),Confeccion!$A$5:$A$100,0)),""))</f>
        <v/>
      </c>
      <c r="O110" s="9" t="str">
        <f aca="false">IF(OR(B110="",E110=""),"",IFERROR(N(INDEX(Recetas!$O$5:$O$84,MATCH($E110,Recetas!$A$5:$A$84,0)))*INDEX(Precios!$D$5:$D$120,MATCH(INDEX(Recetas!$N$5:$N$84,MATCH($E110,Recetas!$A$5:$A$84,0)),Precios!$A$5:$A$120,0)),0))</f>
        <v/>
      </c>
      <c r="P110" s="26" t="str">
        <f aca="false">IF(OR(B110="",E110=""),"",IF(AND(IFERROR(INDEX(Recetas!$T$5:$T$84,MATCH($E110,Recetas!$A$5:$A$84,0))="Lista",FALSE()),ISNUMBER(L110),ISNUMBER(M110),ISNUMBER(N110),N(N110)&gt;0),L110+M110+N110+N(O110)+N(H110),""))</f>
        <v/>
      </c>
      <c r="Q110" s="9" t="str">
        <f aca="false">IF(AND(ISNUMBER(P110),ISNUMBER(I110)),I110*Parametros!$B$12,"")</f>
        <v/>
      </c>
      <c r="R110" s="9" t="str">
        <f aca="false">IF(AND(ISNUMBER(P110),ISNUMBER(I110)),I110*Parametros!$B$13,"")</f>
        <v/>
      </c>
      <c r="S110" s="26" t="str">
        <f aca="false">IF(AND(ISNUMBER(P110),ISNUMBER(I110)),I110-P110-Q110-R110,"")</f>
        <v/>
      </c>
      <c r="T110" s="16" t="str">
        <f aca="false">IF(AND(ISNUMBER(P110),ISNUMBER(I110)),S110/I110,"")</f>
        <v/>
      </c>
      <c r="U110" s="9" t="str">
        <f aca="false">IF(OR(NOT(ISNUMBER(P110)),Parametros!$B$14&gt;=1),"",P110/(1-Parametros!$B$14))</f>
        <v/>
      </c>
      <c r="V110" s="9" t="str">
        <f aca="false">IF(OR(NOT(ISNUMBER(P110)),Parametros!$B$14+Parametros!$B$18&gt;=1),"",P110/(1-Parametros!$B$14-Parametros!$B$18))</f>
        <v/>
      </c>
      <c r="W110" s="35" t="str">
        <f aca="false">IF(B110="","",IF(E110="","SIN RECETA",IF(NOT(ISNUMBER(P110)),"FALTAN DATOS",IF(NOT(ISNUMBER(I110)),"FALTA PRECIO",IF(S110&lt;0,"PIERDE",IF(T110&lt;Parametros!$B$18,"BAJO META","OK"))))))</f>
        <v/>
      </c>
      <c r="X110" s="36" t="str">
        <f aca="false">IF(B110="","",IF(E110="","Elegir receta (molde). ",IF(ISNA(MATCH(E110,Recetas!$A$5:$A$84,0)),"La receta no existe. ",IF(IFERROR(INDEX(Recetas!$T$5:$T$84,MATCH($E110,Recetas!$A$5:$A$84,0))="Lista",FALSE()),"","Receta "&amp;E110&amp;": "&amp;INDEX(Recetas!$T$5:$T$84,MATCH($E110,Recetas!$A$5:$A$84,0)))))&amp;IF(F110="","Elegir tela. ",IF(IFERROR(INDEX(Precios!$F$5:$F$120,MATCH(F110,Precios!$A$5:$A$120,0)),"")="","Tela sin $/metro (falta rendimiento o precio). ",""))&amp;IF(AND(E110&lt;&gt;"",N(IFERROR(INDEX(Recetas!$S$5:$S$84,MATCH($E110,Recetas!$A$5:$A$84,0)),0))&gt;0,G110=""),"Elegir tela 2. ","")&amp;IF(NOT(ISNUMBER(I110)),"Precio de venta.",""))</f>
        <v/>
      </c>
      <c r="Y110" s="37" t="n">
        <f aca="false">IF(AND(ISNUMBER(P110),ISNUMBER(I110),ISNUMBER(D110)),P110*D110,0)</f>
        <v>0</v>
      </c>
      <c r="Z110" s="37" t="n">
        <f aca="false">IF(AND(ISNUMBER(P110),ISNUMBER(I110),ISNUMBER(D110)),I110*D110,0)</f>
        <v>0</v>
      </c>
      <c r="AA110" s="38" t="n">
        <f aca="false">IF(AND(ISNUMBER(P110),ISNUMBER(I110),ISNUMBER(D110)),D110,0)</f>
        <v>0</v>
      </c>
    </row>
  </sheetData>
  <autoFilter ref="A5:X110"/>
  <mergeCells count="4">
    <mergeCell ref="A4:D4"/>
    <mergeCell ref="E4:K4"/>
    <mergeCell ref="L4:P4"/>
    <mergeCell ref="Q4:X4"/>
  </mergeCells>
  <conditionalFormatting sqref="W6:W110">
    <cfRule type="cellIs" priority="2" operator="equal" aboveAverage="0" equalAverage="0" bottom="0" percent="0" rank="0" text="" dxfId="1">
      <formula>"PIERDE"</formula>
    </cfRule>
    <cfRule type="cellIs" priority="3" operator="equal" aboveAverage="0" equalAverage="0" bottom="0" percent="0" rank="0" text="" dxfId="14">
      <formula>"BAJO META"</formula>
    </cfRule>
    <cfRule type="cellIs" priority="4" operator="equal" aboveAverage="0" equalAverage="0" bottom="0" percent="0" rank="0" text="" dxfId="0">
      <formula>"OK"</formula>
    </cfRule>
    <cfRule type="cellIs" priority="5" operator="equal" aboveAverage="0" equalAverage="0" bottom="0" percent="0" rank="0" text="" dxfId="15">
      <formula>"FALTAN DATOS"</formula>
    </cfRule>
    <cfRule type="cellIs" priority="6" operator="equal" aboveAverage="0" equalAverage="0" bottom="0" percent="0" rank="0" text="" dxfId="15">
      <formula>"SIN RECETA"</formula>
    </cfRule>
    <cfRule type="cellIs" priority="7" operator="equal" aboveAverage="0" equalAverage="0" bottom="0" percent="0" rank="0" text="" dxfId="15">
      <formula>"FALTA PRECIO"</formula>
    </cfRule>
  </conditionalFormatting>
  <dataValidations count="4">
    <dataValidation allowBlank="true" errorStyle="stop" operator="between" showDropDown="false" showErrorMessage="false" showInputMessage="false" sqref="E6:E110" type="list">
      <formula1>Recetas!$A$5:$A$84</formula1>
      <formula2>0</formula2>
    </dataValidation>
    <dataValidation allowBlank="true" errorStyle="stop" operator="between" showDropDown="false" showErrorMessage="false" showInputMessage="false" sqref="F6:F110" type="list">
      <formula1>Precios!$A$5:$A$120</formula1>
      <formula2>0</formula2>
    </dataValidation>
    <dataValidation allowBlank="true" errorStyle="stop" operator="between" showDropDown="false" showErrorMessage="false" showInputMessage="false" sqref="G6:G110" type="list">
      <formula1>Precios!$A$5:$A$120</formula1>
      <formula2>0</formula2>
    </dataValidation>
    <dataValidation allowBlank="true" errorStyle="stop" operator="between" showDropDown="false" showErrorMessage="false" showInputMessage="false" sqref="J6:J11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32"/>
    <col collapsed="false" customWidth="true" hidden="false" outlineLevel="0" max="3" min="3" style="0" width="11"/>
    <col collapsed="false" customWidth="true" hidden="false" outlineLevel="0" max="4" min="4" style="0" width="10"/>
    <col collapsed="false" customWidth="true" hidden="false" outlineLevel="0" max="5" min="5" style="0" width="17"/>
    <col collapsed="false" customWidth="true" hidden="false" outlineLevel="0" max="6" min="6" style="0" width="26"/>
    <col collapsed="false" customWidth="true" hidden="false" outlineLevel="0" max="7" min="7" style="0" width="10"/>
    <col collapsed="false" customWidth="true" hidden="false" outlineLevel="0" max="8" min="8" style="0" width="14"/>
    <col collapsed="false" customWidth="true" hidden="false" outlineLevel="0" max="9" min="9" style="0" width="18"/>
    <col collapsed="false" customWidth="true" hidden="false" outlineLevel="0" max="10" min="10" style="0" width="10"/>
    <col collapsed="false" customWidth="true" hidden="false" outlineLevel="0" max="12" min="11" style="0" width="12"/>
    <col collapsed="false" customWidth="true" hidden="false" outlineLevel="0" max="13" min="13" style="0" width="30"/>
    <col collapsed="false" customWidth="true" hidden="false" outlineLevel="0" max="14" min="14" style="0" width="16"/>
    <col collapsed="false" customWidth="true" hidden="false" outlineLevel="0" max="15" min="15" style="0" width="9"/>
    <col collapsed="false" customWidth="true" hidden="false" outlineLevel="0" max="16" min="16" style="0" width="13"/>
    <col collapsed="false" customWidth="true" hidden="false" outlineLevel="0" max="17" min="17" style="0" width="44"/>
    <col collapsed="false" customWidth="true" hidden="false" outlineLevel="0" max="18" min="18" style="0" width="12"/>
    <col collapsed="false" customWidth="true" hidden="false" outlineLevel="0" max="19" min="19" style="0" width="10"/>
    <col collapsed="false" customWidth="true" hidden="false" outlineLevel="0" max="20" min="20" style="0" width="34"/>
  </cols>
  <sheetData>
    <row r="1" customFormat="false" ht="17.35" hidden="false" customHeight="false" outlineLevel="0" collapsed="false">
      <c r="A1" s="1" t="s">
        <v>290</v>
      </c>
    </row>
    <row r="2" customFormat="false" ht="15" hidden="false" customHeight="false" outlineLevel="0" collapsed="false">
      <c r="A2" s="2" t="s">
        <v>291</v>
      </c>
    </row>
    <row r="3" customFormat="false" ht="15" hidden="false" customHeight="false" outlineLevel="0" collapsed="false">
      <c r="A3" s="29" t="s">
        <v>292</v>
      </c>
      <c r="B3" s="29"/>
      <c r="C3" s="29"/>
      <c r="D3" s="29"/>
      <c r="E3" s="29"/>
      <c r="F3" s="30" t="s">
        <v>293</v>
      </c>
      <c r="G3" s="30"/>
      <c r="H3" s="30"/>
      <c r="I3" s="30"/>
      <c r="J3" s="30"/>
      <c r="K3" s="30"/>
      <c r="L3" s="30"/>
      <c r="M3" s="30"/>
      <c r="N3" s="30"/>
      <c r="O3" s="30"/>
      <c r="P3" s="30"/>
      <c r="Q3" s="30"/>
      <c r="R3" s="31" t="s">
        <v>294</v>
      </c>
      <c r="S3" s="31"/>
      <c r="T3" s="31"/>
    </row>
    <row r="4" customFormat="false" ht="43.5" hidden="false" customHeight="true" outlineLevel="0" collapsed="false">
      <c r="A4" s="5" t="s">
        <v>86</v>
      </c>
      <c r="B4" s="5" t="s">
        <v>295</v>
      </c>
      <c r="C4" s="5" t="s">
        <v>296</v>
      </c>
      <c r="D4" s="5" t="s">
        <v>297</v>
      </c>
      <c r="E4" s="5" t="s">
        <v>298</v>
      </c>
      <c r="F4" s="5" t="s">
        <v>299</v>
      </c>
      <c r="G4" s="5" t="s">
        <v>300</v>
      </c>
      <c r="H4" s="5" t="s">
        <v>301</v>
      </c>
      <c r="I4" s="5" t="s">
        <v>302</v>
      </c>
      <c r="J4" s="5" t="s">
        <v>303</v>
      </c>
      <c r="K4" s="5" t="s">
        <v>304</v>
      </c>
      <c r="L4" s="5" t="s">
        <v>305</v>
      </c>
      <c r="M4" s="5" t="s">
        <v>306</v>
      </c>
      <c r="N4" s="5" t="s">
        <v>307</v>
      </c>
      <c r="O4" s="5" t="s">
        <v>308</v>
      </c>
      <c r="P4" s="5" t="s">
        <v>91</v>
      </c>
      <c r="Q4" s="5" t="s">
        <v>92</v>
      </c>
      <c r="R4" s="5" t="s">
        <v>309</v>
      </c>
      <c r="S4" s="5" t="s">
        <v>310</v>
      </c>
      <c r="T4" s="5" t="s">
        <v>105</v>
      </c>
    </row>
    <row r="5" customFormat="false" ht="15" hidden="false" customHeight="false" outlineLevel="0" collapsed="false">
      <c r="A5" s="39" t="s">
        <v>311</v>
      </c>
      <c r="B5" s="7" t="s">
        <v>312</v>
      </c>
      <c r="C5" s="7" t="s">
        <v>313</v>
      </c>
      <c r="D5" s="7" t="s">
        <v>314</v>
      </c>
      <c r="E5" s="7" t="s">
        <v>315</v>
      </c>
      <c r="F5" s="34"/>
      <c r="G5" s="40"/>
      <c r="H5" s="40"/>
      <c r="I5" s="34"/>
      <c r="J5" s="40"/>
      <c r="K5" s="40"/>
      <c r="L5" s="41"/>
      <c r="M5" s="34" t="s">
        <v>316</v>
      </c>
      <c r="N5" s="34"/>
      <c r="O5" s="42"/>
      <c r="P5" s="34" t="s">
        <v>113</v>
      </c>
      <c r="Q5" s="10" t="s">
        <v>317</v>
      </c>
      <c r="R5" s="43" t="str">
        <f aca="false">IF(A5="","",IF(ISNUMBER(H5),H5,IF(AND(ISNUMBER(G5),N(IFERROR(INDEX(Precios!$E$5:$E$120,MATCH(F5,Precios!$A$5:$A$120,0)),0))&gt;0),G5*IFERROR(INDEX(Precios!$E$5:$E$120,MATCH(F5,Precios!$A$5:$A$120,0)),0),"")))</f>
        <v/>
      </c>
      <c r="S5" s="43" t="n">
        <f aca="false">IF(A5="","",IF(ISNUMBER(K5),K5,IF(NOT(ISNUMBER(J5)),0,IF(N(IFERROR(INDEX(Precios!$E$5:$E$120,MATCH(I5,Precios!$A$5:$A$120,0)),0))&gt;0,J5*IFERROR(INDEX(Precios!$E$5:$E$120,MATCH(I5,Precios!$A$5:$A$120,0)),0),""))))</f>
        <v>0</v>
      </c>
      <c r="T5" s="36" t="str">
        <f aca="false">IF(A5="","",IF(AND(ISNUMBER(R5),ISNUMBER(S5),L5&lt;&gt;"",M5&lt;&gt;""),"Lista",IF(AND(NOT(ISNUMBER(H5)),NOT(ISNUMBER(G5))),"Consumo de tela. ",IF(NOT(ISNUMBER(R5)),"Rendimiento de "&amp;F5&amp;" (m/kg) en Precios. ",""))&amp;IF(AND(ISNUMBER(J5),NOT(ISNUMBER(S5))),"Rendimiento de "&amp;I5&amp;" (m/kg) en Precios. ","")&amp;IF(L5="","Metros impresos. ","")&amp;IF(M5="","Confección. ","")))</f>
        <v>Consumo de tela. Metros impresos. </v>
      </c>
    </row>
    <row r="6" customFormat="false" ht="15" hidden="false" customHeight="false" outlineLevel="0" collapsed="false">
      <c r="A6" s="39" t="s">
        <v>112</v>
      </c>
      <c r="B6" s="7" t="s">
        <v>312</v>
      </c>
      <c r="C6" s="7" t="s">
        <v>313</v>
      </c>
      <c r="D6" s="7" t="s">
        <v>314</v>
      </c>
      <c r="E6" s="7" t="s">
        <v>318</v>
      </c>
      <c r="F6" s="34"/>
      <c r="G6" s="40"/>
      <c r="H6" s="40"/>
      <c r="I6" s="34"/>
      <c r="J6" s="40"/>
      <c r="K6" s="40"/>
      <c r="L6" s="41"/>
      <c r="M6" s="34" t="s">
        <v>316</v>
      </c>
      <c r="N6" s="34"/>
      <c r="O6" s="42"/>
      <c r="P6" s="34" t="s">
        <v>113</v>
      </c>
      <c r="Q6" s="10" t="s">
        <v>317</v>
      </c>
      <c r="R6" s="43" t="str">
        <f aca="false">IF(A6="","",IF(ISNUMBER(H6),H6,IF(AND(ISNUMBER(G6),N(IFERROR(INDEX(Precios!$E$5:$E$120,MATCH(F6,Precios!$A$5:$A$120,0)),0))&gt;0),G6*IFERROR(INDEX(Precios!$E$5:$E$120,MATCH(F6,Precios!$A$5:$A$120,0)),0),"")))</f>
        <v/>
      </c>
      <c r="S6" s="43" t="n">
        <f aca="false">IF(A6="","",IF(ISNUMBER(K6),K6,IF(NOT(ISNUMBER(J6)),0,IF(N(IFERROR(INDEX(Precios!$E$5:$E$120,MATCH(I6,Precios!$A$5:$A$120,0)),0))&gt;0,J6*IFERROR(INDEX(Precios!$E$5:$E$120,MATCH(I6,Precios!$A$5:$A$120,0)),0),""))))</f>
        <v>0</v>
      </c>
      <c r="T6" s="36" t="str">
        <f aca="false">IF(A6="","",IF(AND(ISNUMBER(R6),ISNUMBER(S6),L6&lt;&gt;"",M6&lt;&gt;""),"Lista",IF(AND(NOT(ISNUMBER(H6)),NOT(ISNUMBER(G6))),"Consumo de tela. ",IF(NOT(ISNUMBER(R6)),"Rendimiento de "&amp;F6&amp;" (m/kg) en Precios. ",""))&amp;IF(AND(ISNUMBER(J6),NOT(ISNUMBER(S6))),"Rendimiento de "&amp;I6&amp;" (m/kg) en Precios. ","")&amp;IF(L6="","Metros impresos. ","")&amp;IF(M6="","Confección. ","")))</f>
        <v>Consumo de tela. Metros impresos. </v>
      </c>
    </row>
    <row r="7" customFormat="false" ht="15" hidden="false" customHeight="false" outlineLevel="0" collapsed="false">
      <c r="A7" s="39" t="s">
        <v>319</v>
      </c>
      <c r="B7" s="7" t="s">
        <v>320</v>
      </c>
      <c r="C7" s="7" t="s">
        <v>313</v>
      </c>
      <c r="D7" s="7" t="s">
        <v>314</v>
      </c>
      <c r="E7" s="7" t="s">
        <v>321</v>
      </c>
      <c r="F7" s="34"/>
      <c r="G7" s="40"/>
      <c r="H7" s="40"/>
      <c r="I7" s="34"/>
      <c r="J7" s="40"/>
      <c r="K7" s="40"/>
      <c r="L7" s="41"/>
      <c r="M7" s="34" t="s">
        <v>316</v>
      </c>
      <c r="N7" s="34"/>
      <c r="O7" s="42"/>
      <c r="P7" s="34" t="s">
        <v>113</v>
      </c>
      <c r="Q7" s="10" t="s">
        <v>317</v>
      </c>
      <c r="R7" s="43" t="str">
        <f aca="false">IF(A7="","",IF(ISNUMBER(H7),H7,IF(AND(ISNUMBER(G7),N(IFERROR(INDEX(Precios!$E$5:$E$120,MATCH(F7,Precios!$A$5:$A$120,0)),0))&gt;0),G7*IFERROR(INDEX(Precios!$E$5:$E$120,MATCH(F7,Precios!$A$5:$A$120,0)),0),"")))</f>
        <v/>
      </c>
      <c r="S7" s="43" t="n">
        <f aca="false">IF(A7="","",IF(ISNUMBER(K7),K7,IF(NOT(ISNUMBER(J7)),0,IF(N(IFERROR(INDEX(Precios!$E$5:$E$120,MATCH(I7,Precios!$A$5:$A$120,0)),0))&gt;0,J7*IFERROR(INDEX(Precios!$E$5:$E$120,MATCH(I7,Precios!$A$5:$A$120,0)),0),""))))</f>
        <v>0</v>
      </c>
      <c r="T7" s="36" t="str">
        <f aca="false">IF(A7="","",IF(AND(ISNUMBER(R7),ISNUMBER(S7),L7&lt;&gt;"",M7&lt;&gt;""),"Lista",IF(AND(NOT(ISNUMBER(H7)),NOT(ISNUMBER(G7))),"Consumo de tela. ",IF(NOT(ISNUMBER(R7)),"Rendimiento de "&amp;F7&amp;" (m/kg) en Precios. ",""))&amp;IF(AND(ISNUMBER(J7),NOT(ISNUMBER(S7))),"Rendimiento de "&amp;I7&amp;" (m/kg) en Precios. ","")&amp;IF(L7="","Metros impresos. ","")&amp;IF(M7="","Confección. ","")))</f>
        <v>Consumo de tela. Metros impresos. </v>
      </c>
    </row>
    <row r="8" customFormat="false" ht="35.05" hidden="false" customHeight="false" outlineLevel="0" collapsed="false">
      <c r="A8" s="39" t="s">
        <v>322</v>
      </c>
      <c r="B8" s="7" t="s">
        <v>320</v>
      </c>
      <c r="C8" s="7" t="s">
        <v>313</v>
      </c>
      <c r="D8" s="7" t="s">
        <v>314</v>
      </c>
      <c r="E8" s="7" t="s">
        <v>323</v>
      </c>
      <c r="F8" s="34" t="s">
        <v>164</v>
      </c>
      <c r="G8" s="40" t="n">
        <v>0.0375</v>
      </c>
      <c r="H8" s="40"/>
      <c r="I8" s="34" t="s">
        <v>122</v>
      </c>
      <c r="J8" s="40" t="n">
        <v>0.024</v>
      </c>
      <c r="K8" s="40"/>
      <c r="L8" s="41"/>
      <c r="M8" s="34" t="s">
        <v>316</v>
      </c>
      <c r="N8" s="34"/>
      <c r="O8" s="42"/>
      <c r="P8" s="34" t="s">
        <v>113</v>
      </c>
      <c r="Q8" s="10" t="s">
        <v>324</v>
      </c>
      <c r="R8" s="43" t="str">
        <f aca="false">IF(A8="","",IF(ISNUMBER(H8),H8,IF(AND(ISNUMBER(G8),N(IFERROR(INDEX(Precios!$E$5:$E$120,MATCH(F8,Precios!$A$5:$A$120,0)),0))&gt;0),G8*IFERROR(INDEX(Precios!$E$5:$E$120,MATCH(F8,Precios!$A$5:$A$120,0)),0),"")))</f>
        <v/>
      </c>
      <c r="S8" s="43" t="str">
        <f aca="false">IF(A8="","",IF(ISNUMBER(K8),K8,IF(NOT(ISNUMBER(J8)),0,IF(N(IFERROR(INDEX(Precios!$E$5:$E$120,MATCH(I8,Precios!$A$5:$A$120,0)),0))&gt;0,J8*IFERROR(INDEX(Precios!$E$5:$E$120,MATCH(I8,Precios!$A$5:$A$120,0)),0),""))))</f>
        <v/>
      </c>
      <c r="T8" s="36" t="str">
        <f aca="false">IF(A8="","",IF(AND(ISNUMBER(R8),ISNUMBER(S8),L8&lt;&gt;"",M8&lt;&gt;""),"Lista",IF(AND(NOT(ISNUMBER(H8)),NOT(ISNUMBER(G8))),"Consumo de tela. ",IF(NOT(ISNUMBER(R8)),"Rendimiento de "&amp;F8&amp;" (m/kg) en Precios. ",""))&amp;IF(AND(ISNUMBER(J8),NOT(ISNUMBER(S8))),"Rendimiento de "&amp;I8&amp;" (m/kg) en Precios. ","")&amp;IF(L8="","Metros impresos. ","")&amp;IF(M8="","Confección. ","")))</f>
        <v>Rendimiento de CIRE BLANCO (m/kg) en Precios. Rendimiento de MESH (m/kg) en Precios. Metros impresos. </v>
      </c>
    </row>
    <row r="9" customFormat="false" ht="15" hidden="false" customHeight="false" outlineLevel="0" collapsed="false">
      <c r="A9" s="39" t="s">
        <v>325</v>
      </c>
      <c r="B9" s="7" t="s">
        <v>326</v>
      </c>
      <c r="C9" s="7" t="s">
        <v>313</v>
      </c>
      <c r="D9" s="7" t="s">
        <v>314</v>
      </c>
      <c r="E9" s="7" t="s">
        <v>315</v>
      </c>
      <c r="F9" s="34"/>
      <c r="G9" s="40"/>
      <c r="H9" s="40"/>
      <c r="I9" s="34"/>
      <c r="J9" s="40"/>
      <c r="K9" s="40"/>
      <c r="L9" s="41"/>
      <c r="M9" s="34" t="s">
        <v>316</v>
      </c>
      <c r="N9" s="34"/>
      <c r="O9" s="42"/>
      <c r="P9" s="34" t="s">
        <v>113</v>
      </c>
      <c r="Q9" s="10" t="s">
        <v>317</v>
      </c>
      <c r="R9" s="43" t="str">
        <f aca="false">IF(A9="","",IF(ISNUMBER(H9),H9,IF(AND(ISNUMBER(G9),N(IFERROR(INDEX(Precios!$E$5:$E$120,MATCH(F9,Precios!$A$5:$A$120,0)),0))&gt;0),G9*IFERROR(INDEX(Precios!$E$5:$E$120,MATCH(F9,Precios!$A$5:$A$120,0)),0),"")))</f>
        <v/>
      </c>
      <c r="S9" s="43" t="n">
        <f aca="false">IF(A9="","",IF(ISNUMBER(K9),K9,IF(NOT(ISNUMBER(J9)),0,IF(N(IFERROR(INDEX(Precios!$E$5:$E$120,MATCH(I9,Precios!$A$5:$A$120,0)),0))&gt;0,J9*IFERROR(INDEX(Precios!$E$5:$E$120,MATCH(I9,Precios!$A$5:$A$120,0)),0),""))))</f>
        <v>0</v>
      </c>
      <c r="T9" s="36" t="str">
        <f aca="false">IF(A9="","",IF(AND(ISNUMBER(R9),ISNUMBER(S9),L9&lt;&gt;"",M9&lt;&gt;""),"Lista",IF(AND(NOT(ISNUMBER(H9)),NOT(ISNUMBER(G9))),"Consumo de tela. ",IF(NOT(ISNUMBER(R9)),"Rendimiento de "&amp;F9&amp;" (m/kg) en Precios. ",""))&amp;IF(AND(ISNUMBER(J9),NOT(ISNUMBER(S9))),"Rendimiento de "&amp;I9&amp;" (m/kg) en Precios. ","")&amp;IF(L9="","Metros impresos. ","")&amp;IF(M9="","Confección. ","")))</f>
        <v>Consumo de tela. Metros impresos. </v>
      </c>
    </row>
    <row r="10" customFormat="false" ht="15" hidden="false" customHeight="false" outlineLevel="0" collapsed="false">
      <c r="A10" s="39" t="s">
        <v>132</v>
      </c>
      <c r="B10" s="7" t="s">
        <v>326</v>
      </c>
      <c r="C10" s="7" t="s">
        <v>313</v>
      </c>
      <c r="D10" s="7" t="s">
        <v>314</v>
      </c>
      <c r="E10" s="7" t="s">
        <v>318</v>
      </c>
      <c r="F10" s="34"/>
      <c r="G10" s="40"/>
      <c r="H10" s="40"/>
      <c r="I10" s="34"/>
      <c r="J10" s="40"/>
      <c r="K10" s="40"/>
      <c r="L10" s="41"/>
      <c r="M10" s="34" t="s">
        <v>316</v>
      </c>
      <c r="N10" s="34"/>
      <c r="O10" s="42"/>
      <c r="P10" s="34" t="s">
        <v>113</v>
      </c>
      <c r="Q10" s="10" t="s">
        <v>317</v>
      </c>
      <c r="R10" s="43" t="str">
        <f aca="false">IF(A10="","",IF(ISNUMBER(H10),H10,IF(AND(ISNUMBER(G10),N(IFERROR(INDEX(Precios!$E$5:$E$120,MATCH(F10,Precios!$A$5:$A$120,0)),0))&gt;0),G10*IFERROR(INDEX(Precios!$E$5:$E$120,MATCH(F10,Precios!$A$5:$A$120,0)),0),"")))</f>
        <v/>
      </c>
      <c r="S10" s="43" t="n">
        <f aca="false">IF(A10="","",IF(ISNUMBER(K10),K10,IF(NOT(ISNUMBER(J10)),0,IF(N(IFERROR(INDEX(Precios!$E$5:$E$120,MATCH(I10,Precios!$A$5:$A$120,0)),0))&gt;0,J10*IFERROR(INDEX(Precios!$E$5:$E$120,MATCH(I10,Precios!$A$5:$A$120,0)),0),""))))</f>
        <v>0</v>
      </c>
      <c r="T10" s="36" t="str">
        <f aca="false">IF(A10="","",IF(AND(ISNUMBER(R10),ISNUMBER(S10),L10&lt;&gt;"",M10&lt;&gt;""),"Lista",IF(AND(NOT(ISNUMBER(H10)),NOT(ISNUMBER(G10))),"Consumo de tela. ",IF(NOT(ISNUMBER(R10)),"Rendimiento de "&amp;F10&amp;" (m/kg) en Precios. ",""))&amp;IF(AND(ISNUMBER(J10),NOT(ISNUMBER(S10))),"Rendimiento de "&amp;I10&amp;" (m/kg) en Precios. ","")&amp;IF(L10="","Metros impresos. ","")&amp;IF(M10="","Confección. ","")))</f>
        <v>Consumo de tela. Metros impresos. </v>
      </c>
    </row>
    <row r="11" customFormat="false" ht="15" hidden="false" customHeight="false" outlineLevel="0" collapsed="false">
      <c r="A11" s="39" t="s">
        <v>327</v>
      </c>
      <c r="B11" s="7" t="s">
        <v>328</v>
      </c>
      <c r="C11" s="7" t="s">
        <v>313</v>
      </c>
      <c r="D11" s="7" t="s">
        <v>314</v>
      </c>
      <c r="E11" s="7" t="s">
        <v>321</v>
      </c>
      <c r="F11" s="34"/>
      <c r="G11" s="40"/>
      <c r="H11" s="40"/>
      <c r="I11" s="34"/>
      <c r="J11" s="40"/>
      <c r="K11" s="40"/>
      <c r="L11" s="41"/>
      <c r="M11" s="34" t="s">
        <v>316</v>
      </c>
      <c r="N11" s="34"/>
      <c r="O11" s="42"/>
      <c r="P11" s="34" t="s">
        <v>113</v>
      </c>
      <c r="Q11" s="10" t="s">
        <v>317</v>
      </c>
      <c r="R11" s="43" t="str">
        <f aca="false">IF(A11="","",IF(ISNUMBER(H11),H11,IF(AND(ISNUMBER(G11),N(IFERROR(INDEX(Precios!$E$5:$E$120,MATCH(F11,Precios!$A$5:$A$120,0)),0))&gt;0),G11*IFERROR(INDEX(Precios!$E$5:$E$120,MATCH(F11,Precios!$A$5:$A$120,0)),0),"")))</f>
        <v/>
      </c>
      <c r="S11" s="43" t="n">
        <f aca="false">IF(A11="","",IF(ISNUMBER(K11),K11,IF(NOT(ISNUMBER(J11)),0,IF(N(IFERROR(INDEX(Precios!$E$5:$E$120,MATCH(I11,Precios!$A$5:$A$120,0)),0))&gt;0,J11*IFERROR(INDEX(Precios!$E$5:$E$120,MATCH(I11,Precios!$A$5:$A$120,0)),0),""))))</f>
        <v>0</v>
      </c>
      <c r="T11" s="36" t="str">
        <f aca="false">IF(A11="","",IF(AND(ISNUMBER(R11),ISNUMBER(S11),L11&lt;&gt;"",M11&lt;&gt;""),"Lista",IF(AND(NOT(ISNUMBER(H11)),NOT(ISNUMBER(G11))),"Consumo de tela. ",IF(NOT(ISNUMBER(R11)),"Rendimiento de "&amp;F11&amp;" (m/kg) en Precios. ",""))&amp;IF(AND(ISNUMBER(J11),NOT(ISNUMBER(S11))),"Rendimiento de "&amp;I11&amp;" (m/kg) en Precios. ","")&amp;IF(L11="","Metros impresos. ","")&amp;IF(M11="","Confección. ","")))</f>
        <v>Consumo de tela. Metros impresos. </v>
      </c>
    </row>
    <row r="12" customFormat="false" ht="15" hidden="false" customHeight="false" outlineLevel="0" collapsed="false">
      <c r="A12" s="39" t="s">
        <v>329</v>
      </c>
      <c r="B12" s="7" t="s">
        <v>328</v>
      </c>
      <c r="C12" s="7" t="s">
        <v>313</v>
      </c>
      <c r="D12" s="7" t="s">
        <v>314</v>
      </c>
      <c r="E12" s="7" t="s">
        <v>323</v>
      </c>
      <c r="F12" s="34"/>
      <c r="G12" s="40"/>
      <c r="H12" s="40"/>
      <c r="I12" s="34"/>
      <c r="J12" s="40"/>
      <c r="K12" s="40"/>
      <c r="L12" s="41"/>
      <c r="M12" s="34" t="s">
        <v>316</v>
      </c>
      <c r="N12" s="34"/>
      <c r="O12" s="42"/>
      <c r="P12" s="34" t="s">
        <v>113</v>
      </c>
      <c r="Q12" s="10" t="s">
        <v>317</v>
      </c>
      <c r="R12" s="43" t="str">
        <f aca="false">IF(A12="","",IF(ISNUMBER(H12),H12,IF(AND(ISNUMBER(G12),N(IFERROR(INDEX(Precios!$E$5:$E$120,MATCH(F12,Precios!$A$5:$A$120,0)),0))&gt;0),G12*IFERROR(INDEX(Precios!$E$5:$E$120,MATCH(F12,Precios!$A$5:$A$120,0)),0),"")))</f>
        <v/>
      </c>
      <c r="S12" s="43" t="n">
        <f aca="false">IF(A12="","",IF(ISNUMBER(K12),K12,IF(NOT(ISNUMBER(J12)),0,IF(N(IFERROR(INDEX(Precios!$E$5:$E$120,MATCH(I12,Precios!$A$5:$A$120,0)),0))&gt;0,J12*IFERROR(INDEX(Precios!$E$5:$E$120,MATCH(I12,Precios!$A$5:$A$120,0)),0),""))))</f>
        <v>0</v>
      </c>
      <c r="T12" s="36" t="str">
        <f aca="false">IF(A12="","",IF(AND(ISNUMBER(R12),ISNUMBER(S12),L12&lt;&gt;"",M12&lt;&gt;""),"Lista",IF(AND(NOT(ISNUMBER(H12)),NOT(ISNUMBER(G12))),"Consumo de tela. ",IF(NOT(ISNUMBER(R12)),"Rendimiento de "&amp;F12&amp;" (m/kg) en Precios. ",""))&amp;IF(AND(ISNUMBER(J12),NOT(ISNUMBER(S12))),"Rendimiento de "&amp;I12&amp;" (m/kg) en Precios. ","")&amp;IF(L12="","Metros impresos. ","")&amp;IF(M12="","Confección. ","")))</f>
        <v>Consumo de tela. Metros impresos. </v>
      </c>
    </row>
    <row r="13" customFormat="false" ht="15" hidden="false" customHeight="false" outlineLevel="0" collapsed="false">
      <c r="A13" s="39" t="s">
        <v>330</v>
      </c>
      <c r="B13" s="7" t="s">
        <v>331</v>
      </c>
      <c r="C13" s="7" t="s">
        <v>313</v>
      </c>
      <c r="D13" s="7" t="s">
        <v>314</v>
      </c>
      <c r="E13" s="7" t="s">
        <v>315</v>
      </c>
      <c r="F13" s="34"/>
      <c r="G13" s="40"/>
      <c r="H13" s="40"/>
      <c r="I13" s="34"/>
      <c r="J13" s="40"/>
      <c r="K13" s="40"/>
      <c r="L13" s="41"/>
      <c r="M13" s="34" t="s">
        <v>316</v>
      </c>
      <c r="N13" s="34"/>
      <c r="O13" s="42"/>
      <c r="P13" s="34" t="s">
        <v>113</v>
      </c>
      <c r="Q13" s="10" t="s">
        <v>317</v>
      </c>
      <c r="R13" s="43" t="str">
        <f aca="false">IF(A13="","",IF(ISNUMBER(H13),H13,IF(AND(ISNUMBER(G13),N(IFERROR(INDEX(Precios!$E$5:$E$120,MATCH(F13,Precios!$A$5:$A$120,0)),0))&gt;0),G13*IFERROR(INDEX(Precios!$E$5:$E$120,MATCH(F13,Precios!$A$5:$A$120,0)),0),"")))</f>
        <v/>
      </c>
      <c r="S13" s="43" t="n">
        <f aca="false">IF(A13="","",IF(ISNUMBER(K13),K13,IF(NOT(ISNUMBER(J13)),0,IF(N(IFERROR(INDEX(Precios!$E$5:$E$120,MATCH(I13,Precios!$A$5:$A$120,0)),0))&gt;0,J13*IFERROR(INDEX(Precios!$E$5:$E$120,MATCH(I13,Precios!$A$5:$A$120,0)),0),""))))</f>
        <v>0</v>
      </c>
      <c r="T13" s="36" t="str">
        <f aca="false">IF(A13="","",IF(AND(ISNUMBER(R13),ISNUMBER(S13),L13&lt;&gt;"",M13&lt;&gt;""),"Lista",IF(AND(NOT(ISNUMBER(H13)),NOT(ISNUMBER(G13))),"Consumo de tela. ",IF(NOT(ISNUMBER(R13)),"Rendimiento de "&amp;F13&amp;" (m/kg) en Precios. ",""))&amp;IF(AND(ISNUMBER(J13),NOT(ISNUMBER(S13))),"Rendimiento de "&amp;I13&amp;" (m/kg) en Precios. ","")&amp;IF(L13="","Metros impresos. ","")&amp;IF(M13="","Confección. ","")))</f>
        <v>Consumo de tela. Metros impresos. </v>
      </c>
    </row>
    <row r="14" customFormat="false" ht="15" hidden="false" customHeight="false" outlineLevel="0" collapsed="false">
      <c r="A14" s="39" t="s">
        <v>208</v>
      </c>
      <c r="B14" s="7" t="s">
        <v>331</v>
      </c>
      <c r="C14" s="7" t="s">
        <v>313</v>
      </c>
      <c r="D14" s="7" t="s">
        <v>314</v>
      </c>
      <c r="E14" s="7" t="s">
        <v>318</v>
      </c>
      <c r="F14" s="34"/>
      <c r="G14" s="40"/>
      <c r="H14" s="40"/>
      <c r="I14" s="34"/>
      <c r="J14" s="40"/>
      <c r="K14" s="40"/>
      <c r="L14" s="41"/>
      <c r="M14" s="34" t="s">
        <v>316</v>
      </c>
      <c r="N14" s="34"/>
      <c r="O14" s="42"/>
      <c r="P14" s="34" t="s">
        <v>113</v>
      </c>
      <c r="Q14" s="10" t="s">
        <v>317</v>
      </c>
      <c r="R14" s="43" t="str">
        <f aca="false">IF(A14="","",IF(ISNUMBER(H14),H14,IF(AND(ISNUMBER(G14),N(IFERROR(INDEX(Precios!$E$5:$E$120,MATCH(F14,Precios!$A$5:$A$120,0)),0))&gt;0),G14*IFERROR(INDEX(Precios!$E$5:$E$120,MATCH(F14,Precios!$A$5:$A$120,0)),0),"")))</f>
        <v/>
      </c>
      <c r="S14" s="43" t="n">
        <f aca="false">IF(A14="","",IF(ISNUMBER(K14),K14,IF(NOT(ISNUMBER(J14)),0,IF(N(IFERROR(INDEX(Precios!$E$5:$E$120,MATCH(I14,Precios!$A$5:$A$120,0)),0))&gt;0,J14*IFERROR(INDEX(Precios!$E$5:$E$120,MATCH(I14,Precios!$A$5:$A$120,0)),0),""))))</f>
        <v>0</v>
      </c>
      <c r="T14" s="36" t="str">
        <f aca="false">IF(A14="","",IF(AND(ISNUMBER(R14),ISNUMBER(S14),L14&lt;&gt;"",M14&lt;&gt;""),"Lista",IF(AND(NOT(ISNUMBER(H14)),NOT(ISNUMBER(G14))),"Consumo de tela. ",IF(NOT(ISNUMBER(R14)),"Rendimiento de "&amp;F14&amp;" (m/kg) en Precios. ",""))&amp;IF(AND(ISNUMBER(J14),NOT(ISNUMBER(S14))),"Rendimiento de "&amp;I14&amp;" (m/kg) en Precios. ","")&amp;IF(L14="","Metros impresos. ","")&amp;IF(M14="","Confección. ","")))</f>
        <v>Consumo de tela. Metros impresos. </v>
      </c>
    </row>
    <row r="15" customFormat="false" ht="15" hidden="false" customHeight="false" outlineLevel="0" collapsed="false">
      <c r="A15" s="39" t="s">
        <v>332</v>
      </c>
      <c r="B15" s="7" t="s">
        <v>333</v>
      </c>
      <c r="C15" s="7" t="s">
        <v>313</v>
      </c>
      <c r="D15" s="7" t="s">
        <v>314</v>
      </c>
      <c r="E15" s="7" t="s">
        <v>321</v>
      </c>
      <c r="F15" s="34"/>
      <c r="G15" s="40"/>
      <c r="H15" s="40"/>
      <c r="I15" s="34"/>
      <c r="J15" s="40"/>
      <c r="K15" s="40"/>
      <c r="L15" s="41"/>
      <c r="M15" s="34" t="s">
        <v>316</v>
      </c>
      <c r="N15" s="34"/>
      <c r="O15" s="42"/>
      <c r="P15" s="34" t="s">
        <v>113</v>
      </c>
      <c r="Q15" s="10" t="s">
        <v>317</v>
      </c>
      <c r="R15" s="43" t="str">
        <f aca="false">IF(A15="","",IF(ISNUMBER(H15),H15,IF(AND(ISNUMBER(G15),N(IFERROR(INDEX(Precios!$E$5:$E$120,MATCH(F15,Precios!$A$5:$A$120,0)),0))&gt;0),G15*IFERROR(INDEX(Precios!$E$5:$E$120,MATCH(F15,Precios!$A$5:$A$120,0)),0),"")))</f>
        <v/>
      </c>
      <c r="S15" s="43" t="n">
        <f aca="false">IF(A15="","",IF(ISNUMBER(K15),K15,IF(NOT(ISNUMBER(J15)),0,IF(N(IFERROR(INDEX(Precios!$E$5:$E$120,MATCH(I15,Precios!$A$5:$A$120,0)),0))&gt;0,J15*IFERROR(INDEX(Precios!$E$5:$E$120,MATCH(I15,Precios!$A$5:$A$120,0)),0),""))))</f>
        <v>0</v>
      </c>
      <c r="T15" s="36" t="str">
        <f aca="false">IF(A15="","",IF(AND(ISNUMBER(R15),ISNUMBER(S15),L15&lt;&gt;"",M15&lt;&gt;""),"Lista",IF(AND(NOT(ISNUMBER(H15)),NOT(ISNUMBER(G15))),"Consumo de tela. ",IF(NOT(ISNUMBER(R15)),"Rendimiento de "&amp;F15&amp;" (m/kg) en Precios. ",""))&amp;IF(AND(ISNUMBER(J15),NOT(ISNUMBER(S15))),"Rendimiento de "&amp;I15&amp;" (m/kg) en Precios. ","")&amp;IF(L15="","Metros impresos. ","")&amp;IF(M15="","Confección. ","")))</f>
        <v>Consumo de tela. Metros impresos. </v>
      </c>
    </row>
    <row r="16" customFormat="false" ht="15" hidden="false" customHeight="false" outlineLevel="0" collapsed="false">
      <c r="A16" s="39" t="s">
        <v>334</v>
      </c>
      <c r="B16" s="7" t="s">
        <v>333</v>
      </c>
      <c r="C16" s="7" t="s">
        <v>313</v>
      </c>
      <c r="D16" s="7" t="s">
        <v>314</v>
      </c>
      <c r="E16" s="7" t="s">
        <v>323</v>
      </c>
      <c r="F16" s="34"/>
      <c r="G16" s="40"/>
      <c r="H16" s="40"/>
      <c r="I16" s="34"/>
      <c r="J16" s="40"/>
      <c r="K16" s="40"/>
      <c r="L16" s="41"/>
      <c r="M16" s="34" t="s">
        <v>316</v>
      </c>
      <c r="N16" s="34"/>
      <c r="O16" s="42"/>
      <c r="P16" s="34" t="s">
        <v>113</v>
      </c>
      <c r="Q16" s="10" t="s">
        <v>317</v>
      </c>
      <c r="R16" s="43" t="str">
        <f aca="false">IF(A16="","",IF(ISNUMBER(H16),H16,IF(AND(ISNUMBER(G16),N(IFERROR(INDEX(Precios!$E$5:$E$120,MATCH(F16,Precios!$A$5:$A$120,0)),0))&gt;0),G16*IFERROR(INDEX(Precios!$E$5:$E$120,MATCH(F16,Precios!$A$5:$A$120,0)),0),"")))</f>
        <v/>
      </c>
      <c r="S16" s="43" t="n">
        <f aca="false">IF(A16="","",IF(ISNUMBER(K16),K16,IF(NOT(ISNUMBER(J16)),0,IF(N(IFERROR(INDEX(Precios!$E$5:$E$120,MATCH(I16,Precios!$A$5:$A$120,0)),0))&gt;0,J16*IFERROR(INDEX(Precios!$E$5:$E$120,MATCH(I16,Precios!$A$5:$A$120,0)),0),""))))</f>
        <v>0</v>
      </c>
      <c r="T16" s="36" t="str">
        <f aca="false">IF(A16="","",IF(AND(ISNUMBER(R16),ISNUMBER(S16),L16&lt;&gt;"",M16&lt;&gt;""),"Lista",IF(AND(NOT(ISNUMBER(H16)),NOT(ISNUMBER(G16))),"Consumo de tela. ",IF(NOT(ISNUMBER(R16)),"Rendimiento de "&amp;F16&amp;" (m/kg) en Precios. ",""))&amp;IF(AND(ISNUMBER(J16),NOT(ISNUMBER(S16))),"Rendimiento de "&amp;I16&amp;" (m/kg) en Precios. ","")&amp;IF(L16="","Metros impresos. ","")&amp;IF(M16="","Confección. ","")))</f>
        <v>Consumo de tela. Metros impresos. </v>
      </c>
    </row>
    <row r="17" customFormat="false" ht="15" hidden="false" customHeight="false" outlineLevel="0" collapsed="false">
      <c r="A17" s="39" t="s">
        <v>335</v>
      </c>
      <c r="B17" s="7" t="s">
        <v>336</v>
      </c>
      <c r="C17" s="7" t="s">
        <v>313</v>
      </c>
      <c r="D17" s="7" t="s">
        <v>314</v>
      </c>
      <c r="E17" s="7" t="s">
        <v>315</v>
      </c>
      <c r="F17" s="34" t="s">
        <v>121</v>
      </c>
      <c r="G17" s="40" t="n">
        <v>0.1225</v>
      </c>
      <c r="H17" s="40"/>
      <c r="I17" s="34"/>
      <c r="J17" s="40"/>
      <c r="K17" s="40"/>
      <c r="L17" s="41"/>
      <c r="M17" s="34" t="s">
        <v>316</v>
      </c>
      <c r="N17" s="34"/>
      <c r="O17" s="42"/>
      <c r="P17" s="34" t="s">
        <v>113</v>
      </c>
      <c r="Q17" s="10" t="s">
        <v>337</v>
      </c>
      <c r="R17" s="43" t="n">
        <f aca="false">IF(A17="","",IF(ISNUMBER(H17),H17,IF(AND(ISNUMBER(G17),N(IFERROR(INDEX(Precios!$E$5:$E$120,MATCH(F17,Precios!$A$5:$A$120,0)),0))&gt;0),G17*IFERROR(INDEX(Precios!$E$5:$E$120,MATCH(F17,Precios!$A$5:$A$120,0)),0),"")))</f>
        <v>0.6223</v>
      </c>
      <c r="S17" s="43" t="n">
        <f aca="false">IF(A17="","",IF(ISNUMBER(K17),K17,IF(NOT(ISNUMBER(J17)),0,IF(N(IFERROR(INDEX(Precios!$E$5:$E$120,MATCH(I17,Precios!$A$5:$A$120,0)),0))&gt;0,J17*IFERROR(INDEX(Precios!$E$5:$E$120,MATCH(I17,Precios!$A$5:$A$120,0)),0),""))))</f>
        <v>0</v>
      </c>
      <c r="T17" s="36" t="str">
        <f aca="false">IF(A17="","",IF(AND(ISNUMBER(R17),ISNUMBER(S17),L17&lt;&gt;"",M17&lt;&gt;""),"Lista",IF(AND(NOT(ISNUMBER(H17)),NOT(ISNUMBER(G17))),"Consumo de tela. ",IF(NOT(ISNUMBER(R17)),"Rendimiento de "&amp;F17&amp;" (m/kg) en Precios. ",""))&amp;IF(AND(ISNUMBER(J17),NOT(ISNUMBER(S17))),"Rendimiento de "&amp;I17&amp;" (m/kg) en Precios. ","")&amp;IF(L17="","Metros impresos. ","")&amp;IF(M17="","Confección. ","")))</f>
        <v>Metros impresos. </v>
      </c>
    </row>
    <row r="18" customFormat="false" ht="22.35" hidden="false" customHeight="false" outlineLevel="0" collapsed="false">
      <c r="A18" s="39" t="s">
        <v>120</v>
      </c>
      <c r="B18" s="7" t="s">
        <v>336</v>
      </c>
      <c r="C18" s="7" t="s">
        <v>313</v>
      </c>
      <c r="D18" s="7" t="s">
        <v>314</v>
      </c>
      <c r="E18" s="7" t="s">
        <v>318</v>
      </c>
      <c r="F18" s="34" t="s">
        <v>121</v>
      </c>
      <c r="G18" s="40" t="n">
        <v>0.12</v>
      </c>
      <c r="H18" s="40"/>
      <c r="I18" s="34" t="s">
        <v>122</v>
      </c>
      <c r="J18" s="40" t="n">
        <v>0.0775</v>
      </c>
      <c r="K18" s="40"/>
      <c r="L18" s="41" t="n">
        <v>1.9</v>
      </c>
      <c r="M18" s="34" t="s">
        <v>316</v>
      </c>
      <c r="N18" s="34"/>
      <c r="O18" s="42"/>
      <c r="P18" s="34" t="s">
        <v>113</v>
      </c>
      <c r="Q18" s="10" t="s">
        <v>338</v>
      </c>
      <c r="R18" s="43" t="n">
        <f aca="false">IF(A18="","",IF(ISNUMBER(H18),H18,IF(AND(ISNUMBER(G18),N(IFERROR(INDEX(Precios!$E$5:$E$120,MATCH(F18,Precios!$A$5:$A$120,0)),0))&gt;0),G18*IFERROR(INDEX(Precios!$E$5:$E$120,MATCH(F18,Precios!$A$5:$A$120,0)),0),"")))</f>
        <v>0.6096</v>
      </c>
      <c r="S18" s="43" t="str">
        <f aca="false">IF(A18="","",IF(ISNUMBER(K18),K18,IF(NOT(ISNUMBER(J18)),0,IF(N(IFERROR(INDEX(Precios!$E$5:$E$120,MATCH(I18,Precios!$A$5:$A$120,0)),0))&gt;0,J18*IFERROR(INDEX(Precios!$E$5:$E$120,MATCH(I18,Precios!$A$5:$A$120,0)),0),""))))</f>
        <v/>
      </c>
      <c r="T18" s="36" t="str">
        <f aca="false">IF(A18="","",IF(AND(ISNUMBER(R18),ISNUMBER(S18),L18&lt;&gt;"",M18&lt;&gt;""),"Lista",IF(AND(NOT(ISNUMBER(H18)),NOT(ISNUMBER(G18))),"Consumo de tela. ",IF(NOT(ISNUMBER(R18)),"Rendimiento de "&amp;F18&amp;" (m/kg) en Precios. ",""))&amp;IF(AND(ISNUMBER(J18),NOT(ISNUMBER(S18))),"Rendimiento de "&amp;I18&amp;" (m/kg) en Precios. ","")&amp;IF(L18="","Metros impresos. ","")&amp;IF(M18="","Confección. ","")))</f>
        <v>Rendimiento de MESH (m/kg) en Precios. </v>
      </c>
    </row>
    <row r="19" customFormat="false" ht="15" hidden="false" customHeight="false" outlineLevel="0" collapsed="false">
      <c r="A19" s="39" t="s">
        <v>339</v>
      </c>
      <c r="B19" s="7" t="s">
        <v>340</v>
      </c>
      <c r="C19" s="7" t="s">
        <v>313</v>
      </c>
      <c r="D19" s="7" t="s">
        <v>314</v>
      </c>
      <c r="E19" s="7" t="s">
        <v>315</v>
      </c>
      <c r="F19" s="34"/>
      <c r="G19" s="40"/>
      <c r="H19" s="40"/>
      <c r="I19" s="34"/>
      <c r="J19" s="40"/>
      <c r="K19" s="40"/>
      <c r="L19" s="41"/>
      <c r="M19" s="34" t="s">
        <v>316</v>
      </c>
      <c r="N19" s="34"/>
      <c r="O19" s="42"/>
      <c r="P19" s="34" t="s">
        <v>113</v>
      </c>
      <c r="Q19" s="10" t="s">
        <v>317</v>
      </c>
      <c r="R19" s="43" t="str">
        <f aca="false">IF(A19="","",IF(ISNUMBER(H19),H19,IF(AND(ISNUMBER(G19),N(IFERROR(INDEX(Precios!$E$5:$E$120,MATCH(F19,Precios!$A$5:$A$120,0)),0))&gt;0),G19*IFERROR(INDEX(Precios!$E$5:$E$120,MATCH(F19,Precios!$A$5:$A$120,0)),0),"")))</f>
        <v/>
      </c>
      <c r="S19" s="43" t="n">
        <f aca="false">IF(A19="","",IF(ISNUMBER(K19),K19,IF(NOT(ISNUMBER(J19)),0,IF(N(IFERROR(INDEX(Precios!$E$5:$E$120,MATCH(I19,Precios!$A$5:$A$120,0)),0))&gt;0,J19*IFERROR(INDEX(Precios!$E$5:$E$120,MATCH(I19,Precios!$A$5:$A$120,0)),0),""))))</f>
        <v>0</v>
      </c>
      <c r="T19" s="36" t="str">
        <f aca="false">IF(A19="","",IF(AND(ISNUMBER(R19),ISNUMBER(S19),L19&lt;&gt;"",M19&lt;&gt;""),"Lista",IF(AND(NOT(ISNUMBER(H19)),NOT(ISNUMBER(G19))),"Consumo de tela. ",IF(NOT(ISNUMBER(R19)),"Rendimiento de "&amp;F19&amp;" (m/kg) en Precios. ",""))&amp;IF(AND(ISNUMBER(J19),NOT(ISNUMBER(S19))),"Rendimiento de "&amp;I19&amp;" (m/kg) en Precios. ","")&amp;IF(L19="","Metros impresos. ","")&amp;IF(M19="","Confección. ","")))</f>
        <v>Consumo de tela. Metros impresos. </v>
      </c>
    </row>
    <row r="20" customFormat="false" ht="15" hidden="false" customHeight="false" outlineLevel="0" collapsed="false">
      <c r="A20" s="39" t="s">
        <v>212</v>
      </c>
      <c r="B20" s="7" t="s">
        <v>340</v>
      </c>
      <c r="C20" s="7" t="s">
        <v>313</v>
      </c>
      <c r="D20" s="7" t="s">
        <v>314</v>
      </c>
      <c r="E20" s="7" t="s">
        <v>318</v>
      </c>
      <c r="F20" s="34"/>
      <c r="G20" s="40"/>
      <c r="H20" s="40"/>
      <c r="I20" s="34"/>
      <c r="J20" s="40"/>
      <c r="K20" s="40"/>
      <c r="L20" s="41"/>
      <c r="M20" s="34" t="s">
        <v>316</v>
      </c>
      <c r="N20" s="34"/>
      <c r="O20" s="42"/>
      <c r="P20" s="34" t="s">
        <v>113</v>
      </c>
      <c r="Q20" s="10" t="s">
        <v>317</v>
      </c>
      <c r="R20" s="43" t="str">
        <f aca="false">IF(A20="","",IF(ISNUMBER(H20),H20,IF(AND(ISNUMBER(G20),N(IFERROR(INDEX(Precios!$E$5:$E$120,MATCH(F20,Precios!$A$5:$A$120,0)),0))&gt;0),G20*IFERROR(INDEX(Precios!$E$5:$E$120,MATCH(F20,Precios!$A$5:$A$120,0)),0),"")))</f>
        <v/>
      </c>
      <c r="S20" s="43" t="n">
        <f aca="false">IF(A20="","",IF(ISNUMBER(K20),K20,IF(NOT(ISNUMBER(J20)),0,IF(N(IFERROR(INDEX(Precios!$E$5:$E$120,MATCH(I20,Precios!$A$5:$A$120,0)),0))&gt;0,J20*IFERROR(INDEX(Precios!$E$5:$E$120,MATCH(I20,Precios!$A$5:$A$120,0)),0),""))))</f>
        <v>0</v>
      </c>
      <c r="T20" s="36" t="str">
        <f aca="false">IF(A20="","",IF(AND(ISNUMBER(R20),ISNUMBER(S20),L20&lt;&gt;"",M20&lt;&gt;""),"Lista",IF(AND(NOT(ISNUMBER(H20)),NOT(ISNUMBER(G20))),"Consumo de tela. ",IF(NOT(ISNUMBER(R20)),"Rendimiento de "&amp;F20&amp;" (m/kg) en Precios. ",""))&amp;IF(AND(ISNUMBER(J20),NOT(ISNUMBER(S20))),"Rendimiento de "&amp;I20&amp;" (m/kg) en Precios. ","")&amp;IF(L20="","Metros impresos. ","")&amp;IF(M20="","Confección. ","")))</f>
        <v>Consumo de tela. Metros impresos. </v>
      </c>
    </row>
    <row r="21" customFormat="false" ht="15" hidden="false" customHeight="false" outlineLevel="0" collapsed="false">
      <c r="A21" s="39" t="s">
        <v>341</v>
      </c>
      <c r="B21" s="7" t="s">
        <v>342</v>
      </c>
      <c r="C21" s="7" t="s">
        <v>313</v>
      </c>
      <c r="D21" s="7" t="s">
        <v>314</v>
      </c>
      <c r="E21" s="7" t="s">
        <v>315</v>
      </c>
      <c r="F21" s="34"/>
      <c r="G21" s="40"/>
      <c r="H21" s="40"/>
      <c r="I21" s="34"/>
      <c r="J21" s="40"/>
      <c r="K21" s="40"/>
      <c r="L21" s="41"/>
      <c r="M21" s="34" t="s">
        <v>343</v>
      </c>
      <c r="N21" s="34"/>
      <c r="O21" s="42"/>
      <c r="P21" s="34" t="s">
        <v>113</v>
      </c>
      <c r="Q21" s="10" t="s">
        <v>317</v>
      </c>
      <c r="R21" s="43" t="str">
        <f aca="false">IF(A21="","",IF(ISNUMBER(H21),H21,IF(AND(ISNUMBER(G21),N(IFERROR(INDEX(Precios!$E$5:$E$120,MATCH(F21,Precios!$A$5:$A$120,0)),0))&gt;0),G21*IFERROR(INDEX(Precios!$E$5:$E$120,MATCH(F21,Precios!$A$5:$A$120,0)),0),"")))</f>
        <v/>
      </c>
      <c r="S21" s="43" t="n">
        <f aca="false">IF(A21="","",IF(ISNUMBER(K21),K21,IF(NOT(ISNUMBER(J21)),0,IF(N(IFERROR(INDEX(Precios!$E$5:$E$120,MATCH(I21,Precios!$A$5:$A$120,0)),0))&gt;0,J21*IFERROR(INDEX(Precios!$E$5:$E$120,MATCH(I21,Precios!$A$5:$A$120,0)),0),""))))</f>
        <v>0</v>
      </c>
      <c r="T21" s="36" t="str">
        <f aca="false">IF(A21="","",IF(AND(ISNUMBER(R21),ISNUMBER(S21),L21&lt;&gt;"",M21&lt;&gt;""),"Lista",IF(AND(NOT(ISNUMBER(H21)),NOT(ISNUMBER(G21))),"Consumo de tela. ",IF(NOT(ISNUMBER(R21)),"Rendimiento de "&amp;F21&amp;" (m/kg) en Precios. ",""))&amp;IF(AND(ISNUMBER(J21),NOT(ISNUMBER(S21))),"Rendimiento de "&amp;I21&amp;" (m/kg) en Precios. ","")&amp;IF(L21="","Metros impresos. ","")&amp;IF(M21="","Confección. ","")))</f>
        <v>Consumo de tela. Metros impresos. </v>
      </c>
    </row>
    <row r="22" customFormat="false" ht="15" hidden="false" customHeight="false" outlineLevel="0" collapsed="false">
      <c r="A22" s="39" t="s">
        <v>344</v>
      </c>
      <c r="B22" s="7" t="s">
        <v>342</v>
      </c>
      <c r="C22" s="7" t="s">
        <v>313</v>
      </c>
      <c r="D22" s="7" t="s">
        <v>314</v>
      </c>
      <c r="E22" s="7" t="s">
        <v>318</v>
      </c>
      <c r="F22" s="34"/>
      <c r="G22" s="40"/>
      <c r="H22" s="40"/>
      <c r="I22" s="34"/>
      <c r="J22" s="40"/>
      <c r="K22" s="40"/>
      <c r="L22" s="41"/>
      <c r="M22" s="34" t="s">
        <v>343</v>
      </c>
      <c r="N22" s="34"/>
      <c r="O22" s="42"/>
      <c r="P22" s="34" t="s">
        <v>113</v>
      </c>
      <c r="Q22" s="10" t="s">
        <v>317</v>
      </c>
      <c r="R22" s="43" t="str">
        <f aca="false">IF(A22="","",IF(ISNUMBER(H22),H22,IF(AND(ISNUMBER(G22),N(IFERROR(INDEX(Precios!$E$5:$E$120,MATCH(F22,Precios!$A$5:$A$120,0)),0))&gt;0),G22*IFERROR(INDEX(Precios!$E$5:$E$120,MATCH(F22,Precios!$A$5:$A$120,0)),0),"")))</f>
        <v/>
      </c>
      <c r="S22" s="43" t="n">
        <f aca="false">IF(A22="","",IF(ISNUMBER(K22),K22,IF(NOT(ISNUMBER(J22)),0,IF(N(IFERROR(INDEX(Precios!$E$5:$E$120,MATCH(I22,Precios!$A$5:$A$120,0)),0))&gt;0,J22*IFERROR(INDEX(Precios!$E$5:$E$120,MATCH(I22,Precios!$A$5:$A$120,0)),0),""))))</f>
        <v>0</v>
      </c>
      <c r="T22" s="36" t="str">
        <f aca="false">IF(A22="","",IF(AND(ISNUMBER(R22),ISNUMBER(S22),L22&lt;&gt;"",M22&lt;&gt;""),"Lista",IF(AND(NOT(ISNUMBER(H22)),NOT(ISNUMBER(G22))),"Consumo de tela. ",IF(NOT(ISNUMBER(R22)),"Rendimiento de "&amp;F22&amp;" (m/kg) en Precios. ",""))&amp;IF(AND(ISNUMBER(J22),NOT(ISNUMBER(S22))),"Rendimiento de "&amp;I22&amp;" (m/kg) en Precios. ","")&amp;IF(L22="","Metros impresos. ","")&amp;IF(M22="","Confección. ","")))</f>
        <v>Consumo de tela. Metros impresos. </v>
      </c>
    </row>
    <row r="23" customFormat="false" ht="15" hidden="false" customHeight="false" outlineLevel="0" collapsed="false">
      <c r="A23" s="39" t="s">
        <v>345</v>
      </c>
      <c r="B23" s="7" t="s">
        <v>346</v>
      </c>
      <c r="C23" s="7" t="s">
        <v>313</v>
      </c>
      <c r="D23" s="7" t="s">
        <v>314</v>
      </c>
      <c r="E23" s="7" t="s">
        <v>321</v>
      </c>
      <c r="F23" s="34"/>
      <c r="G23" s="40"/>
      <c r="H23" s="40"/>
      <c r="I23" s="34"/>
      <c r="J23" s="40"/>
      <c r="K23" s="40"/>
      <c r="L23" s="41"/>
      <c r="M23" s="34" t="s">
        <v>343</v>
      </c>
      <c r="N23" s="34"/>
      <c r="O23" s="42"/>
      <c r="P23" s="34" t="s">
        <v>113</v>
      </c>
      <c r="Q23" s="10" t="s">
        <v>317</v>
      </c>
      <c r="R23" s="43" t="str">
        <f aca="false">IF(A23="","",IF(ISNUMBER(H23),H23,IF(AND(ISNUMBER(G23),N(IFERROR(INDEX(Precios!$E$5:$E$120,MATCH(F23,Precios!$A$5:$A$120,0)),0))&gt;0),G23*IFERROR(INDEX(Precios!$E$5:$E$120,MATCH(F23,Precios!$A$5:$A$120,0)),0),"")))</f>
        <v/>
      </c>
      <c r="S23" s="43" t="n">
        <f aca="false">IF(A23="","",IF(ISNUMBER(K23),K23,IF(NOT(ISNUMBER(J23)),0,IF(N(IFERROR(INDEX(Precios!$E$5:$E$120,MATCH(I23,Precios!$A$5:$A$120,0)),0))&gt;0,J23*IFERROR(INDEX(Precios!$E$5:$E$120,MATCH(I23,Precios!$A$5:$A$120,0)),0),""))))</f>
        <v>0</v>
      </c>
      <c r="T23" s="36" t="str">
        <f aca="false">IF(A23="","",IF(AND(ISNUMBER(R23),ISNUMBER(S23),L23&lt;&gt;"",M23&lt;&gt;""),"Lista",IF(AND(NOT(ISNUMBER(H23)),NOT(ISNUMBER(G23))),"Consumo de tela. ",IF(NOT(ISNUMBER(R23)),"Rendimiento de "&amp;F23&amp;" (m/kg) en Precios. ",""))&amp;IF(AND(ISNUMBER(J23),NOT(ISNUMBER(S23))),"Rendimiento de "&amp;I23&amp;" (m/kg) en Precios. ","")&amp;IF(L23="","Metros impresos. ","")&amp;IF(M23="","Confección. ","")))</f>
        <v>Consumo de tela. Metros impresos. </v>
      </c>
    </row>
    <row r="24" customFormat="false" ht="15" hidden="false" customHeight="false" outlineLevel="0" collapsed="false">
      <c r="A24" s="39" t="s">
        <v>347</v>
      </c>
      <c r="B24" s="7" t="s">
        <v>346</v>
      </c>
      <c r="C24" s="7" t="s">
        <v>313</v>
      </c>
      <c r="D24" s="7" t="s">
        <v>314</v>
      </c>
      <c r="E24" s="7" t="s">
        <v>323</v>
      </c>
      <c r="F24" s="34"/>
      <c r="G24" s="40"/>
      <c r="H24" s="40"/>
      <c r="I24" s="34"/>
      <c r="J24" s="40"/>
      <c r="K24" s="40"/>
      <c r="L24" s="41"/>
      <c r="M24" s="34" t="s">
        <v>343</v>
      </c>
      <c r="N24" s="34"/>
      <c r="O24" s="42"/>
      <c r="P24" s="34" t="s">
        <v>113</v>
      </c>
      <c r="Q24" s="10" t="s">
        <v>317</v>
      </c>
      <c r="R24" s="43" t="str">
        <f aca="false">IF(A24="","",IF(ISNUMBER(H24),H24,IF(AND(ISNUMBER(G24),N(IFERROR(INDEX(Precios!$E$5:$E$120,MATCH(F24,Precios!$A$5:$A$120,0)),0))&gt;0),G24*IFERROR(INDEX(Precios!$E$5:$E$120,MATCH(F24,Precios!$A$5:$A$120,0)),0),"")))</f>
        <v/>
      </c>
      <c r="S24" s="43" t="n">
        <f aca="false">IF(A24="","",IF(ISNUMBER(K24),K24,IF(NOT(ISNUMBER(J24)),0,IF(N(IFERROR(INDEX(Precios!$E$5:$E$120,MATCH(I24,Precios!$A$5:$A$120,0)),0))&gt;0,J24*IFERROR(INDEX(Precios!$E$5:$E$120,MATCH(I24,Precios!$A$5:$A$120,0)),0),""))))</f>
        <v>0</v>
      </c>
      <c r="T24" s="36" t="str">
        <f aca="false">IF(A24="","",IF(AND(ISNUMBER(R24),ISNUMBER(S24),L24&lt;&gt;"",M24&lt;&gt;""),"Lista",IF(AND(NOT(ISNUMBER(H24)),NOT(ISNUMBER(G24))),"Consumo de tela. ",IF(NOT(ISNUMBER(R24)),"Rendimiento de "&amp;F24&amp;" (m/kg) en Precios. ",""))&amp;IF(AND(ISNUMBER(J24),NOT(ISNUMBER(S24))),"Rendimiento de "&amp;I24&amp;" (m/kg) en Precios. ","")&amp;IF(L24="","Metros impresos. ","")&amp;IF(M24="","Confección. ","")))</f>
        <v>Consumo de tela. Metros impresos. </v>
      </c>
    </row>
    <row r="25" customFormat="false" ht="15" hidden="false" customHeight="false" outlineLevel="0" collapsed="false">
      <c r="A25" s="39" t="s">
        <v>348</v>
      </c>
      <c r="B25" s="7" t="s">
        <v>349</v>
      </c>
      <c r="C25" s="7" t="s">
        <v>313</v>
      </c>
      <c r="D25" s="7" t="s">
        <v>314</v>
      </c>
      <c r="E25" s="7" t="s">
        <v>315</v>
      </c>
      <c r="F25" s="34"/>
      <c r="G25" s="40"/>
      <c r="H25" s="40"/>
      <c r="I25" s="34"/>
      <c r="J25" s="40"/>
      <c r="K25" s="40"/>
      <c r="L25" s="41"/>
      <c r="M25" s="34" t="s">
        <v>343</v>
      </c>
      <c r="N25" s="34"/>
      <c r="O25" s="42"/>
      <c r="P25" s="34" t="s">
        <v>113</v>
      </c>
      <c r="Q25" s="10" t="s">
        <v>317</v>
      </c>
      <c r="R25" s="43" t="str">
        <f aca="false">IF(A25="","",IF(ISNUMBER(H25),H25,IF(AND(ISNUMBER(G25),N(IFERROR(INDEX(Precios!$E$5:$E$120,MATCH(F25,Precios!$A$5:$A$120,0)),0))&gt;0),G25*IFERROR(INDEX(Precios!$E$5:$E$120,MATCH(F25,Precios!$A$5:$A$120,0)),0),"")))</f>
        <v/>
      </c>
      <c r="S25" s="43" t="n">
        <f aca="false">IF(A25="","",IF(ISNUMBER(K25),K25,IF(NOT(ISNUMBER(J25)),0,IF(N(IFERROR(INDEX(Precios!$E$5:$E$120,MATCH(I25,Precios!$A$5:$A$120,0)),0))&gt;0,J25*IFERROR(INDEX(Precios!$E$5:$E$120,MATCH(I25,Precios!$A$5:$A$120,0)),0),""))))</f>
        <v>0</v>
      </c>
      <c r="T25" s="36" t="str">
        <f aca="false">IF(A25="","",IF(AND(ISNUMBER(R25),ISNUMBER(S25),L25&lt;&gt;"",M25&lt;&gt;""),"Lista",IF(AND(NOT(ISNUMBER(H25)),NOT(ISNUMBER(G25))),"Consumo de tela. ",IF(NOT(ISNUMBER(R25)),"Rendimiento de "&amp;F25&amp;" (m/kg) en Precios. ",""))&amp;IF(AND(ISNUMBER(J25),NOT(ISNUMBER(S25))),"Rendimiento de "&amp;I25&amp;" (m/kg) en Precios. ","")&amp;IF(L25="","Metros impresos. ","")&amp;IF(M25="","Confección. ","")))</f>
        <v>Consumo de tela. Metros impresos. </v>
      </c>
    </row>
    <row r="26" customFormat="false" ht="15" hidden="false" customHeight="false" outlineLevel="0" collapsed="false">
      <c r="A26" s="39" t="s">
        <v>350</v>
      </c>
      <c r="B26" s="7" t="s">
        <v>349</v>
      </c>
      <c r="C26" s="7" t="s">
        <v>313</v>
      </c>
      <c r="D26" s="7" t="s">
        <v>314</v>
      </c>
      <c r="E26" s="7" t="s">
        <v>318</v>
      </c>
      <c r="F26" s="34"/>
      <c r="G26" s="40"/>
      <c r="H26" s="40"/>
      <c r="I26" s="34"/>
      <c r="J26" s="40"/>
      <c r="K26" s="40"/>
      <c r="L26" s="41"/>
      <c r="M26" s="34" t="s">
        <v>343</v>
      </c>
      <c r="N26" s="34"/>
      <c r="O26" s="42"/>
      <c r="P26" s="34" t="s">
        <v>113</v>
      </c>
      <c r="Q26" s="10" t="s">
        <v>317</v>
      </c>
      <c r="R26" s="43" t="str">
        <f aca="false">IF(A26="","",IF(ISNUMBER(H26),H26,IF(AND(ISNUMBER(G26),N(IFERROR(INDEX(Precios!$E$5:$E$120,MATCH(F26,Precios!$A$5:$A$120,0)),0))&gt;0),G26*IFERROR(INDEX(Precios!$E$5:$E$120,MATCH(F26,Precios!$A$5:$A$120,0)),0),"")))</f>
        <v/>
      </c>
      <c r="S26" s="43" t="n">
        <f aca="false">IF(A26="","",IF(ISNUMBER(K26),K26,IF(NOT(ISNUMBER(J26)),0,IF(N(IFERROR(INDEX(Precios!$E$5:$E$120,MATCH(I26,Precios!$A$5:$A$120,0)),0))&gt;0,J26*IFERROR(INDEX(Precios!$E$5:$E$120,MATCH(I26,Precios!$A$5:$A$120,0)),0),""))))</f>
        <v>0</v>
      </c>
      <c r="T26" s="36" t="str">
        <f aca="false">IF(A26="","",IF(AND(ISNUMBER(R26),ISNUMBER(S26),L26&lt;&gt;"",M26&lt;&gt;""),"Lista",IF(AND(NOT(ISNUMBER(H26)),NOT(ISNUMBER(G26))),"Consumo de tela. ",IF(NOT(ISNUMBER(R26)),"Rendimiento de "&amp;F26&amp;" (m/kg) en Precios. ",""))&amp;IF(AND(ISNUMBER(J26),NOT(ISNUMBER(S26))),"Rendimiento de "&amp;I26&amp;" (m/kg) en Precios. ","")&amp;IF(L26="","Metros impresos. ","")&amp;IF(M26="","Confección. ","")))</f>
        <v>Consumo de tela. Metros impresos. </v>
      </c>
    </row>
    <row r="27" customFormat="false" ht="15" hidden="false" customHeight="false" outlineLevel="0" collapsed="false">
      <c r="A27" s="39" t="s">
        <v>351</v>
      </c>
      <c r="B27" s="7" t="s">
        <v>352</v>
      </c>
      <c r="C27" s="7" t="s">
        <v>313</v>
      </c>
      <c r="D27" s="7" t="s">
        <v>314</v>
      </c>
      <c r="E27" s="7" t="s">
        <v>321</v>
      </c>
      <c r="F27" s="34"/>
      <c r="G27" s="40"/>
      <c r="H27" s="40"/>
      <c r="I27" s="34"/>
      <c r="J27" s="40"/>
      <c r="K27" s="40"/>
      <c r="L27" s="41"/>
      <c r="M27" s="34" t="s">
        <v>343</v>
      </c>
      <c r="N27" s="34"/>
      <c r="O27" s="42"/>
      <c r="P27" s="34" t="s">
        <v>113</v>
      </c>
      <c r="Q27" s="10" t="s">
        <v>317</v>
      </c>
      <c r="R27" s="43" t="str">
        <f aca="false">IF(A27="","",IF(ISNUMBER(H27),H27,IF(AND(ISNUMBER(G27),N(IFERROR(INDEX(Precios!$E$5:$E$120,MATCH(F27,Precios!$A$5:$A$120,0)),0))&gt;0),G27*IFERROR(INDEX(Precios!$E$5:$E$120,MATCH(F27,Precios!$A$5:$A$120,0)),0),"")))</f>
        <v/>
      </c>
      <c r="S27" s="43" t="n">
        <f aca="false">IF(A27="","",IF(ISNUMBER(K27),K27,IF(NOT(ISNUMBER(J27)),0,IF(N(IFERROR(INDEX(Precios!$E$5:$E$120,MATCH(I27,Precios!$A$5:$A$120,0)),0))&gt;0,J27*IFERROR(INDEX(Precios!$E$5:$E$120,MATCH(I27,Precios!$A$5:$A$120,0)),0),""))))</f>
        <v>0</v>
      </c>
      <c r="T27" s="36" t="str">
        <f aca="false">IF(A27="","",IF(AND(ISNUMBER(R27),ISNUMBER(S27),L27&lt;&gt;"",M27&lt;&gt;""),"Lista",IF(AND(NOT(ISNUMBER(H27)),NOT(ISNUMBER(G27))),"Consumo de tela. ",IF(NOT(ISNUMBER(R27)),"Rendimiento de "&amp;F27&amp;" (m/kg) en Precios. ",""))&amp;IF(AND(ISNUMBER(J27),NOT(ISNUMBER(S27))),"Rendimiento de "&amp;I27&amp;" (m/kg) en Precios. ","")&amp;IF(L27="","Metros impresos. ","")&amp;IF(M27="","Confección. ","")))</f>
        <v>Consumo de tela. Metros impresos. </v>
      </c>
    </row>
    <row r="28" customFormat="false" ht="15" hidden="false" customHeight="false" outlineLevel="0" collapsed="false">
      <c r="A28" s="39" t="s">
        <v>353</v>
      </c>
      <c r="B28" s="7" t="s">
        <v>352</v>
      </c>
      <c r="C28" s="7" t="s">
        <v>313</v>
      </c>
      <c r="D28" s="7" t="s">
        <v>314</v>
      </c>
      <c r="E28" s="7" t="s">
        <v>323</v>
      </c>
      <c r="F28" s="34"/>
      <c r="G28" s="40"/>
      <c r="H28" s="40"/>
      <c r="I28" s="34"/>
      <c r="J28" s="40"/>
      <c r="K28" s="40"/>
      <c r="L28" s="41"/>
      <c r="M28" s="34" t="s">
        <v>343</v>
      </c>
      <c r="N28" s="34"/>
      <c r="O28" s="42"/>
      <c r="P28" s="34" t="s">
        <v>113</v>
      </c>
      <c r="Q28" s="10" t="s">
        <v>317</v>
      </c>
      <c r="R28" s="43" t="str">
        <f aca="false">IF(A28="","",IF(ISNUMBER(H28),H28,IF(AND(ISNUMBER(G28),N(IFERROR(INDEX(Precios!$E$5:$E$120,MATCH(F28,Precios!$A$5:$A$120,0)),0))&gt;0),G28*IFERROR(INDEX(Precios!$E$5:$E$120,MATCH(F28,Precios!$A$5:$A$120,0)),0),"")))</f>
        <v/>
      </c>
      <c r="S28" s="43" t="n">
        <f aca="false">IF(A28="","",IF(ISNUMBER(K28),K28,IF(NOT(ISNUMBER(J28)),0,IF(N(IFERROR(INDEX(Precios!$E$5:$E$120,MATCH(I28,Precios!$A$5:$A$120,0)),0))&gt;0,J28*IFERROR(INDEX(Precios!$E$5:$E$120,MATCH(I28,Precios!$A$5:$A$120,0)),0),""))))</f>
        <v>0</v>
      </c>
      <c r="T28" s="36" t="str">
        <f aca="false">IF(A28="","",IF(AND(ISNUMBER(R28),ISNUMBER(S28),L28&lt;&gt;"",M28&lt;&gt;""),"Lista",IF(AND(NOT(ISNUMBER(H28)),NOT(ISNUMBER(G28))),"Consumo de tela. ",IF(NOT(ISNUMBER(R28)),"Rendimiento de "&amp;F28&amp;" (m/kg) en Precios. ",""))&amp;IF(AND(ISNUMBER(J28),NOT(ISNUMBER(S28))),"Rendimiento de "&amp;I28&amp;" (m/kg) en Precios. ","")&amp;IF(L28="","Metros impresos. ","")&amp;IF(M28="","Confección. ","")))</f>
        <v>Consumo de tela. Metros impresos. </v>
      </c>
    </row>
    <row r="29" customFormat="false" ht="15" hidden="false" customHeight="false" outlineLevel="0" collapsed="false">
      <c r="A29" s="39" t="s">
        <v>354</v>
      </c>
      <c r="B29" s="7" t="s">
        <v>355</v>
      </c>
      <c r="C29" s="7" t="s">
        <v>313</v>
      </c>
      <c r="D29" s="7" t="s">
        <v>314</v>
      </c>
      <c r="E29" s="7" t="s">
        <v>315</v>
      </c>
      <c r="F29" s="34"/>
      <c r="G29" s="40"/>
      <c r="H29" s="40"/>
      <c r="I29" s="34"/>
      <c r="J29" s="40"/>
      <c r="K29" s="40"/>
      <c r="L29" s="41"/>
      <c r="M29" s="34" t="s">
        <v>343</v>
      </c>
      <c r="N29" s="34"/>
      <c r="O29" s="42"/>
      <c r="P29" s="34" t="s">
        <v>113</v>
      </c>
      <c r="Q29" s="10" t="s">
        <v>317</v>
      </c>
      <c r="R29" s="43" t="str">
        <f aca="false">IF(A29="","",IF(ISNUMBER(H29),H29,IF(AND(ISNUMBER(G29),N(IFERROR(INDEX(Precios!$E$5:$E$120,MATCH(F29,Precios!$A$5:$A$120,0)),0))&gt;0),G29*IFERROR(INDEX(Precios!$E$5:$E$120,MATCH(F29,Precios!$A$5:$A$120,0)),0),"")))</f>
        <v/>
      </c>
      <c r="S29" s="43" t="n">
        <f aca="false">IF(A29="","",IF(ISNUMBER(K29),K29,IF(NOT(ISNUMBER(J29)),0,IF(N(IFERROR(INDEX(Precios!$E$5:$E$120,MATCH(I29,Precios!$A$5:$A$120,0)),0))&gt;0,J29*IFERROR(INDEX(Precios!$E$5:$E$120,MATCH(I29,Precios!$A$5:$A$120,0)),0),""))))</f>
        <v>0</v>
      </c>
      <c r="T29" s="36" t="str">
        <f aca="false">IF(A29="","",IF(AND(ISNUMBER(R29),ISNUMBER(S29),L29&lt;&gt;"",M29&lt;&gt;""),"Lista",IF(AND(NOT(ISNUMBER(H29)),NOT(ISNUMBER(G29))),"Consumo de tela. ",IF(NOT(ISNUMBER(R29)),"Rendimiento de "&amp;F29&amp;" (m/kg) en Precios. ",""))&amp;IF(AND(ISNUMBER(J29),NOT(ISNUMBER(S29))),"Rendimiento de "&amp;I29&amp;" (m/kg) en Precios. ","")&amp;IF(L29="","Metros impresos. ","")&amp;IF(M29="","Confección. ","")))</f>
        <v>Consumo de tela. Metros impresos. </v>
      </c>
    </row>
    <row r="30" customFormat="false" ht="15" hidden="false" customHeight="false" outlineLevel="0" collapsed="false">
      <c r="A30" s="39" t="s">
        <v>356</v>
      </c>
      <c r="B30" s="7" t="s">
        <v>355</v>
      </c>
      <c r="C30" s="7" t="s">
        <v>313</v>
      </c>
      <c r="D30" s="7" t="s">
        <v>314</v>
      </c>
      <c r="E30" s="7" t="s">
        <v>318</v>
      </c>
      <c r="F30" s="34"/>
      <c r="G30" s="40"/>
      <c r="H30" s="40"/>
      <c r="I30" s="34"/>
      <c r="J30" s="40"/>
      <c r="K30" s="40"/>
      <c r="L30" s="41"/>
      <c r="M30" s="34" t="s">
        <v>343</v>
      </c>
      <c r="N30" s="34"/>
      <c r="O30" s="42"/>
      <c r="P30" s="34" t="s">
        <v>113</v>
      </c>
      <c r="Q30" s="10" t="s">
        <v>317</v>
      </c>
      <c r="R30" s="43" t="str">
        <f aca="false">IF(A30="","",IF(ISNUMBER(H30),H30,IF(AND(ISNUMBER(G30),N(IFERROR(INDEX(Precios!$E$5:$E$120,MATCH(F30,Precios!$A$5:$A$120,0)),0))&gt;0),G30*IFERROR(INDEX(Precios!$E$5:$E$120,MATCH(F30,Precios!$A$5:$A$120,0)),0),"")))</f>
        <v/>
      </c>
      <c r="S30" s="43" t="n">
        <f aca="false">IF(A30="","",IF(ISNUMBER(K30),K30,IF(NOT(ISNUMBER(J30)),0,IF(N(IFERROR(INDEX(Precios!$E$5:$E$120,MATCH(I30,Precios!$A$5:$A$120,0)),0))&gt;0,J30*IFERROR(INDEX(Precios!$E$5:$E$120,MATCH(I30,Precios!$A$5:$A$120,0)),0),""))))</f>
        <v>0</v>
      </c>
      <c r="T30" s="36" t="str">
        <f aca="false">IF(A30="","",IF(AND(ISNUMBER(R30),ISNUMBER(S30),L30&lt;&gt;"",M30&lt;&gt;""),"Lista",IF(AND(NOT(ISNUMBER(H30)),NOT(ISNUMBER(G30))),"Consumo de tela. ",IF(NOT(ISNUMBER(R30)),"Rendimiento de "&amp;F30&amp;" (m/kg) en Precios. ",""))&amp;IF(AND(ISNUMBER(J30),NOT(ISNUMBER(S30))),"Rendimiento de "&amp;I30&amp;" (m/kg) en Precios. ","")&amp;IF(L30="","Metros impresos. ","")&amp;IF(M30="","Confección. ","")))</f>
        <v>Consumo de tela. Metros impresos. </v>
      </c>
    </row>
    <row r="31" customFormat="false" ht="15" hidden="false" customHeight="false" outlineLevel="0" collapsed="false">
      <c r="A31" s="39" t="s">
        <v>357</v>
      </c>
      <c r="B31" s="7" t="s">
        <v>358</v>
      </c>
      <c r="C31" s="7" t="s">
        <v>313</v>
      </c>
      <c r="D31" s="7" t="s">
        <v>314</v>
      </c>
      <c r="E31" s="7" t="s">
        <v>315</v>
      </c>
      <c r="F31" s="34"/>
      <c r="G31" s="40"/>
      <c r="H31" s="40"/>
      <c r="I31" s="34"/>
      <c r="J31" s="40"/>
      <c r="K31" s="40"/>
      <c r="L31" s="41"/>
      <c r="M31" s="34" t="s">
        <v>343</v>
      </c>
      <c r="N31" s="34"/>
      <c r="O31" s="42"/>
      <c r="P31" s="34" t="s">
        <v>113</v>
      </c>
      <c r="Q31" s="10" t="s">
        <v>317</v>
      </c>
      <c r="R31" s="43" t="str">
        <f aca="false">IF(A31="","",IF(ISNUMBER(H31),H31,IF(AND(ISNUMBER(G31),N(IFERROR(INDEX(Precios!$E$5:$E$120,MATCH(F31,Precios!$A$5:$A$120,0)),0))&gt;0),G31*IFERROR(INDEX(Precios!$E$5:$E$120,MATCH(F31,Precios!$A$5:$A$120,0)),0),"")))</f>
        <v/>
      </c>
      <c r="S31" s="43" t="n">
        <f aca="false">IF(A31="","",IF(ISNUMBER(K31),K31,IF(NOT(ISNUMBER(J31)),0,IF(N(IFERROR(INDEX(Precios!$E$5:$E$120,MATCH(I31,Precios!$A$5:$A$120,0)),0))&gt;0,J31*IFERROR(INDEX(Precios!$E$5:$E$120,MATCH(I31,Precios!$A$5:$A$120,0)),0),""))))</f>
        <v>0</v>
      </c>
      <c r="T31" s="36" t="str">
        <f aca="false">IF(A31="","",IF(AND(ISNUMBER(R31),ISNUMBER(S31),L31&lt;&gt;"",M31&lt;&gt;""),"Lista",IF(AND(NOT(ISNUMBER(H31)),NOT(ISNUMBER(G31))),"Consumo de tela. ",IF(NOT(ISNUMBER(R31)),"Rendimiento de "&amp;F31&amp;" (m/kg) en Precios. ",""))&amp;IF(AND(ISNUMBER(J31),NOT(ISNUMBER(S31))),"Rendimiento de "&amp;I31&amp;" (m/kg) en Precios. ","")&amp;IF(L31="","Metros impresos. ","")&amp;IF(M31="","Confección. ","")))</f>
        <v>Consumo de tela. Metros impresos. </v>
      </c>
    </row>
    <row r="32" customFormat="false" ht="15" hidden="false" customHeight="false" outlineLevel="0" collapsed="false">
      <c r="A32" s="39" t="s">
        <v>359</v>
      </c>
      <c r="B32" s="7" t="s">
        <v>358</v>
      </c>
      <c r="C32" s="7" t="s">
        <v>313</v>
      </c>
      <c r="D32" s="7" t="s">
        <v>314</v>
      </c>
      <c r="E32" s="7" t="s">
        <v>318</v>
      </c>
      <c r="F32" s="34"/>
      <c r="G32" s="40"/>
      <c r="H32" s="40"/>
      <c r="I32" s="34"/>
      <c r="J32" s="40"/>
      <c r="K32" s="40"/>
      <c r="L32" s="41"/>
      <c r="M32" s="34" t="s">
        <v>343</v>
      </c>
      <c r="N32" s="34"/>
      <c r="O32" s="42"/>
      <c r="P32" s="34" t="s">
        <v>113</v>
      </c>
      <c r="Q32" s="10" t="s">
        <v>317</v>
      </c>
      <c r="R32" s="43" t="str">
        <f aca="false">IF(A32="","",IF(ISNUMBER(H32),H32,IF(AND(ISNUMBER(G32),N(IFERROR(INDEX(Precios!$E$5:$E$120,MATCH(F32,Precios!$A$5:$A$120,0)),0))&gt;0),G32*IFERROR(INDEX(Precios!$E$5:$E$120,MATCH(F32,Precios!$A$5:$A$120,0)),0),"")))</f>
        <v/>
      </c>
      <c r="S32" s="43" t="n">
        <f aca="false">IF(A32="","",IF(ISNUMBER(K32),K32,IF(NOT(ISNUMBER(J32)),0,IF(N(IFERROR(INDEX(Precios!$E$5:$E$120,MATCH(I32,Precios!$A$5:$A$120,0)),0))&gt;0,J32*IFERROR(INDEX(Precios!$E$5:$E$120,MATCH(I32,Precios!$A$5:$A$120,0)),0),""))))</f>
        <v>0</v>
      </c>
      <c r="T32" s="36" t="str">
        <f aca="false">IF(A32="","",IF(AND(ISNUMBER(R32),ISNUMBER(S32),L32&lt;&gt;"",M32&lt;&gt;""),"Lista",IF(AND(NOT(ISNUMBER(H32)),NOT(ISNUMBER(G32))),"Consumo de tela. ",IF(NOT(ISNUMBER(R32)),"Rendimiento de "&amp;F32&amp;" (m/kg) en Precios. ",""))&amp;IF(AND(ISNUMBER(J32),NOT(ISNUMBER(S32))),"Rendimiento de "&amp;I32&amp;" (m/kg) en Precios. ","")&amp;IF(L32="","Metros impresos. ","")&amp;IF(M32="","Confección. ","")))</f>
        <v>Consumo de tela. Metros impresos. </v>
      </c>
    </row>
    <row r="33" customFormat="false" ht="15" hidden="false" customHeight="false" outlineLevel="0" collapsed="false">
      <c r="A33" s="39" t="s">
        <v>360</v>
      </c>
      <c r="B33" s="7" t="s">
        <v>361</v>
      </c>
      <c r="C33" s="7" t="s">
        <v>362</v>
      </c>
      <c r="D33" s="7" t="s">
        <v>314</v>
      </c>
      <c r="E33" s="7" t="s">
        <v>315</v>
      </c>
      <c r="F33" s="34"/>
      <c r="G33" s="40"/>
      <c r="H33" s="40"/>
      <c r="I33" s="34"/>
      <c r="J33" s="40"/>
      <c r="K33" s="40"/>
      <c r="L33" s="41"/>
      <c r="M33" s="34" t="s">
        <v>363</v>
      </c>
      <c r="N33" s="34"/>
      <c r="O33" s="42"/>
      <c r="P33" s="34" t="s">
        <v>113</v>
      </c>
      <c r="Q33" s="10" t="s">
        <v>317</v>
      </c>
      <c r="R33" s="43" t="str">
        <f aca="false">IF(A33="","",IF(ISNUMBER(H33),H33,IF(AND(ISNUMBER(G33),N(IFERROR(INDEX(Precios!$E$5:$E$120,MATCH(F33,Precios!$A$5:$A$120,0)),0))&gt;0),G33*IFERROR(INDEX(Precios!$E$5:$E$120,MATCH(F33,Precios!$A$5:$A$120,0)),0),"")))</f>
        <v/>
      </c>
      <c r="S33" s="43" t="n">
        <f aca="false">IF(A33="","",IF(ISNUMBER(K33),K33,IF(NOT(ISNUMBER(J33)),0,IF(N(IFERROR(INDEX(Precios!$E$5:$E$120,MATCH(I33,Precios!$A$5:$A$120,0)),0))&gt;0,J33*IFERROR(INDEX(Precios!$E$5:$E$120,MATCH(I33,Precios!$A$5:$A$120,0)),0),""))))</f>
        <v>0</v>
      </c>
      <c r="T33" s="36" t="str">
        <f aca="false">IF(A33="","",IF(AND(ISNUMBER(R33),ISNUMBER(S33),L33&lt;&gt;"",M33&lt;&gt;""),"Lista",IF(AND(NOT(ISNUMBER(H33)),NOT(ISNUMBER(G33))),"Consumo de tela. ",IF(NOT(ISNUMBER(R33)),"Rendimiento de "&amp;F33&amp;" (m/kg) en Precios. ",""))&amp;IF(AND(ISNUMBER(J33),NOT(ISNUMBER(S33))),"Rendimiento de "&amp;I33&amp;" (m/kg) en Precios. ","")&amp;IF(L33="","Metros impresos. ","")&amp;IF(M33="","Confección. ","")))</f>
        <v>Consumo de tela. Metros impresos. </v>
      </c>
    </row>
    <row r="34" customFormat="false" ht="23.85" hidden="false" customHeight="false" outlineLevel="0" collapsed="false">
      <c r="A34" s="39" t="s">
        <v>216</v>
      </c>
      <c r="B34" s="7" t="s">
        <v>361</v>
      </c>
      <c r="C34" s="7" t="s">
        <v>362</v>
      </c>
      <c r="D34" s="7" t="s">
        <v>314</v>
      </c>
      <c r="E34" s="7" t="s">
        <v>318</v>
      </c>
      <c r="F34" s="34" t="s">
        <v>217</v>
      </c>
      <c r="G34" s="40" t="n">
        <v>0.2029</v>
      </c>
      <c r="H34" s="40"/>
      <c r="I34" s="34"/>
      <c r="J34" s="40"/>
      <c r="K34" s="40"/>
      <c r="L34" s="41"/>
      <c r="M34" s="34" t="s">
        <v>363</v>
      </c>
      <c r="N34" s="34"/>
      <c r="O34" s="42"/>
      <c r="P34" s="34" t="s">
        <v>113</v>
      </c>
      <c r="Q34" s="10" t="s">
        <v>364</v>
      </c>
      <c r="R34" s="43" t="str">
        <f aca="false">IF(A34="","",IF(ISNUMBER(H34),H34,IF(AND(ISNUMBER(G34),N(IFERROR(INDEX(Precios!$E$5:$E$120,MATCH(F34,Precios!$A$5:$A$120,0)),0))&gt;0),G34*IFERROR(INDEX(Precios!$E$5:$E$120,MATCH(F34,Precios!$A$5:$A$120,0)),0),"")))</f>
        <v/>
      </c>
      <c r="S34" s="43" t="n">
        <f aca="false">IF(A34="","",IF(ISNUMBER(K34),K34,IF(NOT(ISNUMBER(J34)),0,IF(N(IFERROR(INDEX(Precios!$E$5:$E$120,MATCH(I34,Precios!$A$5:$A$120,0)),0))&gt;0,J34*IFERROR(INDEX(Precios!$E$5:$E$120,MATCH(I34,Precios!$A$5:$A$120,0)),0),""))))</f>
        <v>0</v>
      </c>
      <c r="T34" s="36" t="str">
        <f aca="false">IF(A34="","",IF(AND(ISNUMBER(R34),ISNUMBER(S34),L34&lt;&gt;"",M34&lt;&gt;""),"Lista",IF(AND(NOT(ISNUMBER(H34)),NOT(ISNUMBER(G34))),"Consumo de tela. ",IF(NOT(ISNUMBER(R34)),"Rendimiento de "&amp;F34&amp;" (m/kg) en Precios. ",""))&amp;IF(AND(ISNUMBER(J34),NOT(ISNUMBER(S34))),"Rendimiento de "&amp;I34&amp;" (m/kg) en Precios. ","")&amp;IF(L34="","Metros impresos. ","")&amp;IF(M34="","Confección. ","")))</f>
        <v>Rendimiento de QUICKDRY (m/kg) en Precios. Metros impresos. </v>
      </c>
    </row>
    <row r="35" customFormat="false" ht="15" hidden="false" customHeight="false" outlineLevel="0" collapsed="false">
      <c r="A35" s="39" t="s">
        <v>365</v>
      </c>
      <c r="B35" s="7" t="s">
        <v>366</v>
      </c>
      <c r="C35" s="7" t="s">
        <v>362</v>
      </c>
      <c r="D35" s="7" t="s">
        <v>314</v>
      </c>
      <c r="E35" s="7" t="s">
        <v>321</v>
      </c>
      <c r="F35" s="34"/>
      <c r="G35" s="40"/>
      <c r="H35" s="40"/>
      <c r="I35" s="34"/>
      <c r="J35" s="40"/>
      <c r="K35" s="40"/>
      <c r="L35" s="41"/>
      <c r="M35" s="34" t="s">
        <v>363</v>
      </c>
      <c r="N35" s="34"/>
      <c r="O35" s="42"/>
      <c r="P35" s="34" t="s">
        <v>113</v>
      </c>
      <c r="Q35" s="10" t="s">
        <v>317</v>
      </c>
      <c r="R35" s="43" t="str">
        <f aca="false">IF(A35="","",IF(ISNUMBER(H35),H35,IF(AND(ISNUMBER(G35),N(IFERROR(INDEX(Precios!$E$5:$E$120,MATCH(F35,Precios!$A$5:$A$120,0)),0))&gt;0),G35*IFERROR(INDEX(Precios!$E$5:$E$120,MATCH(F35,Precios!$A$5:$A$120,0)),0),"")))</f>
        <v/>
      </c>
      <c r="S35" s="43" t="n">
        <f aca="false">IF(A35="","",IF(ISNUMBER(K35),K35,IF(NOT(ISNUMBER(J35)),0,IF(N(IFERROR(INDEX(Precios!$E$5:$E$120,MATCH(I35,Precios!$A$5:$A$120,0)),0))&gt;0,J35*IFERROR(INDEX(Precios!$E$5:$E$120,MATCH(I35,Precios!$A$5:$A$120,0)),0),""))))</f>
        <v>0</v>
      </c>
      <c r="T35" s="36" t="str">
        <f aca="false">IF(A35="","",IF(AND(ISNUMBER(R35),ISNUMBER(S35),L35&lt;&gt;"",M35&lt;&gt;""),"Lista",IF(AND(NOT(ISNUMBER(H35)),NOT(ISNUMBER(G35))),"Consumo de tela. ",IF(NOT(ISNUMBER(R35)),"Rendimiento de "&amp;F35&amp;" (m/kg) en Precios. ",""))&amp;IF(AND(ISNUMBER(J35),NOT(ISNUMBER(S35))),"Rendimiento de "&amp;I35&amp;" (m/kg) en Precios. ","")&amp;IF(L35="","Metros impresos. ","")&amp;IF(M35="","Confección. ","")))</f>
        <v>Consumo de tela. Metros impresos. </v>
      </c>
    </row>
    <row r="36" customFormat="false" ht="15" hidden="false" customHeight="false" outlineLevel="0" collapsed="false">
      <c r="A36" s="39" t="s">
        <v>367</v>
      </c>
      <c r="B36" s="7" t="s">
        <v>366</v>
      </c>
      <c r="C36" s="7" t="s">
        <v>362</v>
      </c>
      <c r="D36" s="7" t="s">
        <v>314</v>
      </c>
      <c r="E36" s="7" t="s">
        <v>323</v>
      </c>
      <c r="F36" s="34"/>
      <c r="G36" s="40"/>
      <c r="H36" s="40"/>
      <c r="I36" s="34"/>
      <c r="J36" s="40"/>
      <c r="K36" s="40"/>
      <c r="L36" s="41"/>
      <c r="M36" s="34" t="s">
        <v>363</v>
      </c>
      <c r="N36" s="34"/>
      <c r="O36" s="42"/>
      <c r="P36" s="34" t="s">
        <v>113</v>
      </c>
      <c r="Q36" s="10" t="s">
        <v>317</v>
      </c>
      <c r="R36" s="43" t="str">
        <f aca="false">IF(A36="","",IF(ISNUMBER(H36),H36,IF(AND(ISNUMBER(G36),N(IFERROR(INDEX(Precios!$E$5:$E$120,MATCH(F36,Precios!$A$5:$A$120,0)),0))&gt;0),G36*IFERROR(INDEX(Precios!$E$5:$E$120,MATCH(F36,Precios!$A$5:$A$120,0)),0),"")))</f>
        <v/>
      </c>
      <c r="S36" s="43" t="n">
        <f aca="false">IF(A36="","",IF(ISNUMBER(K36),K36,IF(NOT(ISNUMBER(J36)),0,IF(N(IFERROR(INDEX(Precios!$E$5:$E$120,MATCH(I36,Precios!$A$5:$A$120,0)),0))&gt;0,J36*IFERROR(INDEX(Precios!$E$5:$E$120,MATCH(I36,Precios!$A$5:$A$120,0)),0),""))))</f>
        <v>0</v>
      </c>
      <c r="T36" s="36" t="str">
        <f aca="false">IF(A36="","",IF(AND(ISNUMBER(R36),ISNUMBER(S36),L36&lt;&gt;"",M36&lt;&gt;""),"Lista",IF(AND(NOT(ISNUMBER(H36)),NOT(ISNUMBER(G36))),"Consumo de tela. ",IF(NOT(ISNUMBER(R36)),"Rendimiento de "&amp;F36&amp;" (m/kg) en Precios. ",""))&amp;IF(AND(ISNUMBER(J36),NOT(ISNUMBER(S36))),"Rendimiento de "&amp;I36&amp;" (m/kg) en Precios. ","")&amp;IF(L36="","Metros impresos. ","")&amp;IF(M36="","Confección. ","")))</f>
        <v>Consumo de tela. Metros impresos. </v>
      </c>
    </row>
    <row r="37" customFormat="false" ht="15" hidden="false" customHeight="false" outlineLevel="0" collapsed="false">
      <c r="A37" s="39" t="s">
        <v>368</v>
      </c>
      <c r="B37" s="7" t="s">
        <v>369</v>
      </c>
      <c r="C37" s="7" t="s">
        <v>362</v>
      </c>
      <c r="D37" s="7" t="s">
        <v>314</v>
      </c>
      <c r="E37" s="7" t="s">
        <v>315</v>
      </c>
      <c r="F37" s="34"/>
      <c r="G37" s="40"/>
      <c r="H37" s="40"/>
      <c r="I37" s="34"/>
      <c r="J37" s="40"/>
      <c r="K37" s="40"/>
      <c r="L37" s="41"/>
      <c r="M37" s="34" t="s">
        <v>363</v>
      </c>
      <c r="N37" s="34"/>
      <c r="O37" s="42"/>
      <c r="P37" s="34" t="s">
        <v>113</v>
      </c>
      <c r="Q37" s="10" t="s">
        <v>317</v>
      </c>
      <c r="R37" s="43" t="str">
        <f aca="false">IF(A37="","",IF(ISNUMBER(H37),H37,IF(AND(ISNUMBER(G37),N(IFERROR(INDEX(Precios!$E$5:$E$120,MATCH(F37,Precios!$A$5:$A$120,0)),0))&gt;0),G37*IFERROR(INDEX(Precios!$E$5:$E$120,MATCH(F37,Precios!$A$5:$A$120,0)),0),"")))</f>
        <v/>
      </c>
      <c r="S37" s="43" t="n">
        <f aca="false">IF(A37="","",IF(ISNUMBER(K37),K37,IF(NOT(ISNUMBER(J37)),0,IF(N(IFERROR(INDEX(Precios!$E$5:$E$120,MATCH(I37,Precios!$A$5:$A$120,0)),0))&gt;0,J37*IFERROR(INDEX(Precios!$E$5:$E$120,MATCH(I37,Precios!$A$5:$A$120,0)),0),""))))</f>
        <v>0</v>
      </c>
      <c r="T37" s="36" t="str">
        <f aca="false">IF(A37="","",IF(AND(ISNUMBER(R37),ISNUMBER(S37),L37&lt;&gt;"",M37&lt;&gt;""),"Lista",IF(AND(NOT(ISNUMBER(H37)),NOT(ISNUMBER(G37))),"Consumo de tela. ",IF(NOT(ISNUMBER(R37)),"Rendimiento de "&amp;F37&amp;" (m/kg) en Precios. ",""))&amp;IF(AND(ISNUMBER(J37),NOT(ISNUMBER(S37))),"Rendimiento de "&amp;I37&amp;" (m/kg) en Precios. ","")&amp;IF(L37="","Metros impresos. ","")&amp;IF(M37="","Confección. ","")))</f>
        <v>Consumo de tela. Metros impresos. </v>
      </c>
    </row>
    <row r="38" customFormat="false" ht="15" hidden="false" customHeight="false" outlineLevel="0" collapsed="false">
      <c r="A38" s="39" t="s">
        <v>370</v>
      </c>
      <c r="B38" s="7" t="s">
        <v>369</v>
      </c>
      <c r="C38" s="7" t="s">
        <v>362</v>
      </c>
      <c r="D38" s="7" t="s">
        <v>314</v>
      </c>
      <c r="E38" s="7" t="s">
        <v>318</v>
      </c>
      <c r="F38" s="34"/>
      <c r="G38" s="40"/>
      <c r="H38" s="40"/>
      <c r="I38" s="34"/>
      <c r="J38" s="40"/>
      <c r="K38" s="40"/>
      <c r="L38" s="41"/>
      <c r="M38" s="34" t="s">
        <v>363</v>
      </c>
      <c r="N38" s="34"/>
      <c r="O38" s="42"/>
      <c r="P38" s="34" t="s">
        <v>113</v>
      </c>
      <c r="Q38" s="10" t="s">
        <v>317</v>
      </c>
      <c r="R38" s="43" t="str">
        <f aca="false">IF(A38="","",IF(ISNUMBER(H38),H38,IF(AND(ISNUMBER(G38),N(IFERROR(INDEX(Precios!$E$5:$E$120,MATCH(F38,Precios!$A$5:$A$120,0)),0))&gt;0),G38*IFERROR(INDEX(Precios!$E$5:$E$120,MATCH(F38,Precios!$A$5:$A$120,0)),0),"")))</f>
        <v/>
      </c>
      <c r="S38" s="43" t="n">
        <f aca="false">IF(A38="","",IF(ISNUMBER(K38),K38,IF(NOT(ISNUMBER(J38)),0,IF(N(IFERROR(INDEX(Precios!$E$5:$E$120,MATCH(I38,Precios!$A$5:$A$120,0)),0))&gt;0,J38*IFERROR(INDEX(Precios!$E$5:$E$120,MATCH(I38,Precios!$A$5:$A$120,0)),0),""))))</f>
        <v>0</v>
      </c>
      <c r="T38" s="36" t="str">
        <f aca="false">IF(A38="","",IF(AND(ISNUMBER(R38),ISNUMBER(S38),L38&lt;&gt;"",M38&lt;&gt;""),"Lista",IF(AND(NOT(ISNUMBER(H38)),NOT(ISNUMBER(G38))),"Consumo de tela. ",IF(NOT(ISNUMBER(R38)),"Rendimiento de "&amp;F38&amp;" (m/kg) en Precios. ",""))&amp;IF(AND(ISNUMBER(J38),NOT(ISNUMBER(S38))),"Rendimiento de "&amp;I38&amp;" (m/kg) en Precios. ","")&amp;IF(L38="","Metros impresos. ","")&amp;IF(M38="","Confección. ","")))</f>
        <v>Consumo de tela. Metros impresos. </v>
      </c>
    </row>
    <row r="39" customFormat="false" ht="15" hidden="false" customHeight="false" outlineLevel="0" collapsed="false">
      <c r="A39" s="39" t="s">
        <v>371</v>
      </c>
      <c r="B39" s="7" t="s">
        <v>372</v>
      </c>
      <c r="C39" s="7" t="s">
        <v>362</v>
      </c>
      <c r="D39" s="7" t="s">
        <v>314</v>
      </c>
      <c r="E39" s="7" t="s">
        <v>321</v>
      </c>
      <c r="F39" s="34"/>
      <c r="G39" s="40"/>
      <c r="H39" s="40"/>
      <c r="I39" s="34"/>
      <c r="J39" s="40"/>
      <c r="K39" s="40"/>
      <c r="L39" s="41"/>
      <c r="M39" s="34" t="s">
        <v>363</v>
      </c>
      <c r="N39" s="34"/>
      <c r="O39" s="42"/>
      <c r="P39" s="34" t="s">
        <v>113</v>
      </c>
      <c r="Q39" s="10" t="s">
        <v>317</v>
      </c>
      <c r="R39" s="43" t="str">
        <f aca="false">IF(A39="","",IF(ISNUMBER(H39),H39,IF(AND(ISNUMBER(G39),N(IFERROR(INDEX(Precios!$E$5:$E$120,MATCH(F39,Precios!$A$5:$A$120,0)),0))&gt;0),G39*IFERROR(INDEX(Precios!$E$5:$E$120,MATCH(F39,Precios!$A$5:$A$120,0)),0),"")))</f>
        <v/>
      </c>
      <c r="S39" s="43" t="n">
        <f aca="false">IF(A39="","",IF(ISNUMBER(K39),K39,IF(NOT(ISNUMBER(J39)),0,IF(N(IFERROR(INDEX(Precios!$E$5:$E$120,MATCH(I39,Precios!$A$5:$A$120,0)),0))&gt;0,J39*IFERROR(INDEX(Precios!$E$5:$E$120,MATCH(I39,Precios!$A$5:$A$120,0)),0),""))))</f>
        <v>0</v>
      </c>
      <c r="T39" s="36" t="str">
        <f aca="false">IF(A39="","",IF(AND(ISNUMBER(R39),ISNUMBER(S39),L39&lt;&gt;"",M39&lt;&gt;""),"Lista",IF(AND(NOT(ISNUMBER(H39)),NOT(ISNUMBER(G39))),"Consumo de tela. ",IF(NOT(ISNUMBER(R39)),"Rendimiento de "&amp;F39&amp;" (m/kg) en Precios. ",""))&amp;IF(AND(ISNUMBER(J39),NOT(ISNUMBER(S39))),"Rendimiento de "&amp;I39&amp;" (m/kg) en Precios. ","")&amp;IF(L39="","Metros impresos. ","")&amp;IF(M39="","Confección. ","")))</f>
        <v>Consumo de tela. Metros impresos. </v>
      </c>
    </row>
    <row r="40" customFormat="false" ht="15" hidden="false" customHeight="false" outlineLevel="0" collapsed="false">
      <c r="A40" s="39" t="s">
        <v>373</v>
      </c>
      <c r="B40" s="7" t="s">
        <v>372</v>
      </c>
      <c r="C40" s="7" t="s">
        <v>362</v>
      </c>
      <c r="D40" s="7" t="s">
        <v>314</v>
      </c>
      <c r="E40" s="7" t="s">
        <v>323</v>
      </c>
      <c r="F40" s="34"/>
      <c r="G40" s="40"/>
      <c r="H40" s="40"/>
      <c r="I40" s="34"/>
      <c r="J40" s="40"/>
      <c r="K40" s="40"/>
      <c r="L40" s="41"/>
      <c r="M40" s="34" t="s">
        <v>363</v>
      </c>
      <c r="N40" s="34"/>
      <c r="O40" s="42"/>
      <c r="P40" s="34" t="s">
        <v>113</v>
      </c>
      <c r="Q40" s="10" t="s">
        <v>317</v>
      </c>
      <c r="R40" s="43" t="str">
        <f aca="false">IF(A40="","",IF(ISNUMBER(H40),H40,IF(AND(ISNUMBER(G40),N(IFERROR(INDEX(Precios!$E$5:$E$120,MATCH(F40,Precios!$A$5:$A$120,0)),0))&gt;0),G40*IFERROR(INDEX(Precios!$E$5:$E$120,MATCH(F40,Precios!$A$5:$A$120,0)),0),"")))</f>
        <v/>
      </c>
      <c r="S40" s="43" t="n">
        <f aca="false">IF(A40="","",IF(ISNUMBER(K40),K40,IF(NOT(ISNUMBER(J40)),0,IF(N(IFERROR(INDEX(Precios!$E$5:$E$120,MATCH(I40,Precios!$A$5:$A$120,0)),0))&gt;0,J40*IFERROR(INDEX(Precios!$E$5:$E$120,MATCH(I40,Precios!$A$5:$A$120,0)),0),""))))</f>
        <v>0</v>
      </c>
      <c r="T40" s="36" t="str">
        <f aca="false">IF(A40="","",IF(AND(ISNUMBER(R40),ISNUMBER(S40),L40&lt;&gt;"",M40&lt;&gt;""),"Lista",IF(AND(NOT(ISNUMBER(H40)),NOT(ISNUMBER(G40))),"Consumo de tela. ",IF(NOT(ISNUMBER(R40)),"Rendimiento de "&amp;F40&amp;" (m/kg) en Precios. ",""))&amp;IF(AND(ISNUMBER(J40),NOT(ISNUMBER(S40))),"Rendimiento de "&amp;I40&amp;" (m/kg) en Precios. ","")&amp;IF(L40="","Metros impresos. ","")&amp;IF(M40="","Confección. ","")))</f>
        <v>Consumo de tela. Metros impresos. </v>
      </c>
    </row>
    <row r="41" customFormat="false" ht="15" hidden="false" customHeight="false" outlineLevel="0" collapsed="false">
      <c r="A41" s="39" t="s">
        <v>374</v>
      </c>
      <c r="B41" s="7" t="s">
        <v>375</v>
      </c>
      <c r="C41" s="7" t="s">
        <v>362</v>
      </c>
      <c r="D41" s="7" t="s">
        <v>314</v>
      </c>
      <c r="E41" s="7" t="s">
        <v>315</v>
      </c>
      <c r="F41" s="34"/>
      <c r="G41" s="40"/>
      <c r="H41" s="40"/>
      <c r="I41" s="34"/>
      <c r="J41" s="40"/>
      <c r="K41" s="40"/>
      <c r="L41" s="41"/>
      <c r="M41" s="34" t="s">
        <v>376</v>
      </c>
      <c r="N41" s="34"/>
      <c r="O41" s="42"/>
      <c r="P41" s="34" t="s">
        <v>113</v>
      </c>
      <c r="Q41" s="10" t="s">
        <v>317</v>
      </c>
      <c r="R41" s="43" t="str">
        <f aca="false">IF(A41="","",IF(ISNUMBER(H41),H41,IF(AND(ISNUMBER(G41),N(IFERROR(INDEX(Precios!$E$5:$E$120,MATCH(F41,Precios!$A$5:$A$120,0)),0))&gt;0),G41*IFERROR(INDEX(Precios!$E$5:$E$120,MATCH(F41,Precios!$A$5:$A$120,0)),0),"")))</f>
        <v/>
      </c>
      <c r="S41" s="43" t="n">
        <f aca="false">IF(A41="","",IF(ISNUMBER(K41),K41,IF(NOT(ISNUMBER(J41)),0,IF(N(IFERROR(INDEX(Precios!$E$5:$E$120,MATCH(I41,Precios!$A$5:$A$120,0)),0))&gt;0,J41*IFERROR(INDEX(Precios!$E$5:$E$120,MATCH(I41,Precios!$A$5:$A$120,0)),0),""))))</f>
        <v>0</v>
      </c>
      <c r="T41" s="36" t="str">
        <f aca="false">IF(A41="","",IF(AND(ISNUMBER(R41),ISNUMBER(S41),L41&lt;&gt;"",M41&lt;&gt;""),"Lista",IF(AND(NOT(ISNUMBER(H41)),NOT(ISNUMBER(G41))),"Consumo de tela. ",IF(NOT(ISNUMBER(R41)),"Rendimiento de "&amp;F41&amp;" (m/kg) en Precios. ",""))&amp;IF(AND(ISNUMBER(J41),NOT(ISNUMBER(S41))),"Rendimiento de "&amp;I41&amp;" (m/kg) en Precios. ","")&amp;IF(L41="","Metros impresos. ","")&amp;IF(M41="","Confección. ","")))</f>
        <v>Consumo de tela. Metros impresos. </v>
      </c>
    </row>
    <row r="42" customFormat="false" ht="15" hidden="false" customHeight="false" outlineLevel="0" collapsed="false">
      <c r="A42" s="39" t="s">
        <v>377</v>
      </c>
      <c r="B42" s="7" t="s">
        <v>375</v>
      </c>
      <c r="C42" s="7" t="s">
        <v>362</v>
      </c>
      <c r="D42" s="7" t="s">
        <v>314</v>
      </c>
      <c r="E42" s="7" t="s">
        <v>318</v>
      </c>
      <c r="F42" s="34"/>
      <c r="G42" s="40"/>
      <c r="H42" s="40"/>
      <c r="I42" s="34"/>
      <c r="J42" s="40"/>
      <c r="K42" s="40"/>
      <c r="L42" s="41"/>
      <c r="M42" s="34" t="s">
        <v>376</v>
      </c>
      <c r="N42" s="34"/>
      <c r="O42" s="42"/>
      <c r="P42" s="34" t="s">
        <v>113</v>
      </c>
      <c r="Q42" s="10" t="s">
        <v>317</v>
      </c>
      <c r="R42" s="43" t="str">
        <f aca="false">IF(A42="","",IF(ISNUMBER(H42),H42,IF(AND(ISNUMBER(G42),N(IFERROR(INDEX(Precios!$E$5:$E$120,MATCH(F42,Precios!$A$5:$A$120,0)),0))&gt;0),G42*IFERROR(INDEX(Precios!$E$5:$E$120,MATCH(F42,Precios!$A$5:$A$120,0)),0),"")))</f>
        <v/>
      </c>
      <c r="S42" s="43" t="n">
        <f aca="false">IF(A42="","",IF(ISNUMBER(K42),K42,IF(NOT(ISNUMBER(J42)),0,IF(N(IFERROR(INDEX(Precios!$E$5:$E$120,MATCH(I42,Precios!$A$5:$A$120,0)),0))&gt;0,J42*IFERROR(INDEX(Precios!$E$5:$E$120,MATCH(I42,Precios!$A$5:$A$120,0)),0),""))))</f>
        <v>0</v>
      </c>
      <c r="T42" s="36" t="str">
        <f aca="false">IF(A42="","",IF(AND(ISNUMBER(R42),ISNUMBER(S42),L42&lt;&gt;"",M42&lt;&gt;""),"Lista",IF(AND(NOT(ISNUMBER(H42)),NOT(ISNUMBER(G42))),"Consumo de tela. ",IF(NOT(ISNUMBER(R42)),"Rendimiento de "&amp;F42&amp;" (m/kg) en Precios. ",""))&amp;IF(AND(ISNUMBER(J42),NOT(ISNUMBER(S42))),"Rendimiento de "&amp;I42&amp;" (m/kg) en Precios. ","")&amp;IF(L42="","Metros impresos. ","")&amp;IF(M42="","Confección. ","")))</f>
        <v>Consumo de tela. Metros impresos. </v>
      </c>
    </row>
    <row r="43" customFormat="false" ht="15" hidden="false" customHeight="false" outlineLevel="0" collapsed="false">
      <c r="A43" s="39" t="s">
        <v>378</v>
      </c>
      <c r="B43" s="7" t="s">
        <v>379</v>
      </c>
      <c r="C43" s="7" t="s">
        <v>362</v>
      </c>
      <c r="D43" s="7" t="s">
        <v>314</v>
      </c>
      <c r="E43" s="7" t="s">
        <v>321</v>
      </c>
      <c r="F43" s="34"/>
      <c r="G43" s="40"/>
      <c r="H43" s="40"/>
      <c r="I43" s="34"/>
      <c r="J43" s="40"/>
      <c r="K43" s="40"/>
      <c r="L43" s="41"/>
      <c r="M43" s="34" t="s">
        <v>376</v>
      </c>
      <c r="N43" s="34"/>
      <c r="O43" s="42"/>
      <c r="P43" s="34" t="s">
        <v>113</v>
      </c>
      <c r="Q43" s="10" t="s">
        <v>317</v>
      </c>
      <c r="R43" s="43" t="str">
        <f aca="false">IF(A43="","",IF(ISNUMBER(H43),H43,IF(AND(ISNUMBER(G43),N(IFERROR(INDEX(Precios!$E$5:$E$120,MATCH(F43,Precios!$A$5:$A$120,0)),0))&gt;0),G43*IFERROR(INDEX(Precios!$E$5:$E$120,MATCH(F43,Precios!$A$5:$A$120,0)),0),"")))</f>
        <v/>
      </c>
      <c r="S43" s="43" t="n">
        <f aca="false">IF(A43="","",IF(ISNUMBER(K43),K43,IF(NOT(ISNUMBER(J43)),0,IF(N(IFERROR(INDEX(Precios!$E$5:$E$120,MATCH(I43,Precios!$A$5:$A$120,0)),0))&gt;0,J43*IFERROR(INDEX(Precios!$E$5:$E$120,MATCH(I43,Precios!$A$5:$A$120,0)),0),""))))</f>
        <v>0</v>
      </c>
      <c r="T43" s="36" t="str">
        <f aca="false">IF(A43="","",IF(AND(ISNUMBER(R43),ISNUMBER(S43),L43&lt;&gt;"",M43&lt;&gt;""),"Lista",IF(AND(NOT(ISNUMBER(H43)),NOT(ISNUMBER(G43))),"Consumo de tela. ",IF(NOT(ISNUMBER(R43)),"Rendimiento de "&amp;F43&amp;" (m/kg) en Precios. ",""))&amp;IF(AND(ISNUMBER(J43),NOT(ISNUMBER(S43))),"Rendimiento de "&amp;I43&amp;" (m/kg) en Precios. ","")&amp;IF(L43="","Metros impresos. ","")&amp;IF(M43="","Confección. ","")))</f>
        <v>Consumo de tela. Metros impresos. </v>
      </c>
    </row>
    <row r="44" customFormat="false" ht="15" hidden="false" customHeight="false" outlineLevel="0" collapsed="false">
      <c r="A44" s="39" t="s">
        <v>380</v>
      </c>
      <c r="B44" s="7" t="s">
        <v>379</v>
      </c>
      <c r="C44" s="7" t="s">
        <v>362</v>
      </c>
      <c r="D44" s="7" t="s">
        <v>314</v>
      </c>
      <c r="E44" s="7" t="s">
        <v>323</v>
      </c>
      <c r="F44" s="34"/>
      <c r="G44" s="40"/>
      <c r="H44" s="40"/>
      <c r="I44" s="34"/>
      <c r="J44" s="40"/>
      <c r="K44" s="40"/>
      <c r="L44" s="41"/>
      <c r="M44" s="34" t="s">
        <v>376</v>
      </c>
      <c r="N44" s="34"/>
      <c r="O44" s="42"/>
      <c r="P44" s="34" t="s">
        <v>113</v>
      </c>
      <c r="Q44" s="10" t="s">
        <v>317</v>
      </c>
      <c r="R44" s="43" t="str">
        <f aca="false">IF(A44="","",IF(ISNUMBER(H44),H44,IF(AND(ISNUMBER(G44),N(IFERROR(INDEX(Precios!$E$5:$E$120,MATCH(F44,Precios!$A$5:$A$120,0)),0))&gt;0),G44*IFERROR(INDEX(Precios!$E$5:$E$120,MATCH(F44,Precios!$A$5:$A$120,0)),0),"")))</f>
        <v/>
      </c>
      <c r="S44" s="43" t="n">
        <f aca="false">IF(A44="","",IF(ISNUMBER(K44),K44,IF(NOT(ISNUMBER(J44)),0,IF(N(IFERROR(INDEX(Precios!$E$5:$E$120,MATCH(I44,Precios!$A$5:$A$120,0)),0))&gt;0,J44*IFERROR(INDEX(Precios!$E$5:$E$120,MATCH(I44,Precios!$A$5:$A$120,0)),0),""))))</f>
        <v>0</v>
      </c>
      <c r="T44" s="36" t="str">
        <f aca="false">IF(A44="","",IF(AND(ISNUMBER(R44),ISNUMBER(S44),L44&lt;&gt;"",M44&lt;&gt;""),"Lista",IF(AND(NOT(ISNUMBER(H44)),NOT(ISNUMBER(G44))),"Consumo de tela. ",IF(NOT(ISNUMBER(R44)),"Rendimiento de "&amp;F44&amp;" (m/kg) en Precios. ",""))&amp;IF(AND(ISNUMBER(J44),NOT(ISNUMBER(S44))),"Rendimiento de "&amp;I44&amp;" (m/kg) en Precios. ","")&amp;IF(L44="","Metros impresos. ","")&amp;IF(M44="","Confección. ","")))</f>
        <v>Consumo de tela. Metros impresos. </v>
      </c>
    </row>
    <row r="45" customFormat="false" ht="15" hidden="false" customHeight="false" outlineLevel="0" collapsed="false">
      <c r="A45" s="39" t="s">
        <v>381</v>
      </c>
      <c r="B45" s="7" t="s">
        <v>382</v>
      </c>
      <c r="C45" s="7" t="s">
        <v>362</v>
      </c>
      <c r="D45" s="7" t="s">
        <v>314</v>
      </c>
      <c r="E45" s="7" t="s">
        <v>315</v>
      </c>
      <c r="F45" s="34"/>
      <c r="G45" s="40"/>
      <c r="H45" s="40"/>
      <c r="I45" s="34"/>
      <c r="J45" s="40"/>
      <c r="K45" s="40"/>
      <c r="L45" s="41"/>
      <c r="M45" s="34" t="s">
        <v>383</v>
      </c>
      <c r="N45" s="34"/>
      <c r="O45" s="42"/>
      <c r="P45" s="34" t="s">
        <v>113</v>
      </c>
      <c r="Q45" s="10" t="s">
        <v>317</v>
      </c>
      <c r="R45" s="43" t="str">
        <f aca="false">IF(A45="","",IF(ISNUMBER(H45),H45,IF(AND(ISNUMBER(G45),N(IFERROR(INDEX(Precios!$E$5:$E$120,MATCH(F45,Precios!$A$5:$A$120,0)),0))&gt;0),G45*IFERROR(INDEX(Precios!$E$5:$E$120,MATCH(F45,Precios!$A$5:$A$120,0)),0),"")))</f>
        <v/>
      </c>
      <c r="S45" s="43" t="n">
        <f aca="false">IF(A45="","",IF(ISNUMBER(K45),K45,IF(NOT(ISNUMBER(J45)),0,IF(N(IFERROR(INDEX(Precios!$E$5:$E$120,MATCH(I45,Precios!$A$5:$A$120,0)),0))&gt;0,J45*IFERROR(INDEX(Precios!$E$5:$E$120,MATCH(I45,Precios!$A$5:$A$120,0)),0),""))))</f>
        <v>0</v>
      </c>
      <c r="T45" s="36" t="str">
        <f aca="false">IF(A45="","",IF(AND(ISNUMBER(R45),ISNUMBER(S45),L45&lt;&gt;"",M45&lt;&gt;""),"Lista",IF(AND(NOT(ISNUMBER(H45)),NOT(ISNUMBER(G45))),"Consumo de tela. ",IF(NOT(ISNUMBER(R45)),"Rendimiento de "&amp;F45&amp;" (m/kg) en Precios. ",""))&amp;IF(AND(ISNUMBER(J45),NOT(ISNUMBER(S45))),"Rendimiento de "&amp;I45&amp;" (m/kg) en Precios. ","")&amp;IF(L45="","Metros impresos. ","")&amp;IF(M45="","Confección. ","")))</f>
        <v>Consumo de tela. Metros impresos. </v>
      </c>
    </row>
    <row r="46" customFormat="false" ht="15" hidden="false" customHeight="false" outlineLevel="0" collapsed="false">
      <c r="A46" s="39" t="s">
        <v>384</v>
      </c>
      <c r="B46" s="7" t="s">
        <v>382</v>
      </c>
      <c r="C46" s="7" t="s">
        <v>362</v>
      </c>
      <c r="D46" s="7" t="s">
        <v>314</v>
      </c>
      <c r="E46" s="7" t="s">
        <v>318</v>
      </c>
      <c r="F46" s="34"/>
      <c r="G46" s="40"/>
      <c r="H46" s="40"/>
      <c r="I46" s="34"/>
      <c r="J46" s="40"/>
      <c r="K46" s="40"/>
      <c r="L46" s="41"/>
      <c r="M46" s="34" t="s">
        <v>383</v>
      </c>
      <c r="N46" s="34"/>
      <c r="O46" s="42"/>
      <c r="P46" s="34" t="s">
        <v>113</v>
      </c>
      <c r="Q46" s="10" t="s">
        <v>317</v>
      </c>
      <c r="R46" s="43" t="str">
        <f aca="false">IF(A46="","",IF(ISNUMBER(H46),H46,IF(AND(ISNUMBER(G46),N(IFERROR(INDEX(Precios!$E$5:$E$120,MATCH(F46,Precios!$A$5:$A$120,0)),0))&gt;0),G46*IFERROR(INDEX(Precios!$E$5:$E$120,MATCH(F46,Precios!$A$5:$A$120,0)),0),"")))</f>
        <v/>
      </c>
      <c r="S46" s="43" t="n">
        <f aca="false">IF(A46="","",IF(ISNUMBER(K46),K46,IF(NOT(ISNUMBER(J46)),0,IF(N(IFERROR(INDEX(Precios!$E$5:$E$120,MATCH(I46,Precios!$A$5:$A$120,0)),0))&gt;0,J46*IFERROR(INDEX(Precios!$E$5:$E$120,MATCH(I46,Precios!$A$5:$A$120,0)),0),""))))</f>
        <v>0</v>
      </c>
      <c r="T46" s="36" t="str">
        <f aca="false">IF(A46="","",IF(AND(ISNUMBER(R46),ISNUMBER(S46),L46&lt;&gt;"",M46&lt;&gt;""),"Lista",IF(AND(NOT(ISNUMBER(H46)),NOT(ISNUMBER(G46))),"Consumo de tela. ",IF(NOT(ISNUMBER(R46)),"Rendimiento de "&amp;F46&amp;" (m/kg) en Precios. ",""))&amp;IF(AND(ISNUMBER(J46),NOT(ISNUMBER(S46))),"Rendimiento de "&amp;I46&amp;" (m/kg) en Precios. ","")&amp;IF(L46="","Metros impresos. ","")&amp;IF(M46="","Confección. ","")))</f>
        <v>Consumo de tela. Metros impresos. </v>
      </c>
    </row>
    <row r="47" customFormat="false" ht="15" hidden="false" customHeight="false" outlineLevel="0" collapsed="false">
      <c r="A47" s="39" t="s">
        <v>385</v>
      </c>
      <c r="B47" s="7" t="s">
        <v>386</v>
      </c>
      <c r="C47" s="7" t="s">
        <v>362</v>
      </c>
      <c r="D47" s="7" t="s">
        <v>314</v>
      </c>
      <c r="E47" s="7" t="s">
        <v>315</v>
      </c>
      <c r="F47" s="34"/>
      <c r="G47" s="40"/>
      <c r="H47" s="40"/>
      <c r="I47" s="34"/>
      <c r="J47" s="40"/>
      <c r="K47" s="40"/>
      <c r="L47" s="41"/>
      <c r="M47" s="34" t="s">
        <v>383</v>
      </c>
      <c r="N47" s="34"/>
      <c r="O47" s="42"/>
      <c r="P47" s="34" t="s">
        <v>113</v>
      </c>
      <c r="Q47" s="10" t="s">
        <v>317</v>
      </c>
      <c r="R47" s="43" t="str">
        <f aca="false">IF(A47="","",IF(ISNUMBER(H47),H47,IF(AND(ISNUMBER(G47),N(IFERROR(INDEX(Precios!$E$5:$E$120,MATCH(F47,Precios!$A$5:$A$120,0)),0))&gt;0),G47*IFERROR(INDEX(Precios!$E$5:$E$120,MATCH(F47,Precios!$A$5:$A$120,0)),0),"")))</f>
        <v/>
      </c>
      <c r="S47" s="43" t="n">
        <f aca="false">IF(A47="","",IF(ISNUMBER(K47),K47,IF(NOT(ISNUMBER(J47)),0,IF(N(IFERROR(INDEX(Precios!$E$5:$E$120,MATCH(I47,Precios!$A$5:$A$120,0)),0))&gt;0,J47*IFERROR(INDEX(Precios!$E$5:$E$120,MATCH(I47,Precios!$A$5:$A$120,0)),0),""))))</f>
        <v>0</v>
      </c>
      <c r="T47" s="36" t="str">
        <f aca="false">IF(A47="","",IF(AND(ISNUMBER(R47),ISNUMBER(S47),L47&lt;&gt;"",M47&lt;&gt;""),"Lista",IF(AND(NOT(ISNUMBER(H47)),NOT(ISNUMBER(G47))),"Consumo de tela. ",IF(NOT(ISNUMBER(R47)),"Rendimiento de "&amp;F47&amp;" (m/kg) en Precios. ",""))&amp;IF(AND(ISNUMBER(J47),NOT(ISNUMBER(S47))),"Rendimiento de "&amp;I47&amp;" (m/kg) en Precios. ","")&amp;IF(L47="","Metros impresos. ","")&amp;IF(M47="","Confección. ","")))</f>
        <v>Consumo de tela. Metros impresos. </v>
      </c>
    </row>
    <row r="48" customFormat="false" ht="15" hidden="false" customHeight="false" outlineLevel="0" collapsed="false">
      <c r="A48" s="39" t="s">
        <v>387</v>
      </c>
      <c r="B48" s="7" t="s">
        <v>386</v>
      </c>
      <c r="C48" s="7" t="s">
        <v>362</v>
      </c>
      <c r="D48" s="7" t="s">
        <v>314</v>
      </c>
      <c r="E48" s="7" t="s">
        <v>318</v>
      </c>
      <c r="F48" s="34"/>
      <c r="G48" s="40"/>
      <c r="H48" s="40"/>
      <c r="I48" s="34"/>
      <c r="J48" s="40"/>
      <c r="K48" s="40"/>
      <c r="L48" s="41"/>
      <c r="M48" s="34" t="s">
        <v>383</v>
      </c>
      <c r="N48" s="34"/>
      <c r="O48" s="42"/>
      <c r="P48" s="34" t="s">
        <v>113</v>
      </c>
      <c r="Q48" s="10" t="s">
        <v>317</v>
      </c>
      <c r="R48" s="43" t="str">
        <f aca="false">IF(A48="","",IF(ISNUMBER(H48),H48,IF(AND(ISNUMBER(G48),N(IFERROR(INDEX(Precios!$E$5:$E$120,MATCH(F48,Precios!$A$5:$A$120,0)),0))&gt;0),G48*IFERROR(INDEX(Precios!$E$5:$E$120,MATCH(F48,Precios!$A$5:$A$120,0)),0),"")))</f>
        <v/>
      </c>
      <c r="S48" s="43" t="n">
        <f aca="false">IF(A48="","",IF(ISNUMBER(K48),K48,IF(NOT(ISNUMBER(J48)),0,IF(N(IFERROR(INDEX(Precios!$E$5:$E$120,MATCH(I48,Precios!$A$5:$A$120,0)),0))&gt;0,J48*IFERROR(INDEX(Precios!$E$5:$E$120,MATCH(I48,Precios!$A$5:$A$120,0)),0),""))))</f>
        <v>0</v>
      </c>
      <c r="T48" s="36" t="str">
        <f aca="false">IF(A48="","",IF(AND(ISNUMBER(R48),ISNUMBER(S48),L48&lt;&gt;"",M48&lt;&gt;""),"Lista",IF(AND(NOT(ISNUMBER(H48)),NOT(ISNUMBER(G48))),"Consumo de tela. ",IF(NOT(ISNUMBER(R48)),"Rendimiento de "&amp;F48&amp;" (m/kg) en Precios. ",""))&amp;IF(AND(ISNUMBER(J48),NOT(ISNUMBER(S48))),"Rendimiento de "&amp;I48&amp;" (m/kg) en Precios. ","")&amp;IF(L48="","Metros impresos. ","")&amp;IF(M48="","Confección. ","")))</f>
        <v>Consumo de tela. Metros impresos. </v>
      </c>
    </row>
    <row r="49" customFormat="false" ht="15" hidden="false" customHeight="false" outlineLevel="0" collapsed="false">
      <c r="A49" s="39" t="s">
        <v>388</v>
      </c>
      <c r="B49" s="7" t="s">
        <v>362</v>
      </c>
      <c r="C49" s="7" t="s">
        <v>362</v>
      </c>
      <c r="D49" s="7" t="s">
        <v>389</v>
      </c>
      <c r="E49" s="7" t="s">
        <v>315</v>
      </c>
      <c r="F49" s="34"/>
      <c r="G49" s="40"/>
      <c r="H49" s="40"/>
      <c r="I49" s="34"/>
      <c r="J49" s="40"/>
      <c r="K49" s="40"/>
      <c r="L49" s="41"/>
      <c r="M49" s="34" t="s">
        <v>390</v>
      </c>
      <c r="N49" s="34"/>
      <c r="O49" s="42"/>
      <c r="P49" s="34" t="s">
        <v>113</v>
      </c>
      <c r="Q49" s="10" t="s">
        <v>317</v>
      </c>
      <c r="R49" s="43" t="str">
        <f aca="false">IF(A49="","",IF(ISNUMBER(H49),H49,IF(AND(ISNUMBER(G49),N(IFERROR(INDEX(Precios!$E$5:$E$120,MATCH(F49,Precios!$A$5:$A$120,0)),0))&gt;0),G49*IFERROR(INDEX(Precios!$E$5:$E$120,MATCH(F49,Precios!$A$5:$A$120,0)),0),"")))</f>
        <v/>
      </c>
      <c r="S49" s="43" t="n">
        <f aca="false">IF(A49="","",IF(ISNUMBER(K49),K49,IF(NOT(ISNUMBER(J49)),0,IF(N(IFERROR(INDEX(Precios!$E$5:$E$120,MATCH(I49,Precios!$A$5:$A$120,0)),0))&gt;0,J49*IFERROR(INDEX(Precios!$E$5:$E$120,MATCH(I49,Precios!$A$5:$A$120,0)),0),""))))</f>
        <v>0</v>
      </c>
      <c r="T49" s="36" t="str">
        <f aca="false">IF(A49="","",IF(AND(ISNUMBER(R49),ISNUMBER(S49),L49&lt;&gt;"",M49&lt;&gt;""),"Lista",IF(AND(NOT(ISNUMBER(H49)),NOT(ISNUMBER(G49))),"Consumo de tela. ",IF(NOT(ISNUMBER(R49)),"Rendimiento de "&amp;F49&amp;" (m/kg) en Precios. ",""))&amp;IF(AND(ISNUMBER(J49),NOT(ISNUMBER(S49))),"Rendimiento de "&amp;I49&amp;" (m/kg) en Precios. ","")&amp;IF(L49="","Metros impresos. ","")&amp;IF(M49="","Confección. ","")))</f>
        <v>Consumo de tela. Metros impresos. </v>
      </c>
    </row>
    <row r="50" customFormat="false" ht="23.85" hidden="false" customHeight="false" outlineLevel="0" collapsed="false">
      <c r="A50" s="39" t="s">
        <v>391</v>
      </c>
      <c r="B50" s="7" t="s">
        <v>362</v>
      </c>
      <c r="C50" s="7" t="s">
        <v>362</v>
      </c>
      <c r="D50" s="7" t="s">
        <v>389</v>
      </c>
      <c r="E50" s="7" t="s">
        <v>318</v>
      </c>
      <c r="F50" s="34" t="s">
        <v>217</v>
      </c>
      <c r="G50" s="40" t="n">
        <v>0.1529</v>
      </c>
      <c r="H50" s="40"/>
      <c r="I50" s="34"/>
      <c r="J50" s="40"/>
      <c r="K50" s="40"/>
      <c r="L50" s="41"/>
      <c r="M50" s="34" t="s">
        <v>390</v>
      </c>
      <c r="N50" s="34"/>
      <c r="O50" s="42"/>
      <c r="P50" s="34" t="s">
        <v>113</v>
      </c>
      <c r="Q50" s="10" t="s">
        <v>392</v>
      </c>
      <c r="R50" s="43" t="str">
        <f aca="false">IF(A50="","",IF(ISNUMBER(H50),H50,IF(AND(ISNUMBER(G50),N(IFERROR(INDEX(Precios!$E$5:$E$120,MATCH(F50,Precios!$A$5:$A$120,0)),0))&gt;0),G50*IFERROR(INDEX(Precios!$E$5:$E$120,MATCH(F50,Precios!$A$5:$A$120,0)),0),"")))</f>
        <v/>
      </c>
      <c r="S50" s="43" t="n">
        <f aca="false">IF(A50="","",IF(ISNUMBER(K50),K50,IF(NOT(ISNUMBER(J50)),0,IF(N(IFERROR(INDEX(Precios!$E$5:$E$120,MATCH(I50,Precios!$A$5:$A$120,0)),0))&gt;0,J50*IFERROR(INDEX(Precios!$E$5:$E$120,MATCH(I50,Precios!$A$5:$A$120,0)),0),""))))</f>
        <v>0</v>
      </c>
      <c r="T50" s="36" t="str">
        <f aca="false">IF(A50="","",IF(AND(ISNUMBER(R50),ISNUMBER(S50),L50&lt;&gt;"",M50&lt;&gt;""),"Lista",IF(AND(NOT(ISNUMBER(H50)),NOT(ISNUMBER(G50))),"Consumo de tela. ",IF(NOT(ISNUMBER(R50)),"Rendimiento de "&amp;F50&amp;" (m/kg) en Precios. ",""))&amp;IF(AND(ISNUMBER(J50),NOT(ISNUMBER(S50))),"Rendimiento de "&amp;I50&amp;" (m/kg) en Precios. ","")&amp;IF(L50="","Metros impresos. ","")&amp;IF(M50="","Confección. ","")))</f>
        <v>Rendimiento de QUICKDRY (m/kg) en Precios. Metros impresos. </v>
      </c>
    </row>
    <row r="51" customFormat="false" ht="15" hidden="false" customHeight="false" outlineLevel="0" collapsed="false">
      <c r="A51" s="39" t="s">
        <v>393</v>
      </c>
      <c r="B51" s="7" t="s">
        <v>394</v>
      </c>
      <c r="C51" s="7" t="s">
        <v>362</v>
      </c>
      <c r="D51" s="7" t="s">
        <v>389</v>
      </c>
      <c r="E51" s="7" t="s">
        <v>321</v>
      </c>
      <c r="F51" s="34"/>
      <c r="G51" s="40"/>
      <c r="H51" s="40"/>
      <c r="I51" s="34"/>
      <c r="J51" s="40"/>
      <c r="K51" s="40"/>
      <c r="L51" s="41"/>
      <c r="M51" s="34" t="s">
        <v>390</v>
      </c>
      <c r="N51" s="34"/>
      <c r="O51" s="42"/>
      <c r="P51" s="34" t="s">
        <v>113</v>
      </c>
      <c r="Q51" s="10" t="s">
        <v>317</v>
      </c>
      <c r="R51" s="43" t="str">
        <f aca="false">IF(A51="","",IF(ISNUMBER(H51),H51,IF(AND(ISNUMBER(G51),N(IFERROR(INDEX(Precios!$E$5:$E$120,MATCH(F51,Precios!$A$5:$A$120,0)),0))&gt;0),G51*IFERROR(INDEX(Precios!$E$5:$E$120,MATCH(F51,Precios!$A$5:$A$120,0)),0),"")))</f>
        <v/>
      </c>
      <c r="S51" s="43" t="n">
        <f aca="false">IF(A51="","",IF(ISNUMBER(K51),K51,IF(NOT(ISNUMBER(J51)),0,IF(N(IFERROR(INDEX(Precios!$E$5:$E$120,MATCH(I51,Precios!$A$5:$A$120,0)),0))&gt;0,J51*IFERROR(INDEX(Precios!$E$5:$E$120,MATCH(I51,Precios!$A$5:$A$120,0)),0),""))))</f>
        <v>0</v>
      </c>
      <c r="T51" s="36" t="str">
        <f aca="false">IF(A51="","",IF(AND(ISNUMBER(R51),ISNUMBER(S51),L51&lt;&gt;"",M51&lt;&gt;""),"Lista",IF(AND(NOT(ISNUMBER(H51)),NOT(ISNUMBER(G51))),"Consumo de tela. ",IF(NOT(ISNUMBER(R51)),"Rendimiento de "&amp;F51&amp;" (m/kg) en Precios. ",""))&amp;IF(AND(ISNUMBER(J51),NOT(ISNUMBER(S51))),"Rendimiento de "&amp;I51&amp;" (m/kg) en Precios. ","")&amp;IF(L51="","Metros impresos. ","")&amp;IF(M51="","Confección. ","")))</f>
        <v>Consumo de tela. Metros impresos. </v>
      </c>
    </row>
    <row r="52" customFormat="false" ht="15" hidden="false" customHeight="false" outlineLevel="0" collapsed="false">
      <c r="A52" s="39" t="s">
        <v>395</v>
      </c>
      <c r="B52" s="7" t="s">
        <v>394</v>
      </c>
      <c r="C52" s="7" t="s">
        <v>362</v>
      </c>
      <c r="D52" s="7" t="s">
        <v>389</v>
      </c>
      <c r="E52" s="7" t="s">
        <v>323</v>
      </c>
      <c r="F52" s="34"/>
      <c r="G52" s="40"/>
      <c r="H52" s="40"/>
      <c r="I52" s="34"/>
      <c r="J52" s="40"/>
      <c r="K52" s="40"/>
      <c r="L52" s="41"/>
      <c r="M52" s="34" t="s">
        <v>390</v>
      </c>
      <c r="N52" s="34"/>
      <c r="O52" s="42"/>
      <c r="P52" s="34" t="s">
        <v>113</v>
      </c>
      <c r="Q52" s="10" t="s">
        <v>317</v>
      </c>
      <c r="R52" s="43" t="str">
        <f aca="false">IF(A52="","",IF(ISNUMBER(H52),H52,IF(AND(ISNUMBER(G52),N(IFERROR(INDEX(Precios!$E$5:$E$120,MATCH(F52,Precios!$A$5:$A$120,0)),0))&gt;0),G52*IFERROR(INDEX(Precios!$E$5:$E$120,MATCH(F52,Precios!$A$5:$A$120,0)),0),"")))</f>
        <v/>
      </c>
      <c r="S52" s="43" t="n">
        <f aca="false">IF(A52="","",IF(ISNUMBER(K52),K52,IF(NOT(ISNUMBER(J52)),0,IF(N(IFERROR(INDEX(Precios!$E$5:$E$120,MATCH(I52,Precios!$A$5:$A$120,0)),0))&gt;0,J52*IFERROR(INDEX(Precios!$E$5:$E$120,MATCH(I52,Precios!$A$5:$A$120,0)),0),""))))</f>
        <v>0</v>
      </c>
      <c r="T52" s="36" t="str">
        <f aca="false">IF(A52="","",IF(AND(ISNUMBER(R52),ISNUMBER(S52),L52&lt;&gt;"",M52&lt;&gt;""),"Lista",IF(AND(NOT(ISNUMBER(H52)),NOT(ISNUMBER(G52))),"Consumo de tela. ",IF(NOT(ISNUMBER(R52)),"Rendimiento de "&amp;F52&amp;" (m/kg) en Precios. ",""))&amp;IF(AND(ISNUMBER(J52),NOT(ISNUMBER(S52))),"Rendimiento de "&amp;I52&amp;" (m/kg) en Precios. ","")&amp;IF(L52="","Metros impresos. ","")&amp;IF(M52="","Confección. ","")))</f>
        <v>Consumo de tela. Metros impresos. </v>
      </c>
    </row>
    <row r="53" customFormat="false" ht="15" hidden="false" customHeight="false" outlineLevel="0" collapsed="false">
      <c r="A53" s="39" t="s">
        <v>396</v>
      </c>
      <c r="B53" s="7" t="s">
        <v>397</v>
      </c>
      <c r="C53" s="7" t="s">
        <v>362</v>
      </c>
      <c r="D53" s="7" t="s">
        <v>389</v>
      </c>
      <c r="E53" s="7" t="s">
        <v>315</v>
      </c>
      <c r="F53" s="34"/>
      <c r="G53" s="40"/>
      <c r="H53" s="40"/>
      <c r="I53" s="34"/>
      <c r="J53" s="40"/>
      <c r="K53" s="40"/>
      <c r="L53" s="41"/>
      <c r="M53" s="34" t="s">
        <v>398</v>
      </c>
      <c r="N53" s="34"/>
      <c r="O53" s="42"/>
      <c r="P53" s="34" t="s">
        <v>113</v>
      </c>
      <c r="Q53" s="10" t="s">
        <v>317</v>
      </c>
      <c r="R53" s="43" t="str">
        <f aca="false">IF(A53="","",IF(ISNUMBER(H53),H53,IF(AND(ISNUMBER(G53),N(IFERROR(INDEX(Precios!$E$5:$E$120,MATCH(F53,Precios!$A$5:$A$120,0)),0))&gt;0),G53*IFERROR(INDEX(Precios!$E$5:$E$120,MATCH(F53,Precios!$A$5:$A$120,0)),0),"")))</f>
        <v/>
      </c>
      <c r="S53" s="43" t="n">
        <f aca="false">IF(A53="","",IF(ISNUMBER(K53),K53,IF(NOT(ISNUMBER(J53)),0,IF(N(IFERROR(INDEX(Precios!$E$5:$E$120,MATCH(I53,Precios!$A$5:$A$120,0)),0))&gt;0,J53*IFERROR(INDEX(Precios!$E$5:$E$120,MATCH(I53,Precios!$A$5:$A$120,0)),0),""))))</f>
        <v>0</v>
      </c>
      <c r="T53" s="36" t="str">
        <f aca="false">IF(A53="","",IF(AND(ISNUMBER(R53),ISNUMBER(S53),L53&lt;&gt;"",M53&lt;&gt;""),"Lista",IF(AND(NOT(ISNUMBER(H53)),NOT(ISNUMBER(G53))),"Consumo de tela. ",IF(NOT(ISNUMBER(R53)),"Rendimiento de "&amp;F53&amp;" (m/kg) en Precios. ",""))&amp;IF(AND(ISNUMBER(J53),NOT(ISNUMBER(S53))),"Rendimiento de "&amp;I53&amp;" (m/kg) en Precios. ","")&amp;IF(L53="","Metros impresos. ","")&amp;IF(M53="","Confección. ","")))</f>
        <v>Consumo de tela. Metros impresos. </v>
      </c>
    </row>
    <row r="54" customFormat="false" ht="15" hidden="false" customHeight="false" outlineLevel="0" collapsed="false">
      <c r="A54" s="39" t="s">
        <v>399</v>
      </c>
      <c r="B54" s="7" t="s">
        <v>397</v>
      </c>
      <c r="C54" s="7" t="s">
        <v>362</v>
      </c>
      <c r="D54" s="7" t="s">
        <v>389</v>
      </c>
      <c r="E54" s="7" t="s">
        <v>318</v>
      </c>
      <c r="F54" s="34"/>
      <c r="G54" s="40"/>
      <c r="H54" s="40"/>
      <c r="I54" s="34"/>
      <c r="J54" s="40"/>
      <c r="K54" s="40"/>
      <c r="L54" s="41"/>
      <c r="M54" s="34" t="s">
        <v>398</v>
      </c>
      <c r="N54" s="34"/>
      <c r="O54" s="42"/>
      <c r="P54" s="34" t="s">
        <v>113</v>
      </c>
      <c r="Q54" s="10" t="s">
        <v>317</v>
      </c>
      <c r="R54" s="43" t="str">
        <f aca="false">IF(A54="","",IF(ISNUMBER(H54),H54,IF(AND(ISNUMBER(G54),N(IFERROR(INDEX(Precios!$E$5:$E$120,MATCH(F54,Precios!$A$5:$A$120,0)),0))&gt;0),G54*IFERROR(INDEX(Precios!$E$5:$E$120,MATCH(F54,Precios!$A$5:$A$120,0)),0),"")))</f>
        <v/>
      </c>
      <c r="S54" s="43" t="n">
        <f aca="false">IF(A54="","",IF(ISNUMBER(K54),K54,IF(NOT(ISNUMBER(J54)),0,IF(N(IFERROR(INDEX(Precios!$E$5:$E$120,MATCH(I54,Precios!$A$5:$A$120,0)),0))&gt;0,J54*IFERROR(INDEX(Precios!$E$5:$E$120,MATCH(I54,Precios!$A$5:$A$120,0)),0),""))))</f>
        <v>0</v>
      </c>
      <c r="T54" s="36" t="str">
        <f aca="false">IF(A54="","",IF(AND(ISNUMBER(R54),ISNUMBER(S54),L54&lt;&gt;"",M54&lt;&gt;""),"Lista",IF(AND(NOT(ISNUMBER(H54)),NOT(ISNUMBER(G54))),"Consumo de tela. ",IF(NOT(ISNUMBER(R54)),"Rendimiento de "&amp;F54&amp;" (m/kg) en Precios. ",""))&amp;IF(AND(ISNUMBER(J54),NOT(ISNUMBER(S54))),"Rendimiento de "&amp;I54&amp;" (m/kg) en Precios. ","")&amp;IF(L54="","Metros impresos. ","")&amp;IF(M54="","Confección. ","")))</f>
        <v>Consumo de tela. Metros impresos. </v>
      </c>
    </row>
    <row r="55" customFormat="false" ht="15" hidden="false" customHeight="false" outlineLevel="0" collapsed="false">
      <c r="A55" s="39" t="s">
        <v>400</v>
      </c>
      <c r="B55" s="7" t="s">
        <v>401</v>
      </c>
      <c r="C55" s="7" t="s">
        <v>362</v>
      </c>
      <c r="D55" s="7" t="s">
        <v>389</v>
      </c>
      <c r="E55" s="7" t="s">
        <v>321</v>
      </c>
      <c r="F55" s="34"/>
      <c r="G55" s="40"/>
      <c r="H55" s="40"/>
      <c r="I55" s="34"/>
      <c r="J55" s="40"/>
      <c r="K55" s="40"/>
      <c r="L55" s="41"/>
      <c r="M55" s="34" t="s">
        <v>398</v>
      </c>
      <c r="N55" s="34"/>
      <c r="O55" s="42"/>
      <c r="P55" s="34" t="s">
        <v>113</v>
      </c>
      <c r="Q55" s="10" t="s">
        <v>317</v>
      </c>
      <c r="R55" s="43" t="str">
        <f aca="false">IF(A55="","",IF(ISNUMBER(H55),H55,IF(AND(ISNUMBER(G55),N(IFERROR(INDEX(Precios!$E$5:$E$120,MATCH(F55,Precios!$A$5:$A$120,0)),0))&gt;0),G55*IFERROR(INDEX(Precios!$E$5:$E$120,MATCH(F55,Precios!$A$5:$A$120,0)),0),"")))</f>
        <v/>
      </c>
      <c r="S55" s="43" t="n">
        <f aca="false">IF(A55="","",IF(ISNUMBER(K55),K55,IF(NOT(ISNUMBER(J55)),0,IF(N(IFERROR(INDEX(Precios!$E$5:$E$120,MATCH(I55,Precios!$A$5:$A$120,0)),0))&gt;0,J55*IFERROR(INDEX(Precios!$E$5:$E$120,MATCH(I55,Precios!$A$5:$A$120,0)),0),""))))</f>
        <v>0</v>
      </c>
      <c r="T55" s="36" t="str">
        <f aca="false">IF(A55="","",IF(AND(ISNUMBER(R55),ISNUMBER(S55),L55&lt;&gt;"",M55&lt;&gt;""),"Lista",IF(AND(NOT(ISNUMBER(H55)),NOT(ISNUMBER(G55))),"Consumo de tela. ",IF(NOT(ISNUMBER(R55)),"Rendimiento de "&amp;F55&amp;" (m/kg) en Precios. ",""))&amp;IF(AND(ISNUMBER(J55),NOT(ISNUMBER(S55))),"Rendimiento de "&amp;I55&amp;" (m/kg) en Precios. ","")&amp;IF(L55="","Metros impresos. ","")&amp;IF(M55="","Confección. ","")))</f>
        <v>Consumo de tela. Metros impresos. </v>
      </c>
    </row>
    <row r="56" customFormat="false" ht="15" hidden="false" customHeight="false" outlineLevel="0" collapsed="false">
      <c r="A56" s="39" t="s">
        <v>402</v>
      </c>
      <c r="B56" s="7" t="s">
        <v>401</v>
      </c>
      <c r="C56" s="7" t="s">
        <v>362</v>
      </c>
      <c r="D56" s="7" t="s">
        <v>389</v>
      </c>
      <c r="E56" s="7" t="s">
        <v>323</v>
      </c>
      <c r="F56" s="34"/>
      <c r="G56" s="40"/>
      <c r="H56" s="40"/>
      <c r="I56" s="34"/>
      <c r="J56" s="40"/>
      <c r="K56" s="40"/>
      <c r="L56" s="41"/>
      <c r="M56" s="34" t="s">
        <v>398</v>
      </c>
      <c r="N56" s="34"/>
      <c r="O56" s="42"/>
      <c r="P56" s="34" t="s">
        <v>113</v>
      </c>
      <c r="Q56" s="10" t="s">
        <v>317</v>
      </c>
      <c r="R56" s="43" t="str">
        <f aca="false">IF(A56="","",IF(ISNUMBER(H56),H56,IF(AND(ISNUMBER(G56),N(IFERROR(INDEX(Precios!$E$5:$E$120,MATCH(F56,Precios!$A$5:$A$120,0)),0))&gt;0),G56*IFERROR(INDEX(Precios!$E$5:$E$120,MATCH(F56,Precios!$A$5:$A$120,0)),0),"")))</f>
        <v/>
      </c>
      <c r="S56" s="43" t="n">
        <f aca="false">IF(A56="","",IF(ISNUMBER(K56),K56,IF(NOT(ISNUMBER(J56)),0,IF(N(IFERROR(INDEX(Precios!$E$5:$E$120,MATCH(I56,Precios!$A$5:$A$120,0)),0))&gt;0,J56*IFERROR(INDEX(Precios!$E$5:$E$120,MATCH(I56,Precios!$A$5:$A$120,0)),0),""))))</f>
        <v>0</v>
      </c>
      <c r="T56" s="36" t="str">
        <f aca="false">IF(A56="","",IF(AND(ISNUMBER(R56),ISNUMBER(S56),L56&lt;&gt;"",M56&lt;&gt;""),"Lista",IF(AND(NOT(ISNUMBER(H56)),NOT(ISNUMBER(G56))),"Consumo de tela. ",IF(NOT(ISNUMBER(R56)),"Rendimiento de "&amp;F56&amp;" (m/kg) en Precios. ",""))&amp;IF(AND(ISNUMBER(J56),NOT(ISNUMBER(S56))),"Rendimiento de "&amp;I56&amp;" (m/kg) en Precios. ","")&amp;IF(L56="","Metros impresos. ","")&amp;IF(M56="","Confección. ","")))</f>
        <v>Consumo de tela. Metros impresos. </v>
      </c>
    </row>
    <row r="57" customFormat="false" ht="15" hidden="false" customHeight="false" outlineLevel="0" collapsed="false">
      <c r="A57" s="39" t="s">
        <v>403</v>
      </c>
      <c r="B57" s="7" t="s">
        <v>404</v>
      </c>
      <c r="C57" s="7" t="s">
        <v>362</v>
      </c>
      <c r="D57" s="7" t="s">
        <v>389</v>
      </c>
      <c r="E57" s="7" t="s">
        <v>315</v>
      </c>
      <c r="F57" s="34"/>
      <c r="G57" s="40"/>
      <c r="H57" s="40"/>
      <c r="I57" s="34"/>
      <c r="J57" s="40"/>
      <c r="K57" s="40"/>
      <c r="L57" s="41"/>
      <c r="M57" s="34" t="s">
        <v>405</v>
      </c>
      <c r="N57" s="34"/>
      <c r="O57" s="42"/>
      <c r="P57" s="34" t="s">
        <v>113</v>
      </c>
      <c r="Q57" s="10" t="s">
        <v>317</v>
      </c>
      <c r="R57" s="43" t="str">
        <f aca="false">IF(A57="","",IF(ISNUMBER(H57),H57,IF(AND(ISNUMBER(G57),N(IFERROR(INDEX(Precios!$E$5:$E$120,MATCH(F57,Precios!$A$5:$A$120,0)),0))&gt;0),G57*IFERROR(INDEX(Precios!$E$5:$E$120,MATCH(F57,Precios!$A$5:$A$120,0)),0),"")))</f>
        <v/>
      </c>
      <c r="S57" s="43" t="n">
        <f aca="false">IF(A57="","",IF(ISNUMBER(K57),K57,IF(NOT(ISNUMBER(J57)),0,IF(N(IFERROR(INDEX(Precios!$E$5:$E$120,MATCH(I57,Precios!$A$5:$A$120,0)),0))&gt;0,J57*IFERROR(INDEX(Precios!$E$5:$E$120,MATCH(I57,Precios!$A$5:$A$120,0)),0),""))))</f>
        <v>0</v>
      </c>
      <c r="T57" s="36" t="str">
        <f aca="false">IF(A57="","",IF(AND(ISNUMBER(R57),ISNUMBER(S57),L57&lt;&gt;"",M57&lt;&gt;""),"Lista",IF(AND(NOT(ISNUMBER(H57)),NOT(ISNUMBER(G57))),"Consumo de tela. ",IF(NOT(ISNUMBER(R57)),"Rendimiento de "&amp;F57&amp;" (m/kg) en Precios. ",""))&amp;IF(AND(ISNUMBER(J57),NOT(ISNUMBER(S57))),"Rendimiento de "&amp;I57&amp;" (m/kg) en Precios. ","")&amp;IF(L57="","Metros impresos. ","")&amp;IF(M57="","Confección. ","")))</f>
        <v>Consumo de tela. Metros impresos. </v>
      </c>
    </row>
    <row r="58" customFormat="false" ht="15" hidden="false" customHeight="false" outlineLevel="0" collapsed="false">
      <c r="A58" s="39" t="s">
        <v>406</v>
      </c>
      <c r="B58" s="7" t="s">
        <v>404</v>
      </c>
      <c r="C58" s="7" t="s">
        <v>362</v>
      </c>
      <c r="D58" s="7" t="s">
        <v>389</v>
      </c>
      <c r="E58" s="7" t="s">
        <v>318</v>
      </c>
      <c r="F58" s="34"/>
      <c r="G58" s="40"/>
      <c r="H58" s="40"/>
      <c r="I58" s="34"/>
      <c r="J58" s="40"/>
      <c r="K58" s="40"/>
      <c r="L58" s="41"/>
      <c r="M58" s="34" t="s">
        <v>405</v>
      </c>
      <c r="N58" s="34"/>
      <c r="O58" s="42"/>
      <c r="P58" s="34" t="s">
        <v>113</v>
      </c>
      <c r="Q58" s="10" t="s">
        <v>317</v>
      </c>
      <c r="R58" s="43" t="str">
        <f aca="false">IF(A58="","",IF(ISNUMBER(H58),H58,IF(AND(ISNUMBER(G58),N(IFERROR(INDEX(Precios!$E$5:$E$120,MATCH(F58,Precios!$A$5:$A$120,0)),0))&gt;0),G58*IFERROR(INDEX(Precios!$E$5:$E$120,MATCH(F58,Precios!$A$5:$A$120,0)),0),"")))</f>
        <v/>
      </c>
      <c r="S58" s="43" t="n">
        <f aca="false">IF(A58="","",IF(ISNUMBER(K58),K58,IF(NOT(ISNUMBER(J58)),0,IF(N(IFERROR(INDEX(Precios!$E$5:$E$120,MATCH(I58,Precios!$A$5:$A$120,0)),0))&gt;0,J58*IFERROR(INDEX(Precios!$E$5:$E$120,MATCH(I58,Precios!$A$5:$A$120,0)),0),""))))</f>
        <v>0</v>
      </c>
      <c r="T58" s="36" t="str">
        <f aca="false">IF(A58="","",IF(AND(ISNUMBER(R58),ISNUMBER(S58),L58&lt;&gt;"",M58&lt;&gt;""),"Lista",IF(AND(NOT(ISNUMBER(H58)),NOT(ISNUMBER(G58))),"Consumo de tela. ",IF(NOT(ISNUMBER(R58)),"Rendimiento de "&amp;F58&amp;" (m/kg) en Precios. ",""))&amp;IF(AND(ISNUMBER(J58),NOT(ISNUMBER(S58))),"Rendimiento de "&amp;I58&amp;" (m/kg) en Precios. ","")&amp;IF(L58="","Metros impresos. ","")&amp;IF(M58="","Confección. ","")))</f>
        <v>Consumo de tela. Metros impresos. </v>
      </c>
    </row>
    <row r="59" customFormat="false" ht="15" hidden="false" customHeight="false" outlineLevel="0" collapsed="false">
      <c r="A59" s="44" t="s">
        <v>407</v>
      </c>
      <c r="B59" s="19"/>
      <c r="C59" s="19"/>
      <c r="D59" s="19"/>
      <c r="E59" s="19"/>
      <c r="F59" s="19"/>
      <c r="G59" s="19"/>
      <c r="H59" s="19"/>
      <c r="I59" s="19"/>
      <c r="J59" s="19"/>
      <c r="K59" s="19"/>
      <c r="L59" s="19"/>
      <c r="M59" s="19"/>
      <c r="N59" s="19"/>
      <c r="O59" s="19"/>
      <c r="P59" s="19"/>
      <c r="Q59" s="19"/>
      <c r="R59" s="19"/>
      <c r="S59" s="19"/>
      <c r="T59" s="19"/>
    </row>
    <row r="60" customFormat="false" ht="22.35" hidden="false" customHeight="false" outlineLevel="0" collapsed="false">
      <c r="A60" s="39" t="s">
        <v>163</v>
      </c>
      <c r="B60" s="7" t="s">
        <v>408</v>
      </c>
      <c r="C60" s="7" t="s">
        <v>313</v>
      </c>
      <c r="D60" s="7" t="s">
        <v>389</v>
      </c>
      <c r="E60" s="7" t="s">
        <v>318</v>
      </c>
      <c r="F60" s="34" t="s">
        <v>164</v>
      </c>
      <c r="G60" s="40" t="n">
        <v>0.1609</v>
      </c>
      <c r="H60" s="40"/>
      <c r="I60" s="34"/>
      <c r="J60" s="40"/>
      <c r="K60" s="40"/>
      <c r="L60" s="41" t="n">
        <v>0</v>
      </c>
      <c r="M60" s="34" t="s">
        <v>409</v>
      </c>
      <c r="N60" s="34"/>
      <c r="O60" s="42"/>
      <c r="P60" s="34" t="s">
        <v>113</v>
      </c>
      <c r="Q60" s="10" t="s">
        <v>410</v>
      </c>
      <c r="R60" s="43" t="str">
        <f aca="false">IF(A60="","",IF(ISNUMBER(H60),H60,IF(AND(ISNUMBER(G60),N(IFERROR(INDEX(Precios!$E$5:$E$120,MATCH(F60,Precios!$A$5:$A$120,0)),0))&gt;0),G60*IFERROR(INDEX(Precios!$E$5:$E$120,MATCH(F60,Precios!$A$5:$A$120,0)),0),"")))</f>
        <v/>
      </c>
      <c r="S60" s="43" t="n">
        <f aca="false">IF(A60="","",IF(ISNUMBER(K60),K60,IF(NOT(ISNUMBER(J60)),0,IF(N(IFERROR(INDEX(Precios!$E$5:$E$120,MATCH(I60,Precios!$A$5:$A$120,0)),0))&gt;0,J60*IFERROR(INDEX(Precios!$E$5:$E$120,MATCH(I60,Precios!$A$5:$A$120,0)),0),""))))</f>
        <v>0</v>
      </c>
      <c r="T60" s="36" t="str">
        <f aca="false">IF(A60="","",IF(AND(ISNUMBER(R60),ISNUMBER(S60),L60&lt;&gt;"",M60&lt;&gt;""),"Lista",IF(AND(NOT(ISNUMBER(H60)),NOT(ISNUMBER(G60))),"Consumo de tela. ",IF(NOT(ISNUMBER(R60)),"Rendimiento de "&amp;F60&amp;" (m/kg) en Precios. ",""))&amp;IF(AND(ISNUMBER(J60),NOT(ISNUMBER(S60))),"Rendimiento de "&amp;I60&amp;" (m/kg) en Precios. ","")&amp;IF(L60="","Metros impresos. ","")&amp;IF(M60="","Confección. ","")))</f>
        <v>Rendimiento de CIRE BLANCO (m/kg) en Precios. </v>
      </c>
    </row>
    <row r="61" customFormat="false" ht="15" hidden="false" customHeight="false" outlineLevel="0" collapsed="false">
      <c r="A61" s="39" t="s">
        <v>157</v>
      </c>
      <c r="B61" s="7" t="s">
        <v>411</v>
      </c>
      <c r="C61" s="7" t="s">
        <v>412</v>
      </c>
      <c r="D61" s="7" t="s">
        <v>389</v>
      </c>
      <c r="E61" s="7" t="s">
        <v>318</v>
      </c>
      <c r="F61" s="34" t="s">
        <v>158</v>
      </c>
      <c r="G61" s="40" t="n">
        <v>0.1842</v>
      </c>
      <c r="H61" s="40"/>
      <c r="I61" s="34"/>
      <c r="J61" s="40"/>
      <c r="K61" s="40"/>
      <c r="L61" s="41" t="n">
        <v>0</v>
      </c>
      <c r="M61" s="34" t="s">
        <v>413</v>
      </c>
      <c r="N61" s="34"/>
      <c r="O61" s="42"/>
      <c r="P61" s="34" t="s">
        <v>113</v>
      </c>
      <c r="Q61" s="10" t="s">
        <v>414</v>
      </c>
      <c r="R61" s="43" t="str">
        <f aca="false">IF(A61="","",IF(ISNUMBER(H61),H61,IF(AND(ISNUMBER(G61),N(IFERROR(INDEX(Precios!$E$5:$E$120,MATCH(F61,Precios!$A$5:$A$120,0)),0))&gt;0),G61*IFERROR(INDEX(Precios!$E$5:$E$120,MATCH(F61,Precios!$A$5:$A$120,0)),0),"")))</f>
        <v/>
      </c>
      <c r="S61" s="43" t="n">
        <f aca="false">IF(A61="","",IF(ISNUMBER(K61),K61,IF(NOT(ISNUMBER(J61)),0,IF(N(IFERROR(INDEX(Precios!$E$5:$E$120,MATCH(I61,Precios!$A$5:$A$120,0)),0))&gt;0,J61*IFERROR(INDEX(Precios!$E$5:$E$120,MATCH(I61,Precios!$A$5:$A$120,0)),0),""))))</f>
        <v>0</v>
      </c>
      <c r="T61" s="36" t="str">
        <f aca="false">IF(A61="","",IF(AND(ISNUMBER(R61),ISNUMBER(S61),L61&lt;&gt;"",M61&lt;&gt;""),"Lista",IF(AND(NOT(ISNUMBER(H61)),NOT(ISNUMBER(G61))),"Consumo de tela. ",IF(NOT(ISNUMBER(R61)),"Rendimiento de "&amp;F61&amp;" (m/kg) en Precios. ",""))&amp;IF(AND(ISNUMBER(J61),NOT(ISNUMBER(S61))),"Rendimiento de "&amp;I61&amp;" (m/kg) en Precios. ","")&amp;IF(L61="","Metros impresos. ","")&amp;IF(M61="","Confección. ","")))</f>
        <v>Rendimiento de GABARDINA (m/kg) en Precios. </v>
      </c>
    </row>
    <row r="62" customFormat="false" ht="15" hidden="false" customHeight="false" outlineLevel="0" collapsed="false">
      <c r="A62" s="39" t="s">
        <v>151</v>
      </c>
      <c r="B62" s="7" t="s">
        <v>415</v>
      </c>
      <c r="C62" s="7" t="s">
        <v>416</v>
      </c>
      <c r="D62" s="7" t="s">
        <v>314</v>
      </c>
      <c r="E62" s="7" t="s">
        <v>318</v>
      </c>
      <c r="F62" s="34" t="s">
        <v>152</v>
      </c>
      <c r="G62" s="40" t="n">
        <v>0.082</v>
      </c>
      <c r="H62" s="40"/>
      <c r="I62" s="34"/>
      <c r="J62" s="40"/>
      <c r="K62" s="40"/>
      <c r="L62" s="41" t="n">
        <v>1.2</v>
      </c>
      <c r="M62" s="34" t="s">
        <v>417</v>
      </c>
      <c r="N62" s="34"/>
      <c r="O62" s="42"/>
      <c r="P62" s="34" t="s">
        <v>113</v>
      </c>
      <c r="Q62" s="10" t="s">
        <v>418</v>
      </c>
      <c r="R62" s="43" t="n">
        <f aca="false">IF(A62="","",IF(ISNUMBER(H62),H62,IF(AND(ISNUMBER(G62),N(IFERROR(INDEX(Precios!$E$5:$E$120,MATCH(F62,Precios!$A$5:$A$120,0)),0))&gt;0),G62*IFERROR(INDEX(Precios!$E$5:$E$120,MATCH(F62,Precios!$A$5:$A$120,0)),0),"")))</f>
        <v>0.41492</v>
      </c>
      <c r="S62" s="43" t="n">
        <f aca="false">IF(A62="","",IF(ISNUMBER(K62),K62,IF(NOT(ISNUMBER(J62)),0,IF(N(IFERROR(INDEX(Precios!$E$5:$E$120,MATCH(I62,Precios!$A$5:$A$120,0)),0))&gt;0,J62*IFERROR(INDEX(Precios!$E$5:$E$120,MATCH(I62,Precios!$A$5:$A$120,0)),0),""))))</f>
        <v>0</v>
      </c>
      <c r="T62" s="36" t="str">
        <f aca="false">IF(A62="","",IF(AND(ISNUMBER(R62),ISNUMBER(S62),L62&lt;&gt;"",M62&lt;&gt;""),"Lista",IF(AND(NOT(ISNUMBER(H62)),NOT(ISNUMBER(G62))),"Consumo de tela. ",IF(NOT(ISNUMBER(R62)),"Rendimiento de "&amp;F62&amp;" (m/kg) en Precios. ",""))&amp;IF(AND(ISNUMBER(J62),NOT(ISNUMBER(S62))),"Rendimiento de "&amp;I62&amp;" (m/kg) en Precios. ","")&amp;IF(L62="","Metros impresos. ","")&amp;IF(M62="","Confección. ","")))</f>
        <v>Lista</v>
      </c>
    </row>
    <row r="63" customFormat="false" ht="15" hidden="false" customHeight="false" outlineLevel="0" collapsed="false">
      <c r="A63" s="39" t="s">
        <v>270</v>
      </c>
      <c r="B63" s="7" t="s">
        <v>419</v>
      </c>
      <c r="C63" s="7" t="s">
        <v>420</v>
      </c>
      <c r="D63" s="7" t="s">
        <v>421</v>
      </c>
      <c r="E63" s="7" t="s">
        <v>318</v>
      </c>
      <c r="F63" s="34" t="s">
        <v>271</v>
      </c>
      <c r="G63" s="40" t="n">
        <v>0.074</v>
      </c>
      <c r="H63" s="40"/>
      <c r="I63" s="34"/>
      <c r="J63" s="40"/>
      <c r="K63" s="40"/>
      <c r="L63" s="41" t="n">
        <v>0</v>
      </c>
      <c r="M63" s="34" t="s">
        <v>421</v>
      </c>
      <c r="N63" s="34"/>
      <c r="O63" s="42"/>
      <c r="P63" s="34" t="s">
        <v>113</v>
      </c>
      <c r="Q63" s="10" t="s">
        <v>422</v>
      </c>
      <c r="R63" s="43" t="str">
        <f aca="false">IF(A63="","",IF(ISNUMBER(H63),H63,IF(AND(ISNUMBER(G63),N(IFERROR(INDEX(Precios!$E$5:$E$120,MATCH(F63,Precios!$A$5:$A$120,0)),0))&gt;0),G63*IFERROR(INDEX(Precios!$E$5:$E$120,MATCH(F63,Precios!$A$5:$A$120,0)),0),"")))</f>
        <v/>
      </c>
      <c r="S63" s="43" t="n">
        <f aca="false">IF(A63="","",IF(ISNUMBER(K63),K63,IF(NOT(ISNUMBER(J63)),0,IF(N(IFERROR(INDEX(Precios!$E$5:$E$120,MATCH(I63,Precios!$A$5:$A$120,0)),0))&gt;0,J63*IFERROR(INDEX(Precios!$E$5:$E$120,MATCH(I63,Precios!$A$5:$A$120,0)),0),""))))</f>
        <v>0</v>
      </c>
      <c r="T63" s="36" t="str">
        <f aca="false">IF(A63="","",IF(AND(ISNUMBER(R63),ISNUMBER(S63),L63&lt;&gt;"",M63&lt;&gt;""),"Lista",IF(AND(NOT(ISNUMBER(H63)),NOT(ISNUMBER(G63))),"Consumo de tela. ",IF(NOT(ISNUMBER(R63)),"Rendimiento de "&amp;F63&amp;" (m/kg) en Precios. ",""))&amp;IF(AND(ISNUMBER(J63),NOT(ISNUMBER(S63))),"Rendimiento de "&amp;I63&amp;" (m/kg) en Precios. ","")&amp;IF(L63="","Metros impresos. ","")&amp;IF(M63="","Confección. ","")))</f>
        <v>Rendimiento de LYCRA (m/kg) en Precios. </v>
      </c>
    </row>
    <row r="64" customFormat="false" ht="15" hidden="false" customHeight="false" outlineLevel="0" collapsed="false">
      <c r="A64" s="34"/>
      <c r="B64" s="34"/>
      <c r="C64" s="34"/>
      <c r="D64" s="34"/>
      <c r="E64" s="34"/>
      <c r="F64" s="34"/>
      <c r="G64" s="40"/>
      <c r="H64" s="40"/>
      <c r="I64" s="34"/>
      <c r="J64" s="40"/>
      <c r="K64" s="40"/>
      <c r="L64" s="41"/>
      <c r="M64" s="34"/>
      <c r="N64" s="34"/>
      <c r="O64" s="42"/>
      <c r="P64" s="34"/>
      <c r="Q64" s="10" t="s">
        <v>423</v>
      </c>
      <c r="R64" s="43" t="str">
        <f aca="false">IF(A64="","",IF(ISNUMBER(H64),H64,IF(AND(ISNUMBER(G64),N(IFERROR(INDEX(Precios!$E$5:$E$120,MATCH(F64,Precios!$A$5:$A$120,0)),0))&gt;0),G64*IFERROR(INDEX(Precios!$E$5:$E$120,MATCH(F64,Precios!$A$5:$A$120,0)),0),"")))</f>
        <v/>
      </c>
      <c r="S64" s="43" t="str">
        <f aca="false">IF(A64="","",IF(ISNUMBER(K64),K64,IF(NOT(ISNUMBER(J64)),0,IF(N(IFERROR(INDEX(Precios!$E$5:$E$120,MATCH(I64,Precios!$A$5:$A$120,0)),0))&gt;0,J64*IFERROR(INDEX(Precios!$E$5:$E$120,MATCH(I64,Precios!$A$5:$A$120,0)),0),""))))</f>
        <v/>
      </c>
      <c r="T64" s="36" t="str">
        <f aca="false">IF(A64="","",IF(AND(ISNUMBER(R64),ISNUMBER(S64),L64&lt;&gt;"",M64&lt;&gt;""),"Lista",IF(AND(NOT(ISNUMBER(H64)),NOT(ISNUMBER(G64))),"Consumo de tela. ",IF(NOT(ISNUMBER(R64)),"Rendimiento de "&amp;F64&amp;" (m/kg) en Precios. ",""))&amp;IF(AND(ISNUMBER(J64),NOT(ISNUMBER(S64))),"Rendimiento de "&amp;I64&amp;" (m/kg) en Precios. ","")&amp;IF(L64="","Metros impresos. ","")&amp;IF(M64="","Confección. ","")))</f>
        <v/>
      </c>
    </row>
    <row r="65" customFormat="false" ht="15" hidden="false" customHeight="false" outlineLevel="0" collapsed="false">
      <c r="A65" s="34"/>
      <c r="B65" s="34"/>
      <c r="C65" s="34"/>
      <c r="D65" s="34"/>
      <c r="E65" s="34"/>
      <c r="F65" s="34"/>
      <c r="G65" s="40"/>
      <c r="H65" s="40"/>
      <c r="I65" s="34"/>
      <c r="J65" s="40"/>
      <c r="K65" s="40"/>
      <c r="L65" s="41"/>
      <c r="M65" s="34"/>
      <c r="N65" s="34"/>
      <c r="O65" s="42"/>
      <c r="P65" s="34"/>
      <c r="R65" s="43" t="str">
        <f aca="false">IF(A65="","",IF(ISNUMBER(H65),H65,IF(AND(ISNUMBER(G65),N(IFERROR(INDEX(Precios!$E$5:$E$120,MATCH(F65,Precios!$A$5:$A$120,0)),0))&gt;0),G65*IFERROR(INDEX(Precios!$E$5:$E$120,MATCH(F65,Precios!$A$5:$A$120,0)),0),"")))</f>
        <v/>
      </c>
      <c r="S65" s="43" t="str">
        <f aca="false">IF(A65="","",IF(ISNUMBER(K65),K65,IF(NOT(ISNUMBER(J65)),0,IF(N(IFERROR(INDEX(Precios!$E$5:$E$120,MATCH(I65,Precios!$A$5:$A$120,0)),0))&gt;0,J65*IFERROR(INDEX(Precios!$E$5:$E$120,MATCH(I65,Precios!$A$5:$A$120,0)),0),""))))</f>
        <v/>
      </c>
      <c r="T65" s="36" t="str">
        <f aca="false">IF(A65="","",IF(AND(ISNUMBER(R65),ISNUMBER(S65),L65&lt;&gt;"",M65&lt;&gt;""),"Lista",IF(AND(NOT(ISNUMBER(H65)),NOT(ISNUMBER(G65))),"Consumo de tela. ",IF(NOT(ISNUMBER(R65)),"Rendimiento de "&amp;F65&amp;" (m/kg) en Precios. ",""))&amp;IF(AND(ISNUMBER(J65),NOT(ISNUMBER(S65))),"Rendimiento de "&amp;I65&amp;" (m/kg) en Precios. ","")&amp;IF(L65="","Metros impresos. ","")&amp;IF(M65="","Confección. ","")))</f>
        <v/>
      </c>
    </row>
    <row r="66" customFormat="false" ht="15" hidden="false" customHeight="false" outlineLevel="0" collapsed="false">
      <c r="A66" s="34"/>
      <c r="B66" s="34"/>
      <c r="C66" s="34"/>
      <c r="D66" s="34"/>
      <c r="E66" s="34"/>
      <c r="F66" s="34"/>
      <c r="G66" s="40"/>
      <c r="H66" s="40"/>
      <c r="I66" s="34"/>
      <c r="J66" s="40"/>
      <c r="K66" s="40"/>
      <c r="L66" s="41"/>
      <c r="M66" s="34"/>
      <c r="N66" s="34"/>
      <c r="O66" s="42"/>
      <c r="P66" s="34"/>
      <c r="R66" s="43" t="str">
        <f aca="false">IF(A66="","",IF(ISNUMBER(H66),H66,IF(AND(ISNUMBER(G66),N(IFERROR(INDEX(Precios!$E$5:$E$120,MATCH(F66,Precios!$A$5:$A$120,0)),0))&gt;0),G66*IFERROR(INDEX(Precios!$E$5:$E$120,MATCH(F66,Precios!$A$5:$A$120,0)),0),"")))</f>
        <v/>
      </c>
      <c r="S66" s="43" t="str">
        <f aca="false">IF(A66="","",IF(ISNUMBER(K66),K66,IF(NOT(ISNUMBER(J66)),0,IF(N(IFERROR(INDEX(Precios!$E$5:$E$120,MATCH(I66,Precios!$A$5:$A$120,0)),0))&gt;0,J66*IFERROR(INDEX(Precios!$E$5:$E$120,MATCH(I66,Precios!$A$5:$A$120,0)),0),""))))</f>
        <v/>
      </c>
      <c r="T66" s="36" t="str">
        <f aca="false">IF(A66="","",IF(AND(ISNUMBER(R66),ISNUMBER(S66),L66&lt;&gt;"",M66&lt;&gt;""),"Lista",IF(AND(NOT(ISNUMBER(H66)),NOT(ISNUMBER(G66))),"Consumo de tela. ",IF(NOT(ISNUMBER(R66)),"Rendimiento de "&amp;F66&amp;" (m/kg) en Precios. ",""))&amp;IF(AND(ISNUMBER(J66),NOT(ISNUMBER(S66))),"Rendimiento de "&amp;I66&amp;" (m/kg) en Precios. ","")&amp;IF(L66="","Metros impresos. ","")&amp;IF(M66="","Confección. ","")))</f>
        <v/>
      </c>
    </row>
    <row r="67" customFormat="false" ht="15" hidden="false" customHeight="false" outlineLevel="0" collapsed="false">
      <c r="A67" s="34"/>
      <c r="B67" s="34"/>
      <c r="C67" s="34"/>
      <c r="D67" s="34"/>
      <c r="E67" s="34"/>
      <c r="F67" s="34"/>
      <c r="G67" s="40"/>
      <c r="H67" s="40"/>
      <c r="I67" s="34"/>
      <c r="J67" s="40"/>
      <c r="K67" s="40"/>
      <c r="L67" s="41"/>
      <c r="M67" s="34"/>
      <c r="N67" s="34"/>
      <c r="O67" s="42"/>
      <c r="P67" s="34"/>
      <c r="R67" s="43" t="str">
        <f aca="false">IF(A67="","",IF(ISNUMBER(H67),H67,IF(AND(ISNUMBER(G67),N(IFERROR(INDEX(Precios!$E$5:$E$120,MATCH(F67,Precios!$A$5:$A$120,0)),0))&gt;0),G67*IFERROR(INDEX(Precios!$E$5:$E$120,MATCH(F67,Precios!$A$5:$A$120,0)),0),"")))</f>
        <v/>
      </c>
      <c r="S67" s="43" t="str">
        <f aca="false">IF(A67="","",IF(ISNUMBER(K67),K67,IF(NOT(ISNUMBER(J67)),0,IF(N(IFERROR(INDEX(Precios!$E$5:$E$120,MATCH(I67,Precios!$A$5:$A$120,0)),0))&gt;0,J67*IFERROR(INDEX(Precios!$E$5:$E$120,MATCH(I67,Precios!$A$5:$A$120,0)),0),""))))</f>
        <v/>
      </c>
      <c r="T67" s="36" t="str">
        <f aca="false">IF(A67="","",IF(AND(ISNUMBER(R67),ISNUMBER(S67),L67&lt;&gt;"",M67&lt;&gt;""),"Lista",IF(AND(NOT(ISNUMBER(H67)),NOT(ISNUMBER(G67))),"Consumo de tela. ",IF(NOT(ISNUMBER(R67)),"Rendimiento de "&amp;F67&amp;" (m/kg) en Precios. ",""))&amp;IF(AND(ISNUMBER(J67),NOT(ISNUMBER(S67))),"Rendimiento de "&amp;I67&amp;" (m/kg) en Precios. ","")&amp;IF(L67="","Metros impresos. ","")&amp;IF(M67="","Confección. ","")))</f>
        <v/>
      </c>
    </row>
    <row r="68" customFormat="false" ht="15" hidden="false" customHeight="false" outlineLevel="0" collapsed="false">
      <c r="A68" s="34"/>
      <c r="B68" s="34"/>
      <c r="C68" s="34"/>
      <c r="D68" s="34"/>
      <c r="E68" s="34"/>
      <c r="F68" s="34"/>
      <c r="G68" s="40"/>
      <c r="H68" s="40"/>
      <c r="I68" s="34"/>
      <c r="J68" s="40"/>
      <c r="K68" s="40"/>
      <c r="L68" s="41"/>
      <c r="M68" s="34"/>
      <c r="N68" s="34"/>
      <c r="O68" s="42"/>
      <c r="P68" s="34"/>
      <c r="R68" s="43" t="str">
        <f aca="false">IF(A68="","",IF(ISNUMBER(H68),H68,IF(AND(ISNUMBER(G68),N(IFERROR(INDEX(Precios!$E$5:$E$120,MATCH(F68,Precios!$A$5:$A$120,0)),0))&gt;0),G68*IFERROR(INDEX(Precios!$E$5:$E$120,MATCH(F68,Precios!$A$5:$A$120,0)),0),"")))</f>
        <v/>
      </c>
      <c r="S68" s="43" t="str">
        <f aca="false">IF(A68="","",IF(ISNUMBER(K68),K68,IF(NOT(ISNUMBER(J68)),0,IF(N(IFERROR(INDEX(Precios!$E$5:$E$120,MATCH(I68,Precios!$A$5:$A$120,0)),0))&gt;0,J68*IFERROR(INDEX(Precios!$E$5:$E$120,MATCH(I68,Precios!$A$5:$A$120,0)),0),""))))</f>
        <v/>
      </c>
      <c r="T68" s="36" t="str">
        <f aca="false">IF(A68="","",IF(AND(ISNUMBER(R68),ISNUMBER(S68),L68&lt;&gt;"",M68&lt;&gt;""),"Lista",IF(AND(NOT(ISNUMBER(H68)),NOT(ISNUMBER(G68))),"Consumo de tela. ",IF(NOT(ISNUMBER(R68)),"Rendimiento de "&amp;F68&amp;" (m/kg) en Precios. ",""))&amp;IF(AND(ISNUMBER(J68),NOT(ISNUMBER(S68))),"Rendimiento de "&amp;I68&amp;" (m/kg) en Precios. ","")&amp;IF(L68="","Metros impresos. ","")&amp;IF(M68="","Confección. ","")))</f>
        <v/>
      </c>
    </row>
    <row r="69" customFormat="false" ht="15" hidden="false" customHeight="false" outlineLevel="0" collapsed="false">
      <c r="A69" s="34"/>
      <c r="B69" s="34"/>
      <c r="C69" s="34"/>
      <c r="D69" s="34"/>
      <c r="E69" s="34"/>
      <c r="F69" s="34"/>
      <c r="G69" s="40"/>
      <c r="H69" s="40"/>
      <c r="I69" s="34"/>
      <c r="J69" s="40"/>
      <c r="K69" s="40"/>
      <c r="L69" s="41"/>
      <c r="M69" s="34"/>
      <c r="N69" s="34"/>
      <c r="O69" s="42"/>
      <c r="P69" s="34"/>
      <c r="R69" s="43" t="str">
        <f aca="false">IF(A69="","",IF(ISNUMBER(H69),H69,IF(AND(ISNUMBER(G69),N(IFERROR(INDEX(Precios!$E$5:$E$120,MATCH(F69,Precios!$A$5:$A$120,0)),0))&gt;0),G69*IFERROR(INDEX(Precios!$E$5:$E$120,MATCH(F69,Precios!$A$5:$A$120,0)),0),"")))</f>
        <v/>
      </c>
      <c r="S69" s="43" t="str">
        <f aca="false">IF(A69="","",IF(ISNUMBER(K69),K69,IF(NOT(ISNUMBER(J69)),0,IF(N(IFERROR(INDEX(Precios!$E$5:$E$120,MATCH(I69,Precios!$A$5:$A$120,0)),0))&gt;0,J69*IFERROR(INDEX(Precios!$E$5:$E$120,MATCH(I69,Precios!$A$5:$A$120,0)),0),""))))</f>
        <v/>
      </c>
      <c r="T69" s="36" t="str">
        <f aca="false">IF(A69="","",IF(AND(ISNUMBER(R69),ISNUMBER(S69),L69&lt;&gt;"",M69&lt;&gt;""),"Lista",IF(AND(NOT(ISNUMBER(H69)),NOT(ISNUMBER(G69))),"Consumo de tela. ",IF(NOT(ISNUMBER(R69)),"Rendimiento de "&amp;F69&amp;" (m/kg) en Precios. ",""))&amp;IF(AND(ISNUMBER(J69),NOT(ISNUMBER(S69))),"Rendimiento de "&amp;I69&amp;" (m/kg) en Precios. ","")&amp;IF(L69="","Metros impresos. ","")&amp;IF(M69="","Confección. ","")))</f>
        <v/>
      </c>
    </row>
    <row r="70" customFormat="false" ht="15" hidden="false" customHeight="false" outlineLevel="0" collapsed="false">
      <c r="A70" s="34"/>
      <c r="B70" s="34"/>
      <c r="C70" s="34"/>
      <c r="D70" s="34"/>
      <c r="E70" s="34"/>
      <c r="F70" s="34"/>
      <c r="G70" s="40"/>
      <c r="H70" s="40"/>
      <c r="I70" s="34"/>
      <c r="J70" s="40"/>
      <c r="K70" s="40"/>
      <c r="L70" s="41"/>
      <c r="M70" s="34"/>
      <c r="N70" s="34"/>
      <c r="O70" s="42"/>
      <c r="P70" s="34"/>
      <c r="R70" s="43" t="str">
        <f aca="false">IF(A70="","",IF(ISNUMBER(H70),H70,IF(AND(ISNUMBER(G70),N(IFERROR(INDEX(Precios!$E$5:$E$120,MATCH(F70,Precios!$A$5:$A$120,0)),0))&gt;0),G70*IFERROR(INDEX(Precios!$E$5:$E$120,MATCH(F70,Precios!$A$5:$A$120,0)),0),"")))</f>
        <v/>
      </c>
      <c r="S70" s="43" t="str">
        <f aca="false">IF(A70="","",IF(ISNUMBER(K70),K70,IF(NOT(ISNUMBER(J70)),0,IF(N(IFERROR(INDEX(Precios!$E$5:$E$120,MATCH(I70,Precios!$A$5:$A$120,0)),0))&gt;0,J70*IFERROR(INDEX(Precios!$E$5:$E$120,MATCH(I70,Precios!$A$5:$A$120,0)),0),""))))</f>
        <v/>
      </c>
      <c r="T70" s="36" t="str">
        <f aca="false">IF(A70="","",IF(AND(ISNUMBER(R70),ISNUMBER(S70),L70&lt;&gt;"",M70&lt;&gt;""),"Lista",IF(AND(NOT(ISNUMBER(H70)),NOT(ISNUMBER(G70))),"Consumo de tela. ",IF(NOT(ISNUMBER(R70)),"Rendimiento de "&amp;F70&amp;" (m/kg) en Precios. ",""))&amp;IF(AND(ISNUMBER(J70),NOT(ISNUMBER(S70))),"Rendimiento de "&amp;I70&amp;" (m/kg) en Precios. ","")&amp;IF(L70="","Metros impresos. ","")&amp;IF(M70="","Confección. ","")))</f>
        <v/>
      </c>
    </row>
    <row r="71" customFormat="false" ht="15" hidden="false" customHeight="false" outlineLevel="0" collapsed="false">
      <c r="A71" s="34"/>
      <c r="B71" s="34"/>
      <c r="C71" s="34"/>
      <c r="D71" s="34"/>
      <c r="E71" s="34"/>
      <c r="F71" s="34"/>
      <c r="G71" s="40"/>
      <c r="H71" s="40"/>
      <c r="I71" s="34"/>
      <c r="J71" s="40"/>
      <c r="K71" s="40"/>
      <c r="L71" s="41"/>
      <c r="M71" s="34"/>
      <c r="N71" s="34"/>
      <c r="O71" s="42"/>
      <c r="P71" s="34"/>
      <c r="R71" s="43" t="str">
        <f aca="false">IF(A71="","",IF(ISNUMBER(H71),H71,IF(AND(ISNUMBER(G71),N(IFERROR(INDEX(Precios!$E$5:$E$120,MATCH(F71,Precios!$A$5:$A$120,0)),0))&gt;0),G71*IFERROR(INDEX(Precios!$E$5:$E$120,MATCH(F71,Precios!$A$5:$A$120,0)),0),"")))</f>
        <v/>
      </c>
      <c r="S71" s="43" t="str">
        <f aca="false">IF(A71="","",IF(ISNUMBER(K71),K71,IF(NOT(ISNUMBER(J71)),0,IF(N(IFERROR(INDEX(Precios!$E$5:$E$120,MATCH(I71,Precios!$A$5:$A$120,0)),0))&gt;0,J71*IFERROR(INDEX(Precios!$E$5:$E$120,MATCH(I71,Precios!$A$5:$A$120,0)),0),""))))</f>
        <v/>
      </c>
      <c r="T71" s="36" t="str">
        <f aca="false">IF(A71="","",IF(AND(ISNUMBER(R71),ISNUMBER(S71),L71&lt;&gt;"",M71&lt;&gt;""),"Lista",IF(AND(NOT(ISNUMBER(H71)),NOT(ISNUMBER(G71))),"Consumo de tela. ",IF(NOT(ISNUMBER(R71)),"Rendimiento de "&amp;F71&amp;" (m/kg) en Precios. ",""))&amp;IF(AND(ISNUMBER(J71),NOT(ISNUMBER(S71))),"Rendimiento de "&amp;I71&amp;" (m/kg) en Precios. ","")&amp;IF(L71="","Metros impresos. ","")&amp;IF(M71="","Confección. ","")))</f>
        <v/>
      </c>
    </row>
    <row r="72" customFormat="false" ht="15" hidden="false" customHeight="false" outlineLevel="0" collapsed="false">
      <c r="A72" s="34"/>
      <c r="B72" s="34"/>
      <c r="C72" s="34"/>
      <c r="D72" s="34"/>
      <c r="E72" s="34"/>
      <c r="F72" s="34"/>
      <c r="G72" s="40"/>
      <c r="H72" s="40"/>
      <c r="I72" s="34"/>
      <c r="J72" s="40"/>
      <c r="K72" s="40"/>
      <c r="L72" s="41"/>
      <c r="M72" s="34"/>
      <c r="N72" s="34"/>
      <c r="O72" s="42"/>
      <c r="P72" s="34"/>
      <c r="R72" s="43" t="str">
        <f aca="false">IF(A72="","",IF(ISNUMBER(H72),H72,IF(AND(ISNUMBER(G72),N(IFERROR(INDEX(Precios!$E$5:$E$120,MATCH(F72,Precios!$A$5:$A$120,0)),0))&gt;0),G72*IFERROR(INDEX(Precios!$E$5:$E$120,MATCH(F72,Precios!$A$5:$A$120,0)),0),"")))</f>
        <v/>
      </c>
      <c r="S72" s="43" t="str">
        <f aca="false">IF(A72="","",IF(ISNUMBER(K72),K72,IF(NOT(ISNUMBER(J72)),0,IF(N(IFERROR(INDEX(Precios!$E$5:$E$120,MATCH(I72,Precios!$A$5:$A$120,0)),0))&gt;0,J72*IFERROR(INDEX(Precios!$E$5:$E$120,MATCH(I72,Precios!$A$5:$A$120,0)),0),""))))</f>
        <v/>
      </c>
      <c r="T72" s="36" t="str">
        <f aca="false">IF(A72="","",IF(AND(ISNUMBER(R72),ISNUMBER(S72),L72&lt;&gt;"",M72&lt;&gt;""),"Lista",IF(AND(NOT(ISNUMBER(H72)),NOT(ISNUMBER(G72))),"Consumo de tela. ",IF(NOT(ISNUMBER(R72)),"Rendimiento de "&amp;F72&amp;" (m/kg) en Precios. ",""))&amp;IF(AND(ISNUMBER(J72),NOT(ISNUMBER(S72))),"Rendimiento de "&amp;I72&amp;" (m/kg) en Precios. ","")&amp;IF(L72="","Metros impresos. ","")&amp;IF(M72="","Confección. ","")))</f>
        <v/>
      </c>
    </row>
    <row r="73" customFormat="false" ht="15" hidden="false" customHeight="false" outlineLevel="0" collapsed="false">
      <c r="A73" s="34"/>
      <c r="B73" s="34"/>
      <c r="C73" s="34"/>
      <c r="D73" s="34"/>
      <c r="E73" s="34"/>
      <c r="F73" s="34"/>
      <c r="G73" s="40"/>
      <c r="H73" s="40"/>
      <c r="I73" s="34"/>
      <c r="J73" s="40"/>
      <c r="K73" s="40"/>
      <c r="L73" s="41"/>
      <c r="M73" s="34"/>
      <c r="N73" s="34"/>
      <c r="O73" s="42"/>
      <c r="P73" s="34"/>
      <c r="R73" s="43" t="str">
        <f aca="false">IF(A73="","",IF(ISNUMBER(H73),H73,IF(AND(ISNUMBER(G73),N(IFERROR(INDEX(Precios!$E$5:$E$120,MATCH(F73,Precios!$A$5:$A$120,0)),0))&gt;0),G73*IFERROR(INDEX(Precios!$E$5:$E$120,MATCH(F73,Precios!$A$5:$A$120,0)),0),"")))</f>
        <v/>
      </c>
      <c r="S73" s="43" t="str">
        <f aca="false">IF(A73="","",IF(ISNUMBER(K73),K73,IF(NOT(ISNUMBER(J73)),0,IF(N(IFERROR(INDEX(Precios!$E$5:$E$120,MATCH(I73,Precios!$A$5:$A$120,0)),0))&gt;0,J73*IFERROR(INDEX(Precios!$E$5:$E$120,MATCH(I73,Precios!$A$5:$A$120,0)),0),""))))</f>
        <v/>
      </c>
      <c r="T73" s="36" t="str">
        <f aca="false">IF(A73="","",IF(AND(ISNUMBER(R73),ISNUMBER(S73),L73&lt;&gt;"",M73&lt;&gt;""),"Lista",IF(AND(NOT(ISNUMBER(H73)),NOT(ISNUMBER(G73))),"Consumo de tela. ",IF(NOT(ISNUMBER(R73)),"Rendimiento de "&amp;F73&amp;" (m/kg) en Precios. ",""))&amp;IF(AND(ISNUMBER(J73),NOT(ISNUMBER(S73))),"Rendimiento de "&amp;I73&amp;" (m/kg) en Precios. ","")&amp;IF(L73="","Metros impresos. ","")&amp;IF(M73="","Confección. ","")))</f>
        <v/>
      </c>
    </row>
    <row r="74" customFormat="false" ht="15" hidden="false" customHeight="false" outlineLevel="0" collapsed="false">
      <c r="A74" s="34"/>
      <c r="B74" s="34"/>
      <c r="C74" s="34"/>
      <c r="D74" s="34"/>
      <c r="E74" s="34"/>
      <c r="F74" s="34"/>
      <c r="G74" s="40"/>
      <c r="H74" s="40"/>
      <c r="I74" s="34"/>
      <c r="J74" s="40"/>
      <c r="K74" s="40"/>
      <c r="L74" s="41"/>
      <c r="M74" s="34"/>
      <c r="N74" s="34"/>
      <c r="O74" s="42"/>
      <c r="P74" s="34"/>
      <c r="R74" s="43" t="str">
        <f aca="false">IF(A74="","",IF(ISNUMBER(H74),H74,IF(AND(ISNUMBER(G74),N(IFERROR(INDEX(Precios!$E$5:$E$120,MATCH(F74,Precios!$A$5:$A$120,0)),0))&gt;0),G74*IFERROR(INDEX(Precios!$E$5:$E$120,MATCH(F74,Precios!$A$5:$A$120,0)),0),"")))</f>
        <v/>
      </c>
      <c r="S74" s="43" t="str">
        <f aca="false">IF(A74="","",IF(ISNUMBER(K74),K74,IF(NOT(ISNUMBER(J74)),0,IF(N(IFERROR(INDEX(Precios!$E$5:$E$120,MATCH(I74,Precios!$A$5:$A$120,0)),0))&gt;0,J74*IFERROR(INDEX(Precios!$E$5:$E$120,MATCH(I74,Precios!$A$5:$A$120,0)),0),""))))</f>
        <v/>
      </c>
      <c r="T74" s="36" t="str">
        <f aca="false">IF(A74="","",IF(AND(ISNUMBER(R74),ISNUMBER(S74),L74&lt;&gt;"",M74&lt;&gt;""),"Lista",IF(AND(NOT(ISNUMBER(H74)),NOT(ISNUMBER(G74))),"Consumo de tela. ",IF(NOT(ISNUMBER(R74)),"Rendimiento de "&amp;F74&amp;" (m/kg) en Precios. ",""))&amp;IF(AND(ISNUMBER(J74),NOT(ISNUMBER(S74))),"Rendimiento de "&amp;I74&amp;" (m/kg) en Precios. ","")&amp;IF(L74="","Metros impresos. ","")&amp;IF(M74="","Confección. ","")))</f>
        <v/>
      </c>
    </row>
    <row r="75" customFormat="false" ht="15" hidden="false" customHeight="false" outlineLevel="0" collapsed="false">
      <c r="A75" s="34"/>
      <c r="B75" s="34"/>
      <c r="C75" s="34"/>
      <c r="D75" s="34"/>
      <c r="E75" s="34"/>
      <c r="F75" s="34"/>
      <c r="G75" s="40"/>
      <c r="H75" s="40"/>
      <c r="I75" s="34"/>
      <c r="J75" s="40"/>
      <c r="K75" s="40"/>
      <c r="L75" s="41"/>
      <c r="M75" s="34"/>
      <c r="N75" s="34"/>
      <c r="O75" s="42"/>
      <c r="P75" s="34"/>
      <c r="R75" s="43" t="str">
        <f aca="false">IF(A75="","",IF(ISNUMBER(H75),H75,IF(AND(ISNUMBER(G75),N(IFERROR(INDEX(Precios!$E$5:$E$120,MATCH(F75,Precios!$A$5:$A$120,0)),0))&gt;0),G75*IFERROR(INDEX(Precios!$E$5:$E$120,MATCH(F75,Precios!$A$5:$A$120,0)),0),"")))</f>
        <v/>
      </c>
      <c r="S75" s="43" t="str">
        <f aca="false">IF(A75="","",IF(ISNUMBER(K75),K75,IF(NOT(ISNUMBER(J75)),0,IF(N(IFERROR(INDEX(Precios!$E$5:$E$120,MATCH(I75,Precios!$A$5:$A$120,0)),0))&gt;0,J75*IFERROR(INDEX(Precios!$E$5:$E$120,MATCH(I75,Precios!$A$5:$A$120,0)),0),""))))</f>
        <v/>
      </c>
      <c r="T75" s="36" t="str">
        <f aca="false">IF(A75="","",IF(AND(ISNUMBER(R75),ISNUMBER(S75),L75&lt;&gt;"",M75&lt;&gt;""),"Lista",IF(AND(NOT(ISNUMBER(H75)),NOT(ISNUMBER(G75))),"Consumo de tela. ",IF(NOT(ISNUMBER(R75)),"Rendimiento de "&amp;F75&amp;" (m/kg) en Precios. ",""))&amp;IF(AND(ISNUMBER(J75),NOT(ISNUMBER(S75))),"Rendimiento de "&amp;I75&amp;" (m/kg) en Precios. ","")&amp;IF(L75="","Metros impresos. ","")&amp;IF(M75="","Confección. ","")))</f>
        <v/>
      </c>
    </row>
    <row r="76" customFormat="false" ht="15" hidden="false" customHeight="false" outlineLevel="0" collapsed="false">
      <c r="A76" s="34"/>
      <c r="B76" s="34"/>
      <c r="C76" s="34"/>
      <c r="D76" s="34"/>
      <c r="E76" s="34"/>
      <c r="F76" s="34"/>
      <c r="G76" s="40"/>
      <c r="H76" s="40"/>
      <c r="I76" s="34"/>
      <c r="J76" s="40"/>
      <c r="K76" s="40"/>
      <c r="L76" s="41"/>
      <c r="M76" s="34"/>
      <c r="N76" s="34"/>
      <c r="O76" s="42"/>
      <c r="P76" s="34"/>
      <c r="R76" s="43" t="str">
        <f aca="false">IF(A76="","",IF(ISNUMBER(H76),H76,IF(AND(ISNUMBER(G76),N(IFERROR(INDEX(Precios!$E$5:$E$120,MATCH(F76,Precios!$A$5:$A$120,0)),0))&gt;0),G76*IFERROR(INDEX(Precios!$E$5:$E$120,MATCH(F76,Precios!$A$5:$A$120,0)),0),"")))</f>
        <v/>
      </c>
      <c r="S76" s="43" t="str">
        <f aca="false">IF(A76="","",IF(ISNUMBER(K76),K76,IF(NOT(ISNUMBER(J76)),0,IF(N(IFERROR(INDEX(Precios!$E$5:$E$120,MATCH(I76,Precios!$A$5:$A$120,0)),0))&gt;0,J76*IFERROR(INDEX(Precios!$E$5:$E$120,MATCH(I76,Precios!$A$5:$A$120,0)),0),""))))</f>
        <v/>
      </c>
      <c r="T76" s="36" t="str">
        <f aca="false">IF(A76="","",IF(AND(ISNUMBER(R76),ISNUMBER(S76),L76&lt;&gt;"",M76&lt;&gt;""),"Lista",IF(AND(NOT(ISNUMBER(H76)),NOT(ISNUMBER(G76))),"Consumo de tela. ",IF(NOT(ISNUMBER(R76)),"Rendimiento de "&amp;F76&amp;" (m/kg) en Precios. ",""))&amp;IF(AND(ISNUMBER(J76),NOT(ISNUMBER(S76))),"Rendimiento de "&amp;I76&amp;" (m/kg) en Precios. ","")&amp;IF(L76="","Metros impresos. ","")&amp;IF(M76="","Confección. ","")))</f>
        <v/>
      </c>
    </row>
    <row r="77" customFormat="false" ht="15" hidden="false" customHeight="false" outlineLevel="0" collapsed="false">
      <c r="A77" s="34"/>
      <c r="B77" s="34"/>
      <c r="C77" s="34"/>
      <c r="D77" s="34"/>
      <c r="E77" s="34"/>
      <c r="F77" s="34"/>
      <c r="G77" s="40"/>
      <c r="H77" s="40"/>
      <c r="I77" s="34"/>
      <c r="J77" s="40"/>
      <c r="K77" s="40"/>
      <c r="L77" s="41"/>
      <c r="M77" s="34"/>
      <c r="N77" s="34"/>
      <c r="O77" s="42"/>
      <c r="P77" s="34"/>
      <c r="R77" s="43" t="str">
        <f aca="false">IF(A77="","",IF(ISNUMBER(H77),H77,IF(AND(ISNUMBER(G77),N(IFERROR(INDEX(Precios!$E$5:$E$120,MATCH(F77,Precios!$A$5:$A$120,0)),0))&gt;0),G77*IFERROR(INDEX(Precios!$E$5:$E$120,MATCH(F77,Precios!$A$5:$A$120,0)),0),"")))</f>
        <v/>
      </c>
      <c r="S77" s="43" t="str">
        <f aca="false">IF(A77="","",IF(ISNUMBER(K77),K77,IF(NOT(ISNUMBER(J77)),0,IF(N(IFERROR(INDEX(Precios!$E$5:$E$120,MATCH(I77,Precios!$A$5:$A$120,0)),0))&gt;0,J77*IFERROR(INDEX(Precios!$E$5:$E$120,MATCH(I77,Precios!$A$5:$A$120,0)),0),""))))</f>
        <v/>
      </c>
      <c r="T77" s="36" t="str">
        <f aca="false">IF(A77="","",IF(AND(ISNUMBER(R77),ISNUMBER(S77),L77&lt;&gt;"",M77&lt;&gt;""),"Lista",IF(AND(NOT(ISNUMBER(H77)),NOT(ISNUMBER(G77))),"Consumo de tela. ",IF(NOT(ISNUMBER(R77)),"Rendimiento de "&amp;F77&amp;" (m/kg) en Precios. ",""))&amp;IF(AND(ISNUMBER(J77),NOT(ISNUMBER(S77))),"Rendimiento de "&amp;I77&amp;" (m/kg) en Precios. ","")&amp;IF(L77="","Metros impresos. ","")&amp;IF(M77="","Confección. ","")))</f>
        <v/>
      </c>
    </row>
    <row r="78" customFormat="false" ht="15" hidden="false" customHeight="false" outlineLevel="0" collapsed="false">
      <c r="A78" s="34"/>
      <c r="B78" s="34"/>
      <c r="C78" s="34"/>
      <c r="D78" s="34"/>
      <c r="E78" s="34"/>
      <c r="F78" s="34"/>
      <c r="G78" s="40"/>
      <c r="H78" s="40"/>
      <c r="I78" s="34"/>
      <c r="J78" s="40"/>
      <c r="K78" s="40"/>
      <c r="L78" s="41"/>
      <c r="M78" s="34"/>
      <c r="N78" s="34"/>
      <c r="O78" s="42"/>
      <c r="P78" s="34"/>
      <c r="R78" s="43" t="str">
        <f aca="false">IF(A78="","",IF(ISNUMBER(H78),H78,IF(AND(ISNUMBER(G78),N(IFERROR(INDEX(Precios!$E$5:$E$120,MATCH(F78,Precios!$A$5:$A$120,0)),0))&gt;0),G78*IFERROR(INDEX(Precios!$E$5:$E$120,MATCH(F78,Precios!$A$5:$A$120,0)),0),"")))</f>
        <v/>
      </c>
      <c r="S78" s="43" t="str">
        <f aca="false">IF(A78="","",IF(ISNUMBER(K78),K78,IF(NOT(ISNUMBER(J78)),0,IF(N(IFERROR(INDEX(Precios!$E$5:$E$120,MATCH(I78,Precios!$A$5:$A$120,0)),0))&gt;0,J78*IFERROR(INDEX(Precios!$E$5:$E$120,MATCH(I78,Precios!$A$5:$A$120,0)),0),""))))</f>
        <v/>
      </c>
      <c r="T78" s="36" t="str">
        <f aca="false">IF(A78="","",IF(AND(ISNUMBER(R78),ISNUMBER(S78),L78&lt;&gt;"",M78&lt;&gt;""),"Lista",IF(AND(NOT(ISNUMBER(H78)),NOT(ISNUMBER(G78))),"Consumo de tela. ",IF(NOT(ISNUMBER(R78)),"Rendimiento de "&amp;F78&amp;" (m/kg) en Precios. ",""))&amp;IF(AND(ISNUMBER(J78),NOT(ISNUMBER(S78))),"Rendimiento de "&amp;I78&amp;" (m/kg) en Precios. ","")&amp;IF(L78="","Metros impresos. ","")&amp;IF(M78="","Confección. ","")))</f>
        <v/>
      </c>
    </row>
    <row r="79" customFormat="false" ht="15" hidden="false" customHeight="false" outlineLevel="0" collapsed="false">
      <c r="A79" s="34"/>
      <c r="B79" s="34"/>
      <c r="C79" s="34"/>
      <c r="D79" s="34"/>
      <c r="E79" s="34"/>
      <c r="F79" s="34"/>
      <c r="G79" s="40"/>
      <c r="H79" s="40"/>
      <c r="I79" s="34"/>
      <c r="J79" s="40"/>
      <c r="K79" s="40"/>
      <c r="L79" s="41"/>
      <c r="M79" s="34"/>
      <c r="N79" s="34"/>
      <c r="O79" s="42"/>
      <c r="P79" s="34"/>
      <c r="R79" s="43" t="str">
        <f aca="false">IF(A79="","",IF(ISNUMBER(H79),H79,IF(AND(ISNUMBER(G79),N(IFERROR(INDEX(Precios!$E$5:$E$120,MATCH(F79,Precios!$A$5:$A$120,0)),0))&gt;0),G79*IFERROR(INDEX(Precios!$E$5:$E$120,MATCH(F79,Precios!$A$5:$A$120,0)),0),"")))</f>
        <v/>
      </c>
      <c r="S79" s="43" t="str">
        <f aca="false">IF(A79="","",IF(ISNUMBER(K79),K79,IF(NOT(ISNUMBER(J79)),0,IF(N(IFERROR(INDEX(Precios!$E$5:$E$120,MATCH(I79,Precios!$A$5:$A$120,0)),0))&gt;0,J79*IFERROR(INDEX(Precios!$E$5:$E$120,MATCH(I79,Precios!$A$5:$A$120,0)),0),""))))</f>
        <v/>
      </c>
      <c r="T79" s="36" t="str">
        <f aca="false">IF(A79="","",IF(AND(ISNUMBER(R79),ISNUMBER(S79),L79&lt;&gt;"",M79&lt;&gt;""),"Lista",IF(AND(NOT(ISNUMBER(H79)),NOT(ISNUMBER(G79))),"Consumo de tela. ",IF(NOT(ISNUMBER(R79)),"Rendimiento de "&amp;F79&amp;" (m/kg) en Precios. ",""))&amp;IF(AND(ISNUMBER(J79),NOT(ISNUMBER(S79))),"Rendimiento de "&amp;I79&amp;" (m/kg) en Precios. ","")&amp;IF(L79="","Metros impresos. ","")&amp;IF(M79="","Confección. ","")))</f>
        <v/>
      </c>
    </row>
    <row r="80" customFormat="false" ht="15" hidden="false" customHeight="false" outlineLevel="0" collapsed="false">
      <c r="A80" s="34"/>
      <c r="B80" s="34"/>
      <c r="C80" s="34"/>
      <c r="D80" s="34"/>
      <c r="E80" s="34"/>
      <c r="F80" s="34"/>
      <c r="G80" s="40"/>
      <c r="H80" s="40"/>
      <c r="I80" s="34"/>
      <c r="J80" s="40"/>
      <c r="K80" s="40"/>
      <c r="L80" s="41"/>
      <c r="M80" s="34"/>
      <c r="N80" s="34"/>
      <c r="O80" s="42"/>
      <c r="P80" s="34"/>
      <c r="R80" s="43" t="str">
        <f aca="false">IF(A80="","",IF(ISNUMBER(H80),H80,IF(AND(ISNUMBER(G80),N(IFERROR(INDEX(Precios!$E$5:$E$120,MATCH(F80,Precios!$A$5:$A$120,0)),0))&gt;0),G80*IFERROR(INDEX(Precios!$E$5:$E$120,MATCH(F80,Precios!$A$5:$A$120,0)),0),"")))</f>
        <v/>
      </c>
      <c r="S80" s="43" t="str">
        <f aca="false">IF(A80="","",IF(ISNUMBER(K80),K80,IF(NOT(ISNUMBER(J80)),0,IF(N(IFERROR(INDEX(Precios!$E$5:$E$120,MATCH(I80,Precios!$A$5:$A$120,0)),0))&gt;0,J80*IFERROR(INDEX(Precios!$E$5:$E$120,MATCH(I80,Precios!$A$5:$A$120,0)),0),""))))</f>
        <v/>
      </c>
      <c r="T80" s="36" t="str">
        <f aca="false">IF(A80="","",IF(AND(ISNUMBER(R80),ISNUMBER(S80),L80&lt;&gt;"",M80&lt;&gt;""),"Lista",IF(AND(NOT(ISNUMBER(H80)),NOT(ISNUMBER(G80))),"Consumo de tela. ",IF(NOT(ISNUMBER(R80)),"Rendimiento de "&amp;F80&amp;" (m/kg) en Precios. ",""))&amp;IF(AND(ISNUMBER(J80),NOT(ISNUMBER(S80))),"Rendimiento de "&amp;I80&amp;" (m/kg) en Precios. ","")&amp;IF(L80="","Metros impresos. ","")&amp;IF(M80="","Confección. ","")))</f>
        <v/>
      </c>
    </row>
    <row r="81" customFormat="false" ht="15" hidden="false" customHeight="false" outlineLevel="0" collapsed="false">
      <c r="A81" s="34"/>
      <c r="B81" s="34"/>
      <c r="C81" s="34"/>
      <c r="D81" s="34"/>
      <c r="E81" s="34"/>
      <c r="F81" s="34"/>
      <c r="G81" s="40"/>
      <c r="H81" s="40"/>
      <c r="I81" s="34"/>
      <c r="J81" s="40"/>
      <c r="K81" s="40"/>
      <c r="L81" s="41"/>
      <c r="M81" s="34"/>
      <c r="N81" s="34"/>
      <c r="O81" s="42"/>
      <c r="P81" s="34"/>
      <c r="R81" s="43" t="str">
        <f aca="false">IF(A81="","",IF(ISNUMBER(H81),H81,IF(AND(ISNUMBER(G81),N(IFERROR(INDEX(Precios!$E$5:$E$120,MATCH(F81,Precios!$A$5:$A$120,0)),0))&gt;0),G81*IFERROR(INDEX(Precios!$E$5:$E$120,MATCH(F81,Precios!$A$5:$A$120,0)),0),"")))</f>
        <v/>
      </c>
      <c r="S81" s="43" t="str">
        <f aca="false">IF(A81="","",IF(ISNUMBER(K81),K81,IF(NOT(ISNUMBER(J81)),0,IF(N(IFERROR(INDEX(Precios!$E$5:$E$120,MATCH(I81,Precios!$A$5:$A$120,0)),0))&gt;0,J81*IFERROR(INDEX(Precios!$E$5:$E$120,MATCH(I81,Precios!$A$5:$A$120,0)),0),""))))</f>
        <v/>
      </c>
      <c r="T81" s="36" t="str">
        <f aca="false">IF(A81="","",IF(AND(ISNUMBER(R81),ISNUMBER(S81),L81&lt;&gt;"",M81&lt;&gt;""),"Lista",IF(AND(NOT(ISNUMBER(H81)),NOT(ISNUMBER(G81))),"Consumo de tela. ",IF(NOT(ISNUMBER(R81)),"Rendimiento de "&amp;F81&amp;" (m/kg) en Precios. ",""))&amp;IF(AND(ISNUMBER(J81),NOT(ISNUMBER(S81))),"Rendimiento de "&amp;I81&amp;" (m/kg) en Precios. ","")&amp;IF(L81="","Metros impresos. ","")&amp;IF(M81="","Confección. ","")))</f>
        <v/>
      </c>
    </row>
    <row r="82" customFormat="false" ht="15" hidden="false" customHeight="false" outlineLevel="0" collapsed="false">
      <c r="A82" s="34"/>
      <c r="B82" s="34"/>
      <c r="C82" s="34"/>
      <c r="D82" s="34"/>
      <c r="E82" s="34"/>
      <c r="F82" s="34"/>
      <c r="G82" s="40"/>
      <c r="H82" s="40"/>
      <c r="I82" s="34"/>
      <c r="J82" s="40"/>
      <c r="K82" s="40"/>
      <c r="L82" s="41"/>
      <c r="M82" s="34"/>
      <c r="N82" s="34"/>
      <c r="O82" s="42"/>
      <c r="P82" s="34"/>
      <c r="R82" s="43" t="str">
        <f aca="false">IF(A82="","",IF(ISNUMBER(H82),H82,IF(AND(ISNUMBER(G82),N(IFERROR(INDEX(Precios!$E$5:$E$120,MATCH(F82,Precios!$A$5:$A$120,0)),0))&gt;0),G82*IFERROR(INDEX(Precios!$E$5:$E$120,MATCH(F82,Precios!$A$5:$A$120,0)),0),"")))</f>
        <v/>
      </c>
      <c r="S82" s="43" t="str">
        <f aca="false">IF(A82="","",IF(ISNUMBER(K82),K82,IF(NOT(ISNUMBER(J82)),0,IF(N(IFERROR(INDEX(Precios!$E$5:$E$120,MATCH(I82,Precios!$A$5:$A$120,0)),0))&gt;0,J82*IFERROR(INDEX(Precios!$E$5:$E$120,MATCH(I82,Precios!$A$5:$A$120,0)),0),""))))</f>
        <v/>
      </c>
      <c r="T82" s="36" t="str">
        <f aca="false">IF(A82="","",IF(AND(ISNUMBER(R82),ISNUMBER(S82),L82&lt;&gt;"",M82&lt;&gt;""),"Lista",IF(AND(NOT(ISNUMBER(H82)),NOT(ISNUMBER(G82))),"Consumo de tela. ",IF(NOT(ISNUMBER(R82)),"Rendimiento de "&amp;F82&amp;" (m/kg) en Precios. ",""))&amp;IF(AND(ISNUMBER(J82),NOT(ISNUMBER(S82))),"Rendimiento de "&amp;I82&amp;" (m/kg) en Precios. ","")&amp;IF(L82="","Metros impresos. ","")&amp;IF(M82="","Confección. ","")))</f>
        <v/>
      </c>
    </row>
    <row r="83" customFormat="false" ht="15" hidden="false" customHeight="false" outlineLevel="0" collapsed="false">
      <c r="A83" s="34"/>
      <c r="B83" s="34"/>
      <c r="C83" s="34"/>
      <c r="D83" s="34"/>
      <c r="E83" s="34"/>
      <c r="F83" s="34"/>
      <c r="G83" s="40"/>
      <c r="H83" s="40"/>
      <c r="I83" s="34"/>
      <c r="J83" s="40"/>
      <c r="K83" s="40"/>
      <c r="L83" s="41"/>
      <c r="M83" s="34"/>
      <c r="N83" s="34"/>
      <c r="O83" s="42"/>
      <c r="P83" s="34"/>
      <c r="R83" s="43" t="str">
        <f aca="false">IF(A83="","",IF(ISNUMBER(H83),H83,IF(AND(ISNUMBER(G83),N(IFERROR(INDEX(Precios!$E$5:$E$120,MATCH(F83,Precios!$A$5:$A$120,0)),0))&gt;0),G83*IFERROR(INDEX(Precios!$E$5:$E$120,MATCH(F83,Precios!$A$5:$A$120,0)),0),"")))</f>
        <v/>
      </c>
      <c r="S83" s="43" t="str">
        <f aca="false">IF(A83="","",IF(ISNUMBER(K83),K83,IF(NOT(ISNUMBER(J83)),0,IF(N(IFERROR(INDEX(Precios!$E$5:$E$120,MATCH(I83,Precios!$A$5:$A$120,0)),0))&gt;0,J83*IFERROR(INDEX(Precios!$E$5:$E$120,MATCH(I83,Precios!$A$5:$A$120,0)),0),""))))</f>
        <v/>
      </c>
      <c r="T83" s="36" t="str">
        <f aca="false">IF(A83="","",IF(AND(ISNUMBER(R83),ISNUMBER(S83),L83&lt;&gt;"",M83&lt;&gt;""),"Lista",IF(AND(NOT(ISNUMBER(H83)),NOT(ISNUMBER(G83))),"Consumo de tela. ",IF(NOT(ISNUMBER(R83)),"Rendimiento de "&amp;F83&amp;" (m/kg) en Precios. ",""))&amp;IF(AND(ISNUMBER(J83),NOT(ISNUMBER(S83))),"Rendimiento de "&amp;I83&amp;" (m/kg) en Precios. ","")&amp;IF(L83="","Metros impresos. ","")&amp;IF(M83="","Confección. ","")))</f>
        <v/>
      </c>
    </row>
    <row r="84" customFormat="false" ht="15" hidden="false" customHeight="false" outlineLevel="0" collapsed="false">
      <c r="A84" s="34"/>
      <c r="B84" s="34"/>
      <c r="C84" s="34"/>
      <c r="D84" s="34"/>
      <c r="E84" s="34"/>
      <c r="F84" s="34"/>
      <c r="G84" s="40"/>
      <c r="H84" s="40"/>
      <c r="I84" s="34"/>
      <c r="J84" s="40"/>
      <c r="K84" s="40"/>
      <c r="L84" s="41"/>
      <c r="M84" s="34"/>
      <c r="N84" s="34"/>
      <c r="O84" s="42"/>
      <c r="P84" s="34"/>
      <c r="R84" s="43" t="str">
        <f aca="false">IF(A84="","",IF(ISNUMBER(H84),H84,IF(AND(ISNUMBER(G84),N(IFERROR(INDEX(Precios!$E$5:$E$120,MATCH(F84,Precios!$A$5:$A$120,0)),0))&gt;0),G84*IFERROR(INDEX(Precios!$E$5:$E$120,MATCH(F84,Precios!$A$5:$A$120,0)),0),"")))</f>
        <v/>
      </c>
      <c r="S84" s="43" t="str">
        <f aca="false">IF(A84="","",IF(ISNUMBER(K84),K84,IF(NOT(ISNUMBER(J84)),0,IF(N(IFERROR(INDEX(Precios!$E$5:$E$120,MATCH(I84,Precios!$A$5:$A$120,0)),0))&gt;0,J84*IFERROR(INDEX(Precios!$E$5:$E$120,MATCH(I84,Precios!$A$5:$A$120,0)),0),""))))</f>
        <v/>
      </c>
      <c r="T84" s="36" t="str">
        <f aca="false">IF(A84="","",IF(AND(ISNUMBER(R84),ISNUMBER(S84),L84&lt;&gt;"",M84&lt;&gt;""),"Lista",IF(AND(NOT(ISNUMBER(H84)),NOT(ISNUMBER(G84))),"Consumo de tela. ",IF(NOT(ISNUMBER(R84)),"Rendimiento de "&amp;F84&amp;" (m/kg) en Precios. ",""))&amp;IF(AND(ISNUMBER(J84),NOT(ISNUMBER(S84))),"Rendimiento de "&amp;I84&amp;" (m/kg) en Precios. ","")&amp;IF(L84="","Metros impresos. ","")&amp;IF(M84="","Confección. ","")))</f>
        <v/>
      </c>
    </row>
  </sheetData>
  <autoFilter ref="A4:T84"/>
  <mergeCells count="3">
    <mergeCell ref="A3:E3"/>
    <mergeCell ref="F3:Q3"/>
    <mergeCell ref="R3:T3"/>
  </mergeCells>
  <conditionalFormatting sqref="T5:T84">
    <cfRule type="cellIs" priority="2" operator="equal" aboveAverage="0" equalAverage="0" bottom="0" percent="0" rank="0" text="" dxfId="0">
      <formula>"Lista"</formula>
    </cfRule>
  </conditionalFormatting>
  <dataValidations count="5">
    <dataValidation allowBlank="true" errorStyle="stop" operator="between" showDropDown="false" showErrorMessage="false" showInputMessage="false" sqref="F5:F84" type="list">
      <formula1>Precios!$A$5:$A$120</formula1>
      <formula2>0</formula2>
    </dataValidation>
    <dataValidation allowBlank="true" errorStyle="stop" operator="between" showDropDown="false" showErrorMessage="false" showInputMessage="false" sqref="I5:I84" type="list">
      <formula1>Precios!$A$5:$A$120</formula1>
      <formula2>0</formula2>
    </dataValidation>
    <dataValidation allowBlank="true" errorStyle="stop" operator="between" showDropDown="false" showErrorMessage="false" showInputMessage="false" sqref="N5:N84" type="list">
      <formula1>Precios!$A$5:$A$120</formula1>
      <formula2>0</formula2>
    </dataValidation>
    <dataValidation allowBlank="true" errorStyle="stop" operator="between" showDropDown="false" showErrorMessage="false" showInputMessage="false" sqref="M5:M84" type="list">
      <formula1>Confeccion!$A$5:$A$100</formula1>
      <formula2>0</formula2>
    </dataValidation>
    <dataValidation allowBlank="true" errorStyle="stop" operator="between" showDropDown="false" showErrorMessage="false" showInputMessage="false" sqref="P5:P84"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424</v>
      </c>
    </row>
    <row r="2" customFormat="false" ht="15" hidden="false" customHeight="false" outlineLevel="0" collapsed="false">
      <c r="A2" s="2" t="s">
        <v>425</v>
      </c>
    </row>
    <row r="4" customFormat="false" ht="15" hidden="false" customHeight="false" outlineLevel="0" collapsed="false">
      <c r="A4" s="18" t="s">
        <v>426</v>
      </c>
      <c r="B4" s="19"/>
      <c r="C4" s="19"/>
    </row>
    <row r="5" customFormat="false" ht="15" hidden="false" customHeight="false" outlineLevel="0" collapsed="false">
      <c r="A5" s="7" t="s">
        <v>427</v>
      </c>
      <c r="B5" s="9" t="n">
        <f aca="false">Gastos_Ventas!F41</f>
        <v>12421897</v>
      </c>
      <c r="C5" s="10" t="s">
        <v>428</v>
      </c>
    </row>
    <row r="6" customFormat="false" ht="15" hidden="false" customHeight="false" outlineLevel="0" collapsed="false">
      <c r="A6" s="7" t="s">
        <v>429</v>
      </c>
      <c r="B6" s="9" t="n">
        <f aca="false">Gastos_Ventas!F42</f>
        <v>4459061</v>
      </c>
      <c r="C6" s="10" t="s">
        <v>428</v>
      </c>
    </row>
    <row r="7" customFormat="false" ht="15" hidden="false" customHeight="false" outlineLevel="0" collapsed="false">
      <c r="A7" s="7" t="s">
        <v>430</v>
      </c>
      <c r="B7" s="9" t="n">
        <f aca="false">Gastos_Ventas!F45</f>
        <v>35194839.6666667</v>
      </c>
      <c r="C7" s="10" t="s">
        <v>428</v>
      </c>
    </row>
    <row r="8" customFormat="false" ht="15" hidden="false" customHeight="false" outlineLevel="0" collapsed="false">
      <c r="A8" s="7" t="s">
        <v>431</v>
      </c>
      <c r="B8" s="15" t="n">
        <f aca="false">IFERROR(B5/B7,0)</f>
        <v>0.352946543233294</v>
      </c>
      <c r="C8" s="10" t="s">
        <v>432</v>
      </c>
    </row>
    <row r="9" customFormat="false" ht="15" hidden="false" customHeight="false" outlineLevel="0" collapsed="false">
      <c r="A9" s="7" t="s">
        <v>433</v>
      </c>
      <c r="B9" s="15" t="n">
        <f aca="false">IFERROR(B6/B7,0)</f>
        <v>0.126696443064726</v>
      </c>
      <c r="C9" s="10" t="s">
        <v>434</v>
      </c>
    </row>
    <row r="10" customFormat="false" ht="15" hidden="false" customHeight="false" outlineLevel="0" collapsed="false">
      <c r="A10" s="7" t="s">
        <v>435</v>
      </c>
      <c r="B10" s="21"/>
      <c r="C10" s="10" t="s">
        <v>436</v>
      </c>
    </row>
    <row r="11" customFormat="false" ht="15" hidden="false" customHeight="false" outlineLevel="0" collapsed="false">
      <c r="A11" s="7" t="s">
        <v>437</v>
      </c>
      <c r="B11" s="21"/>
      <c r="C11" s="10" t="s">
        <v>438</v>
      </c>
    </row>
    <row r="12" customFormat="false" ht="15" hidden="false" customHeight="false" outlineLevel="0" collapsed="false">
      <c r="A12" s="39" t="s">
        <v>439</v>
      </c>
      <c r="B12" s="16" t="n">
        <f aca="false">IF(ISNUMBER(B10),B10,B8)</f>
        <v>0.352946543233294</v>
      </c>
      <c r="C12" s="10" t="s">
        <v>440</v>
      </c>
    </row>
    <row r="13" customFormat="false" ht="15" hidden="false" customHeight="false" outlineLevel="0" collapsed="false">
      <c r="A13" s="39" t="s">
        <v>441</v>
      </c>
      <c r="B13" s="16" t="n">
        <f aca="false">IF(ISNUMBER(B11),B11,B9)</f>
        <v>0.126696443064726</v>
      </c>
      <c r="C13" s="10" t="s">
        <v>440</v>
      </c>
    </row>
    <row r="14" customFormat="false" ht="15" hidden="false" customHeight="false" outlineLevel="0" collapsed="false">
      <c r="A14" s="13" t="s">
        <v>442</v>
      </c>
      <c r="B14" s="22" t="n">
        <f aca="false">B12+B13</f>
        <v>0.47964298629802</v>
      </c>
      <c r="C14" s="10" t="s">
        <v>443</v>
      </c>
    </row>
    <row r="15" customFormat="false" ht="15" hidden="false" customHeight="false" outlineLevel="0" collapsed="false">
      <c r="A15" s="7" t="s">
        <v>444</v>
      </c>
      <c r="B15" s="34" t="s">
        <v>445</v>
      </c>
      <c r="C15" s="10" t="s">
        <v>446</v>
      </c>
    </row>
    <row r="17" customFormat="false" ht="15" hidden="false" customHeight="false" outlineLevel="0" collapsed="false">
      <c r="A17" s="18" t="s">
        <v>447</v>
      </c>
      <c r="B17" s="19"/>
      <c r="C17" s="19"/>
    </row>
    <row r="18" customFormat="false" ht="15" hidden="false" customHeight="false" outlineLevel="0" collapsed="false">
      <c r="A18" s="7" t="s">
        <v>448</v>
      </c>
      <c r="B18" s="21" t="n">
        <v>0.1</v>
      </c>
      <c r="C18" s="10" t="s">
        <v>449</v>
      </c>
    </row>
    <row r="20" customFormat="false" ht="15" hidden="false" customHeight="false" outlineLevel="0" collapsed="false">
      <c r="A20" s="18" t="s">
        <v>450</v>
      </c>
      <c r="B20" s="19"/>
      <c r="C20" s="19"/>
    </row>
    <row r="21" customFormat="false" ht="15" hidden="false" customHeight="false" outlineLevel="0" collapsed="false">
      <c r="A21" s="7" t="s">
        <v>451</v>
      </c>
      <c r="B21" s="8" t="n">
        <v>50420</v>
      </c>
      <c r="C21" s="10" t="s">
        <v>452</v>
      </c>
    </row>
    <row r="22" customFormat="false" ht="15" hidden="false" customHeight="false" outlineLevel="0" collapsed="false">
      <c r="A22" s="7" t="s">
        <v>453</v>
      </c>
      <c r="B22" s="11"/>
      <c r="C22" s="10" t="s">
        <v>454</v>
      </c>
    </row>
    <row r="23" customFormat="false" ht="15" hidden="false" customHeight="false" outlineLevel="0" collapsed="false">
      <c r="A23" s="7" t="s">
        <v>455</v>
      </c>
      <c r="B23" s="8" t="n">
        <v>72119</v>
      </c>
      <c r="C23" s="10" t="s">
        <v>456</v>
      </c>
    </row>
    <row r="24" customFormat="false" ht="15" hidden="false" customHeight="false" outlineLevel="0" collapsed="false">
      <c r="A24" s="7" t="s">
        <v>457</v>
      </c>
      <c r="B24" s="45"/>
      <c r="C24" s="10" t="s">
        <v>458</v>
      </c>
    </row>
    <row r="25" customFormat="false" ht="15" hidden="false" customHeight="false" outlineLevel="0" collapsed="false">
      <c r="A25" s="7" t="s">
        <v>459</v>
      </c>
      <c r="B25" s="9" t="n">
        <f aca="false">IFERROR(B21/B22,0)</f>
        <v>0</v>
      </c>
      <c r="C25" s="10" t="s">
        <v>460</v>
      </c>
    </row>
    <row r="26" customFormat="false" ht="15" hidden="false" customHeight="false" outlineLevel="0" collapsed="false">
      <c r="A26" s="7" t="s">
        <v>461</v>
      </c>
      <c r="B26" s="9" t="n">
        <f aca="false">B24*B23/1000</f>
        <v>0</v>
      </c>
      <c r="C26" s="10" t="s">
        <v>460</v>
      </c>
    </row>
    <row r="27" customFormat="false" ht="15" hidden="false" customHeight="false" outlineLevel="0" collapsed="false">
      <c r="A27" s="13" t="s">
        <v>462</v>
      </c>
      <c r="B27" s="14" t="n">
        <f aca="false">B25+B26</f>
        <v>0</v>
      </c>
      <c r="C27" s="10" t="s">
        <v>463</v>
      </c>
    </row>
    <row r="29" customFormat="false" ht="15" hidden="false" customHeight="false" outlineLevel="0" collapsed="false">
      <c r="A29" s="18" t="s">
        <v>464</v>
      </c>
      <c r="B29" s="19"/>
      <c r="C29" s="19"/>
    </row>
    <row r="30" customFormat="false" ht="54.75" hidden="false" customHeight="true" outlineLevel="0" collapsed="false">
      <c r="A30" s="20" t="s">
        <v>465</v>
      </c>
      <c r="B30" s="20"/>
      <c r="C30" s="20"/>
    </row>
  </sheetData>
  <mergeCells count="1">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5" min="3" style="0" width="14"/>
    <col collapsed="false" customWidth="true" hidden="false" outlineLevel="0" max="6" min="6" style="0" width="17"/>
    <col collapsed="false" customWidth="true" hidden="false" outlineLevel="0" max="7" min="7" style="0" width="55"/>
  </cols>
  <sheetData>
    <row r="1" customFormat="false" ht="17.35" hidden="false" customHeight="false" outlineLevel="0" collapsed="false">
      <c r="A1" s="1" t="s">
        <v>466</v>
      </c>
    </row>
    <row r="2" customFormat="false" ht="15" hidden="false" customHeight="false" outlineLevel="0" collapsed="false">
      <c r="A2" s="2" t="s">
        <v>467</v>
      </c>
    </row>
    <row r="4" customFormat="false" ht="15" hidden="false" customHeight="false" outlineLevel="0" collapsed="false">
      <c r="A4" s="5" t="s">
        <v>20</v>
      </c>
      <c r="B4" s="5" t="s">
        <v>468</v>
      </c>
      <c r="C4" s="6" t="s">
        <v>21</v>
      </c>
      <c r="D4" s="6" t="s">
        <v>22</v>
      </c>
      <c r="E4" s="6" t="s">
        <v>23</v>
      </c>
      <c r="F4" s="5" t="s">
        <v>469</v>
      </c>
      <c r="G4" s="5" t="s">
        <v>470</v>
      </c>
    </row>
    <row r="5" customFormat="false" ht="15" hidden="false" customHeight="false" outlineLevel="0" collapsed="false">
      <c r="A5" s="7" t="s">
        <v>471</v>
      </c>
      <c r="B5" s="34" t="s">
        <v>472</v>
      </c>
      <c r="C5" s="8" t="n">
        <v>2400000</v>
      </c>
      <c r="D5" s="8" t="n">
        <v>2400000</v>
      </c>
      <c r="E5" s="8" t="n">
        <v>2400000</v>
      </c>
      <c r="F5" s="9" t="n">
        <f aca="false">AVERAGE(C5:E5)</f>
        <v>2400000</v>
      </c>
      <c r="G5" s="10" t="s">
        <v>473</v>
      </c>
    </row>
    <row r="6" customFormat="false" ht="15" hidden="false" customHeight="false" outlineLevel="0" collapsed="false">
      <c r="A6" s="7" t="s">
        <v>474</v>
      </c>
      <c r="B6" s="34" t="s">
        <v>472</v>
      </c>
      <c r="C6" s="8" t="n">
        <v>833000</v>
      </c>
      <c r="D6" s="8" t="n">
        <v>833000</v>
      </c>
      <c r="E6" s="8" t="n">
        <v>833000</v>
      </c>
      <c r="F6" s="9" t="n">
        <f aca="false">AVERAGE(C6:E6)</f>
        <v>833000</v>
      </c>
      <c r="G6" s="10" t="s">
        <v>473</v>
      </c>
    </row>
    <row r="7" customFormat="false" ht="15" hidden="false" customHeight="false" outlineLevel="0" collapsed="false">
      <c r="A7" s="7" t="s">
        <v>475</v>
      </c>
      <c r="B7" s="34" t="s">
        <v>472</v>
      </c>
      <c r="C7" s="8" t="n">
        <v>1666000</v>
      </c>
      <c r="D7" s="8" t="n">
        <v>1666000</v>
      </c>
      <c r="E7" s="8" t="n">
        <v>1666000</v>
      </c>
      <c r="F7" s="9" t="n">
        <f aca="false">AVERAGE(C7:E7)</f>
        <v>1666000</v>
      </c>
      <c r="G7" s="10" t="s">
        <v>473</v>
      </c>
    </row>
    <row r="8" customFormat="false" ht="15" hidden="false" customHeight="false" outlineLevel="0" collapsed="false">
      <c r="A8" s="7" t="s">
        <v>476</v>
      </c>
      <c r="B8" s="34" t="s">
        <v>472</v>
      </c>
      <c r="C8" s="8" t="n">
        <v>1105374</v>
      </c>
      <c r="D8" s="8" t="n">
        <v>1105374</v>
      </c>
      <c r="E8" s="8" t="n">
        <v>1105374</v>
      </c>
      <c r="F8" s="9" t="n">
        <f aca="false">AVERAGE(C8:E8)</f>
        <v>1105374</v>
      </c>
      <c r="G8" s="10" t="s">
        <v>473</v>
      </c>
    </row>
    <row r="9" customFormat="false" ht="15" hidden="false" customHeight="false" outlineLevel="0" collapsed="false">
      <c r="A9" s="7" t="s">
        <v>477</v>
      </c>
      <c r="B9" s="34" t="s">
        <v>472</v>
      </c>
      <c r="C9" s="8" t="n">
        <v>720000</v>
      </c>
      <c r="D9" s="8" t="n">
        <v>720000</v>
      </c>
      <c r="E9" s="8" t="n">
        <v>720000</v>
      </c>
      <c r="F9" s="9" t="n">
        <f aca="false">AVERAGE(C9:E9)</f>
        <v>720000</v>
      </c>
      <c r="G9" s="10" t="s">
        <v>473</v>
      </c>
    </row>
    <row r="10" customFormat="false" ht="15" hidden="false" customHeight="false" outlineLevel="0" collapsed="false">
      <c r="A10" s="7" t="s">
        <v>478</v>
      </c>
      <c r="B10" s="34" t="s">
        <v>472</v>
      </c>
      <c r="C10" s="8" t="n">
        <v>638049</v>
      </c>
      <c r="D10" s="8" t="n">
        <v>638049</v>
      </c>
      <c r="E10" s="8" t="n">
        <v>638049</v>
      </c>
      <c r="F10" s="9" t="n">
        <f aca="false">AVERAGE(C10:E10)</f>
        <v>638049</v>
      </c>
      <c r="G10" s="10"/>
    </row>
    <row r="11" customFormat="false" ht="15" hidden="false" customHeight="false" outlineLevel="0" collapsed="false">
      <c r="A11" s="7" t="s">
        <v>479</v>
      </c>
      <c r="B11" s="34" t="s">
        <v>472</v>
      </c>
      <c r="C11" s="8" t="n">
        <v>10630</v>
      </c>
      <c r="D11" s="8" t="n">
        <v>10630</v>
      </c>
      <c r="E11" s="8" t="n">
        <v>10630</v>
      </c>
      <c r="F11" s="9" t="n">
        <f aca="false">AVERAGE(C11:E11)</f>
        <v>10630</v>
      </c>
      <c r="G11" s="10"/>
    </row>
    <row r="12" customFormat="false" ht="15" hidden="false" customHeight="false" outlineLevel="0" collapsed="false">
      <c r="A12" s="7" t="s">
        <v>480</v>
      </c>
      <c r="B12" s="34" t="s">
        <v>472</v>
      </c>
      <c r="C12" s="8" t="n">
        <v>95000</v>
      </c>
      <c r="D12" s="8" t="n">
        <v>95000</v>
      </c>
      <c r="E12" s="8" t="n">
        <v>95000</v>
      </c>
      <c r="F12" s="9" t="n">
        <f aca="false">AVERAGE(C12:E12)</f>
        <v>95000</v>
      </c>
      <c r="G12" s="10"/>
    </row>
    <row r="13" customFormat="false" ht="15" hidden="false" customHeight="false" outlineLevel="0" collapsed="false">
      <c r="A13" s="7" t="s">
        <v>481</v>
      </c>
      <c r="B13" s="34" t="s">
        <v>472</v>
      </c>
      <c r="C13" s="8" t="n">
        <v>2163844</v>
      </c>
      <c r="D13" s="8" t="n">
        <v>2163844</v>
      </c>
      <c r="E13" s="8" t="n">
        <v>2163844</v>
      </c>
      <c r="F13" s="9" t="n">
        <f aca="false">AVERAGE(C13:E13)</f>
        <v>2163844</v>
      </c>
      <c r="G13" s="10"/>
    </row>
    <row r="14" customFormat="false" ht="15" hidden="false" customHeight="false" outlineLevel="0" collapsed="false">
      <c r="A14" s="7" t="s">
        <v>482</v>
      </c>
      <c r="B14" s="34" t="s">
        <v>472</v>
      </c>
      <c r="C14" s="8" t="n">
        <v>49000</v>
      </c>
      <c r="D14" s="8" t="n">
        <v>49000</v>
      </c>
      <c r="E14" s="8" t="n">
        <v>49000</v>
      </c>
      <c r="F14" s="9" t="n">
        <f aca="false">AVERAGE(C14:E14)</f>
        <v>49000</v>
      </c>
      <c r="G14" s="10"/>
    </row>
    <row r="15" customFormat="false" ht="15" hidden="false" customHeight="false" outlineLevel="0" collapsed="false">
      <c r="A15" s="7" t="s">
        <v>483</v>
      </c>
      <c r="B15" s="34" t="s">
        <v>472</v>
      </c>
      <c r="C15" s="8" t="n">
        <v>300000</v>
      </c>
      <c r="D15" s="8" t="n">
        <v>300000</v>
      </c>
      <c r="E15" s="8" t="n">
        <v>300000</v>
      </c>
      <c r="F15" s="9" t="n">
        <f aca="false">AVERAGE(C15:E15)</f>
        <v>300000</v>
      </c>
      <c r="G15" s="10"/>
    </row>
    <row r="16" customFormat="false" ht="15" hidden="false" customHeight="false" outlineLevel="0" collapsed="false">
      <c r="A16" s="7" t="s">
        <v>484</v>
      </c>
      <c r="B16" s="34" t="s">
        <v>472</v>
      </c>
      <c r="C16" s="8" t="n">
        <v>50000</v>
      </c>
      <c r="D16" s="8" t="n">
        <v>50000</v>
      </c>
      <c r="E16" s="8" t="n">
        <v>50000</v>
      </c>
      <c r="F16" s="9" t="n">
        <f aca="false">AVERAGE(C16:E16)</f>
        <v>50000</v>
      </c>
      <c r="G16" s="10"/>
    </row>
    <row r="17" customFormat="false" ht="15" hidden="false" customHeight="false" outlineLevel="0" collapsed="false">
      <c r="A17" s="7" t="s">
        <v>485</v>
      </c>
      <c r="B17" s="34" t="s">
        <v>472</v>
      </c>
      <c r="C17" s="8" t="n">
        <v>100000</v>
      </c>
      <c r="D17" s="8" t="n">
        <v>100000</v>
      </c>
      <c r="E17" s="8" t="n">
        <v>100000</v>
      </c>
      <c r="F17" s="9" t="n">
        <f aca="false">AVERAGE(C17:E17)</f>
        <v>100000</v>
      </c>
      <c r="G17" s="10"/>
    </row>
    <row r="18" customFormat="false" ht="15" hidden="false" customHeight="false" outlineLevel="0" collapsed="false">
      <c r="A18" s="7" t="s">
        <v>486</v>
      </c>
      <c r="B18" s="34" t="s">
        <v>472</v>
      </c>
      <c r="C18" s="8" t="n">
        <v>100000</v>
      </c>
      <c r="D18" s="8" t="n">
        <v>100000</v>
      </c>
      <c r="E18" s="8" t="n">
        <v>100000</v>
      </c>
      <c r="F18" s="9" t="n">
        <f aca="false">AVERAGE(C18:E18)</f>
        <v>100000</v>
      </c>
      <c r="G18" s="10"/>
    </row>
    <row r="19" customFormat="false" ht="15" hidden="false" customHeight="false" outlineLevel="0" collapsed="false">
      <c r="A19" s="7" t="s">
        <v>487</v>
      </c>
      <c r="B19" s="34" t="s">
        <v>472</v>
      </c>
      <c r="C19" s="8" t="n">
        <v>300000</v>
      </c>
      <c r="D19" s="8" t="n">
        <v>300000</v>
      </c>
      <c r="E19" s="8" t="n">
        <v>300000</v>
      </c>
      <c r="F19" s="9" t="n">
        <f aca="false">AVERAGE(C19:E19)</f>
        <v>300000</v>
      </c>
      <c r="G19" s="10"/>
    </row>
    <row r="20" customFormat="false" ht="15" hidden="false" customHeight="false" outlineLevel="0" collapsed="false">
      <c r="A20" s="7" t="s">
        <v>488</v>
      </c>
      <c r="B20" s="34" t="s">
        <v>472</v>
      </c>
      <c r="C20" s="8" t="n">
        <v>1071000</v>
      </c>
      <c r="D20" s="8" t="n">
        <v>1071000</v>
      </c>
      <c r="E20" s="8" t="n">
        <v>1071000</v>
      </c>
      <c r="F20" s="9" t="n">
        <f aca="false">AVERAGE(C20:E20)</f>
        <v>1071000</v>
      </c>
      <c r="G20" s="10" t="s">
        <v>473</v>
      </c>
    </row>
    <row r="21" customFormat="false" ht="15" hidden="false" customHeight="false" outlineLevel="0" collapsed="false">
      <c r="A21" s="7" t="s">
        <v>489</v>
      </c>
      <c r="B21" s="34" t="s">
        <v>472</v>
      </c>
      <c r="C21" s="8" t="n">
        <v>400000</v>
      </c>
      <c r="D21" s="8" t="n">
        <v>400000</v>
      </c>
      <c r="E21" s="8" t="n">
        <v>400000</v>
      </c>
      <c r="F21" s="9" t="n">
        <f aca="false">AVERAGE(C21:E21)</f>
        <v>400000</v>
      </c>
      <c r="G21" s="10" t="s">
        <v>473</v>
      </c>
    </row>
    <row r="22" customFormat="false" ht="15" hidden="false" customHeight="false" outlineLevel="0" collapsed="false">
      <c r="A22" s="7" t="s">
        <v>490</v>
      </c>
      <c r="B22" s="34" t="s">
        <v>472</v>
      </c>
      <c r="C22" s="8" t="n">
        <v>120000</v>
      </c>
      <c r="D22" s="8" t="n">
        <v>120000</v>
      </c>
      <c r="E22" s="8" t="n">
        <v>120000</v>
      </c>
      <c r="F22" s="9" t="n">
        <f aca="false">AVERAGE(C22:E22)</f>
        <v>120000</v>
      </c>
      <c r="G22" s="10" t="s">
        <v>473</v>
      </c>
    </row>
    <row r="23" customFormat="false" ht="15" hidden="false" customHeight="false" outlineLevel="0" collapsed="false">
      <c r="A23" s="7" t="s">
        <v>491</v>
      </c>
      <c r="B23" s="34" t="s">
        <v>472</v>
      </c>
      <c r="C23" s="8" t="n">
        <v>300000</v>
      </c>
      <c r="D23" s="8" t="n">
        <v>300000</v>
      </c>
      <c r="E23" s="8" t="n">
        <v>300000</v>
      </c>
      <c r="F23" s="9" t="n">
        <f aca="false">AVERAGE(C23:E23)</f>
        <v>300000</v>
      </c>
      <c r="G23" s="10" t="s">
        <v>473</v>
      </c>
    </row>
    <row r="24" customFormat="false" ht="15" hidden="false" customHeight="false" outlineLevel="0" collapsed="false">
      <c r="A24" s="7" t="s">
        <v>492</v>
      </c>
      <c r="B24" s="34" t="s">
        <v>493</v>
      </c>
      <c r="C24" s="8" t="n">
        <v>0</v>
      </c>
      <c r="D24" s="8" t="n">
        <v>0</v>
      </c>
      <c r="E24" s="8" t="n">
        <v>0</v>
      </c>
      <c r="F24" s="9" t="n">
        <f aca="false">AVERAGE(C24:E24)</f>
        <v>0</v>
      </c>
      <c r="G24" s="10" t="s">
        <v>473</v>
      </c>
    </row>
    <row r="25" customFormat="false" ht="15" hidden="false" customHeight="false" outlineLevel="0" collapsed="false">
      <c r="A25" s="7" t="s">
        <v>494</v>
      </c>
      <c r="B25" s="34" t="s">
        <v>493</v>
      </c>
      <c r="C25" s="8" t="n">
        <v>0</v>
      </c>
      <c r="D25" s="8" t="n">
        <v>0</v>
      </c>
      <c r="E25" s="8" t="n">
        <v>0</v>
      </c>
      <c r="F25" s="9" t="n">
        <f aca="false">AVERAGE(C25:E25)</f>
        <v>0</v>
      </c>
      <c r="G25" s="10" t="s">
        <v>473</v>
      </c>
    </row>
    <row r="26" customFormat="false" ht="15" hidden="false" customHeight="false" outlineLevel="0" collapsed="false">
      <c r="A26" s="7" t="s">
        <v>495</v>
      </c>
      <c r="B26" s="34" t="s">
        <v>493</v>
      </c>
      <c r="C26" s="8" t="n">
        <v>1680000</v>
      </c>
      <c r="D26" s="8" t="n">
        <v>1680000</v>
      </c>
      <c r="E26" s="8" t="n">
        <v>1680000</v>
      </c>
      <c r="F26" s="9" t="n">
        <f aca="false">AVERAGE(C26:E26)</f>
        <v>1680000</v>
      </c>
      <c r="G26" s="10" t="s">
        <v>473</v>
      </c>
    </row>
    <row r="27" customFormat="false" ht="15" hidden="false" customHeight="false" outlineLevel="0" collapsed="false">
      <c r="A27" s="7" t="s">
        <v>496</v>
      </c>
      <c r="B27" s="34" t="s">
        <v>493</v>
      </c>
      <c r="C27" s="8" t="n">
        <v>680000</v>
      </c>
      <c r="D27" s="8" t="n">
        <v>680000</v>
      </c>
      <c r="E27" s="8" t="n">
        <v>680000</v>
      </c>
      <c r="F27" s="9" t="n">
        <f aca="false">AVERAGE(C27:E27)</f>
        <v>680000</v>
      </c>
      <c r="G27" s="10" t="s">
        <v>473</v>
      </c>
    </row>
    <row r="28" customFormat="false" ht="15" hidden="false" customHeight="false" outlineLevel="0" collapsed="false">
      <c r="A28" s="7" t="s">
        <v>497</v>
      </c>
      <c r="B28" s="34" t="s">
        <v>493</v>
      </c>
      <c r="C28" s="8" t="n">
        <v>397000</v>
      </c>
      <c r="D28" s="8" t="n">
        <v>397000</v>
      </c>
      <c r="E28" s="8" t="n">
        <v>397000</v>
      </c>
      <c r="F28" s="9" t="n">
        <f aca="false">AVERAGE(C28:E28)</f>
        <v>397000</v>
      </c>
      <c r="G28" s="10" t="s">
        <v>473</v>
      </c>
    </row>
    <row r="29" customFormat="false" ht="15" hidden="false" customHeight="false" outlineLevel="0" collapsed="false">
      <c r="A29" s="7" t="s">
        <v>498</v>
      </c>
      <c r="B29" s="34" t="s">
        <v>493</v>
      </c>
      <c r="C29" s="8" t="n">
        <v>447861</v>
      </c>
      <c r="D29" s="8" t="n">
        <v>447861</v>
      </c>
      <c r="E29" s="8" t="n">
        <v>447861</v>
      </c>
      <c r="F29" s="9" t="n">
        <f aca="false">AVERAGE(C29:E29)</f>
        <v>447861</v>
      </c>
      <c r="G29" s="10"/>
    </row>
    <row r="30" customFormat="false" ht="15" hidden="false" customHeight="false" outlineLevel="0" collapsed="false">
      <c r="A30" s="7" t="s">
        <v>499</v>
      </c>
      <c r="B30" s="34" t="s">
        <v>493</v>
      </c>
      <c r="C30" s="8" t="n">
        <v>450000</v>
      </c>
      <c r="D30" s="8" t="n">
        <v>450000</v>
      </c>
      <c r="E30" s="8" t="n">
        <v>450000</v>
      </c>
      <c r="F30" s="9" t="n">
        <f aca="false">AVERAGE(C30:E30)</f>
        <v>450000</v>
      </c>
      <c r="G30" s="10"/>
    </row>
    <row r="31" customFormat="false" ht="15" hidden="false" customHeight="false" outlineLevel="0" collapsed="false">
      <c r="A31" s="7" t="s">
        <v>500</v>
      </c>
      <c r="B31" s="34" t="s">
        <v>493</v>
      </c>
      <c r="C31" s="8" t="n">
        <v>214200</v>
      </c>
      <c r="D31" s="8" t="n">
        <v>214200</v>
      </c>
      <c r="E31" s="8" t="n">
        <v>214200</v>
      </c>
      <c r="F31" s="9" t="n">
        <f aca="false">AVERAGE(C31:E31)</f>
        <v>214200</v>
      </c>
      <c r="G31" s="10"/>
    </row>
    <row r="32" customFormat="false" ht="15" hidden="false" customHeight="false" outlineLevel="0" collapsed="false">
      <c r="A32" s="7" t="s">
        <v>501</v>
      </c>
      <c r="B32" s="34" t="s">
        <v>493</v>
      </c>
      <c r="C32" s="8" t="n">
        <v>450000</v>
      </c>
      <c r="D32" s="8" t="n">
        <v>450000</v>
      </c>
      <c r="E32" s="8" t="n">
        <v>450000</v>
      </c>
      <c r="F32" s="9" t="n">
        <f aca="false">AVERAGE(C32:E32)</f>
        <v>450000</v>
      </c>
      <c r="G32" s="10"/>
    </row>
    <row r="33" customFormat="false" ht="15" hidden="false" customHeight="false" outlineLevel="0" collapsed="false">
      <c r="A33" s="7" t="s">
        <v>502</v>
      </c>
      <c r="B33" s="34" t="s">
        <v>493</v>
      </c>
      <c r="C33" s="8" t="n">
        <v>60000</v>
      </c>
      <c r="D33" s="8" t="n">
        <v>60000</v>
      </c>
      <c r="E33" s="8" t="n">
        <v>60000</v>
      </c>
      <c r="F33" s="9" t="n">
        <f aca="false">AVERAGE(C33:E33)</f>
        <v>60000</v>
      </c>
      <c r="G33" s="10"/>
    </row>
    <row r="34" customFormat="false" ht="15" hidden="false" customHeight="false" outlineLevel="0" collapsed="false">
      <c r="A34" s="7" t="s">
        <v>503</v>
      </c>
      <c r="B34" s="34" t="s">
        <v>493</v>
      </c>
      <c r="C34" s="8" t="n">
        <v>80000</v>
      </c>
      <c r="D34" s="8" t="n">
        <v>80000</v>
      </c>
      <c r="E34" s="8" t="n">
        <v>80000</v>
      </c>
      <c r="F34" s="9" t="n">
        <f aca="false">AVERAGE(C34:E34)</f>
        <v>80000</v>
      </c>
      <c r="G34" s="10"/>
    </row>
    <row r="35" customFormat="false" ht="15" hidden="false" customHeight="false" outlineLevel="0" collapsed="false">
      <c r="A35" s="46"/>
      <c r="B35" s="34"/>
      <c r="C35" s="8"/>
      <c r="D35" s="8"/>
      <c r="E35" s="8"/>
      <c r="F35" s="9" t="n">
        <f aca="false">IF(COUNT(C35:E35)=0,0,AVERAGE(C35:E35))</f>
        <v>0</v>
      </c>
      <c r="G35" s="10" t="s">
        <v>504</v>
      </c>
    </row>
    <row r="36" customFormat="false" ht="15" hidden="false" customHeight="false" outlineLevel="0" collapsed="false">
      <c r="A36" s="46"/>
      <c r="B36" s="34"/>
      <c r="C36" s="8"/>
      <c r="D36" s="8"/>
      <c r="E36" s="8"/>
      <c r="F36" s="9" t="n">
        <f aca="false">IF(COUNT(C36:E36)=0,0,AVERAGE(C36:E36))</f>
        <v>0</v>
      </c>
    </row>
    <row r="37" customFormat="false" ht="15" hidden="false" customHeight="false" outlineLevel="0" collapsed="false">
      <c r="A37" s="46"/>
      <c r="B37" s="34"/>
      <c r="C37" s="8"/>
      <c r="D37" s="8"/>
      <c r="E37" s="8"/>
      <c r="F37" s="9" t="n">
        <f aca="false">IF(COUNT(C37:E37)=0,0,AVERAGE(C37:E37))</f>
        <v>0</v>
      </c>
    </row>
    <row r="38" customFormat="false" ht="15" hidden="false" customHeight="false" outlineLevel="0" collapsed="false">
      <c r="A38" s="46"/>
      <c r="B38" s="34"/>
      <c r="C38" s="8"/>
      <c r="D38" s="8"/>
      <c r="E38" s="8"/>
      <c r="F38" s="9" t="n">
        <f aca="false">IF(COUNT(C38:E38)=0,0,AVERAGE(C38:E38))</f>
        <v>0</v>
      </c>
    </row>
    <row r="39" customFormat="false" ht="15" hidden="false" customHeight="false" outlineLevel="0" collapsed="false">
      <c r="A39" s="46"/>
      <c r="B39" s="34"/>
      <c r="C39" s="8"/>
      <c r="D39" s="8"/>
      <c r="E39" s="8"/>
      <c r="F39" s="9" t="n">
        <f aca="false">IF(COUNT(C39:E39)=0,0,AVERAGE(C39:E39))</f>
        <v>0</v>
      </c>
    </row>
    <row r="41" customFormat="false" ht="15" hidden="false" customHeight="false" outlineLevel="0" collapsed="false">
      <c r="A41" s="47" t="s">
        <v>505</v>
      </c>
      <c r="C41" s="26" t="n">
        <f aca="false">SUMIF($B$5:$B$39,"Fábrica",C$5:C$39)</f>
        <v>12421897</v>
      </c>
      <c r="D41" s="26" t="n">
        <f aca="false">SUMIF($B$5:$B$39,"Fábrica",D$5:D$39)</f>
        <v>12421897</v>
      </c>
      <c r="E41" s="26" t="n">
        <f aca="false">SUMIF($B$5:$B$39,"Fábrica",E$5:E$39)</f>
        <v>12421897</v>
      </c>
      <c r="F41" s="26" t="n">
        <f aca="false">SUMIF($B$5:$B$39,"Fábrica",F$5:F$39)</f>
        <v>12421897</v>
      </c>
    </row>
    <row r="42" customFormat="false" ht="15" hidden="false" customHeight="false" outlineLevel="0" collapsed="false">
      <c r="A42" s="47" t="s">
        <v>506</v>
      </c>
      <c r="C42" s="26" t="n">
        <f aca="false">SUMIF($B$5:$B$39,"Comercial",C$5:C$39)</f>
        <v>4459061</v>
      </c>
      <c r="D42" s="26" t="n">
        <f aca="false">SUMIF($B$5:$B$39,"Comercial",D$5:D$39)</f>
        <v>4459061</v>
      </c>
      <c r="E42" s="26" t="n">
        <f aca="false">SUMIF($B$5:$B$39,"Comercial",E$5:E$39)</f>
        <v>4459061</v>
      </c>
      <c r="F42" s="26" t="n">
        <f aca="false">SUMIF($B$5:$B$39,"Comercial",F$5:F$39)</f>
        <v>4459061</v>
      </c>
    </row>
    <row r="43" customFormat="false" ht="15" hidden="false" customHeight="false" outlineLevel="0" collapsed="false">
      <c r="A43" s="47" t="s">
        <v>507</v>
      </c>
      <c r="C43" s="26" t="n">
        <f aca="false">C41+C42</f>
        <v>16880958</v>
      </c>
      <c r="D43" s="26" t="n">
        <f aca="false">D41+D42</f>
        <v>16880958</v>
      </c>
      <c r="E43" s="26" t="n">
        <f aca="false">E41+E42</f>
        <v>16880958</v>
      </c>
      <c r="F43" s="26" t="n">
        <f aca="false">F41+F42</f>
        <v>16880958</v>
      </c>
    </row>
    <row r="45" customFormat="false" ht="22.35" hidden="false" customHeight="false" outlineLevel="0" collapsed="false">
      <c r="A45" s="47" t="s">
        <v>508</v>
      </c>
      <c r="C45" s="8" t="n">
        <v>32768213</v>
      </c>
      <c r="D45" s="8" t="n">
        <v>38874120</v>
      </c>
      <c r="E45" s="8" t="n">
        <v>33942186</v>
      </c>
      <c r="F45" s="26" t="n">
        <f aca="false">AVERAGE(C45:E45)</f>
        <v>35194839.6666667</v>
      </c>
      <c r="G45" s="10" t="s">
        <v>509</v>
      </c>
    </row>
    <row r="47" customFormat="false" ht="15" hidden="false" customHeight="true" outlineLevel="0" collapsed="false">
      <c r="A47" s="20" t="s">
        <v>510</v>
      </c>
      <c r="B47" s="20"/>
      <c r="C47" s="20"/>
      <c r="D47" s="20"/>
      <c r="E47" s="20"/>
      <c r="F47" s="20"/>
      <c r="G47" s="20"/>
    </row>
    <row r="48" customFormat="false" ht="15" hidden="false" customHeight="true" outlineLevel="0" collapsed="false">
      <c r="A48" s="20" t="s">
        <v>511</v>
      </c>
      <c r="B48" s="20"/>
      <c r="C48" s="20"/>
      <c r="D48" s="20"/>
      <c r="E48" s="20"/>
      <c r="F48" s="20"/>
      <c r="G48" s="20"/>
    </row>
  </sheetData>
  <mergeCells count="2">
    <mergeCell ref="A47:G47"/>
    <mergeCell ref="A48:G48"/>
  </mergeCells>
  <dataValidations count="1">
    <dataValidation allowBlank="true" errorStyle="stop" operator="between" showDropDown="false" showErrorMessage="false" showInputMessage="false" sqref="B5:B39" type="list">
      <formula1>"Fábrica,Comercial"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3" min="2" style="0" width="9"/>
    <col collapsed="false" customWidth="true" hidden="false" outlineLevel="0" max="5" min="4" style="0" width="14"/>
    <col collapsed="false" customWidth="true" hidden="false" outlineLevel="0" max="6" min="6" style="0" width="13"/>
    <col collapsed="false" customWidth="true" hidden="false" outlineLevel="0" max="7" min="7" style="0" width="14"/>
    <col collapsed="false" customWidth="true" hidden="false" outlineLevel="0" max="8" min="8" style="0" width="52"/>
  </cols>
  <sheetData>
    <row r="1" customFormat="false" ht="17.35" hidden="false" customHeight="false" outlineLevel="0" collapsed="false">
      <c r="A1" s="1" t="s">
        <v>512</v>
      </c>
    </row>
    <row r="2" customFormat="false" ht="15" hidden="false" customHeight="false" outlineLevel="0" collapsed="false">
      <c r="A2" s="2" t="s">
        <v>513</v>
      </c>
    </row>
    <row r="4" customFormat="false" ht="31.5" hidden="false" customHeight="true" outlineLevel="0" collapsed="false">
      <c r="A4" s="5" t="s">
        <v>514</v>
      </c>
      <c r="B4" s="5" t="s">
        <v>84</v>
      </c>
      <c r="C4" s="5" t="s">
        <v>515</v>
      </c>
      <c r="D4" s="5" t="s">
        <v>516</v>
      </c>
      <c r="E4" s="5" t="s">
        <v>517</v>
      </c>
      <c r="F4" s="5" t="s">
        <v>518</v>
      </c>
      <c r="G4" s="5" t="s">
        <v>91</v>
      </c>
      <c r="H4" s="5" t="s">
        <v>470</v>
      </c>
    </row>
    <row r="5" customFormat="false" ht="15" hidden="false" customHeight="false" outlineLevel="0" collapsed="false">
      <c r="A5" s="7" t="s">
        <v>121</v>
      </c>
      <c r="B5" s="7" t="s">
        <v>519</v>
      </c>
      <c r="C5" s="7" t="s">
        <v>520</v>
      </c>
      <c r="D5" s="8" t="n">
        <v>3531</v>
      </c>
      <c r="E5" s="41" t="n">
        <v>5.08</v>
      </c>
      <c r="F5" s="9" t="n">
        <f aca="false">IF(AND(ISNUMBER(D5),ISNUMBER(E5),N(E5)&gt;0),D5/E5,"")</f>
        <v>695.07874015748</v>
      </c>
      <c r="G5" s="34" t="s">
        <v>113</v>
      </c>
      <c r="H5" s="10"/>
    </row>
    <row r="6" customFormat="false" ht="15" hidden="false" customHeight="false" outlineLevel="0" collapsed="false">
      <c r="A6" s="7" t="s">
        <v>521</v>
      </c>
      <c r="B6" s="7" t="s">
        <v>519</v>
      </c>
      <c r="C6" s="7" t="s">
        <v>520</v>
      </c>
      <c r="D6" s="8" t="n">
        <v>5600</v>
      </c>
      <c r="E6" s="41"/>
      <c r="F6" s="9" t="str">
        <f aca="false">IF(AND(ISNUMBER(D6),ISNUMBER(E6),N(E6)&gt;0),D6/E6,"")</f>
        <v/>
      </c>
      <c r="G6" s="34" t="s">
        <v>113</v>
      </c>
      <c r="H6" s="10" t="s">
        <v>522</v>
      </c>
    </row>
    <row r="7" customFormat="false" ht="15" hidden="false" customHeight="false" outlineLevel="0" collapsed="false">
      <c r="A7" s="7" t="s">
        <v>164</v>
      </c>
      <c r="B7" s="7" t="s">
        <v>519</v>
      </c>
      <c r="C7" s="7" t="s">
        <v>520</v>
      </c>
      <c r="D7" s="8" t="n">
        <v>5600</v>
      </c>
      <c r="E7" s="41"/>
      <c r="F7" s="9" t="str">
        <f aca="false">IF(AND(ISNUMBER(D7),ISNUMBER(E7),N(E7)&gt;0),D7/E7,"")</f>
        <v/>
      </c>
      <c r="G7" s="34" t="s">
        <v>113</v>
      </c>
      <c r="H7" s="10" t="s">
        <v>522</v>
      </c>
    </row>
    <row r="8" customFormat="false" ht="15" hidden="false" customHeight="false" outlineLevel="0" collapsed="false">
      <c r="A8" s="7" t="s">
        <v>523</v>
      </c>
      <c r="B8" s="7" t="s">
        <v>519</v>
      </c>
      <c r="C8" s="7" t="s">
        <v>520</v>
      </c>
      <c r="D8" s="8" t="n">
        <v>7500</v>
      </c>
      <c r="E8" s="41"/>
      <c r="F8" s="9" t="str">
        <f aca="false">IF(AND(ISNUMBER(D8),ISNUMBER(E8),N(E8)&gt;0),D8/E8,"")</f>
        <v/>
      </c>
      <c r="G8" s="34" t="s">
        <v>113</v>
      </c>
      <c r="H8" s="10" t="s">
        <v>522</v>
      </c>
    </row>
    <row r="9" customFormat="false" ht="15" hidden="false" customHeight="false" outlineLevel="0" collapsed="false">
      <c r="A9" s="7" t="s">
        <v>122</v>
      </c>
      <c r="B9" s="7" t="s">
        <v>519</v>
      </c>
      <c r="C9" s="7" t="s">
        <v>520</v>
      </c>
      <c r="D9" s="8" t="n">
        <v>7700</v>
      </c>
      <c r="E9" s="41"/>
      <c r="F9" s="9" t="str">
        <f aca="false">IF(AND(ISNUMBER(D9),ISNUMBER(E9),N(E9)&gt;0),D9/E9,"")</f>
        <v/>
      </c>
      <c r="G9" s="34" t="s">
        <v>113</v>
      </c>
      <c r="H9" s="10" t="s">
        <v>522</v>
      </c>
    </row>
    <row r="10" customFormat="false" ht="15" hidden="false" customHeight="false" outlineLevel="0" collapsed="false">
      <c r="A10" s="7" t="s">
        <v>524</v>
      </c>
      <c r="B10" s="7" t="s">
        <v>519</v>
      </c>
      <c r="C10" s="7" t="s">
        <v>520</v>
      </c>
      <c r="D10" s="8" t="n">
        <v>8000</v>
      </c>
      <c r="E10" s="41"/>
      <c r="F10" s="9" t="str">
        <f aca="false">IF(AND(ISNUMBER(D10),ISNUMBER(E10),N(E10)&gt;0),D10/E10,"")</f>
        <v/>
      </c>
      <c r="G10" s="34" t="s">
        <v>113</v>
      </c>
      <c r="H10" s="10" t="s">
        <v>522</v>
      </c>
    </row>
    <row r="11" customFormat="false" ht="15" hidden="false" customHeight="false" outlineLevel="0" collapsed="false">
      <c r="A11" s="7" t="s">
        <v>525</v>
      </c>
      <c r="B11" s="7" t="s">
        <v>519</v>
      </c>
      <c r="C11" s="7" t="s">
        <v>520</v>
      </c>
      <c r="D11" s="8" t="n">
        <v>7800</v>
      </c>
      <c r="E11" s="41"/>
      <c r="F11" s="9" t="str">
        <f aca="false">IF(AND(ISNUMBER(D11),ISNUMBER(E11),N(E11)&gt;0),D11/E11,"")</f>
        <v/>
      </c>
      <c r="G11" s="34" t="s">
        <v>113</v>
      </c>
      <c r="H11" s="10" t="s">
        <v>522</v>
      </c>
    </row>
    <row r="12" customFormat="false" ht="15" hidden="false" customHeight="false" outlineLevel="0" collapsed="false">
      <c r="A12" s="7" t="s">
        <v>526</v>
      </c>
      <c r="B12" s="7" t="s">
        <v>519</v>
      </c>
      <c r="C12" s="7" t="s">
        <v>520</v>
      </c>
      <c r="D12" s="8" t="n">
        <v>6900</v>
      </c>
      <c r="E12" s="41"/>
      <c r="F12" s="9" t="str">
        <f aca="false">IF(AND(ISNUMBER(D12),ISNUMBER(E12),N(E12)&gt;0),D12/E12,"")</f>
        <v/>
      </c>
      <c r="G12" s="34" t="s">
        <v>113</v>
      </c>
      <c r="H12" s="10" t="s">
        <v>522</v>
      </c>
    </row>
    <row r="13" customFormat="false" ht="15" hidden="false" customHeight="false" outlineLevel="0" collapsed="false">
      <c r="A13" s="7" t="s">
        <v>527</v>
      </c>
      <c r="B13" s="7" t="s">
        <v>519</v>
      </c>
      <c r="C13" s="7" t="s">
        <v>520</v>
      </c>
      <c r="D13" s="8" t="n">
        <v>7200</v>
      </c>
      <c r="E13" s="41"/>
      <c r="F13" s="9" t="str">
        <f aca="false">IF(AND(ISNUMBER(D13),ISNUMBER(E13),N(E13)&gt;0),D13/E13,"")</f>
        <v/>
      </c>
      <c r="G13" s="34" t="s">
        <v>113</v>
      </c>
      <c r="H13" s="10" t="s">
        <v>522</v>
      </c>
    </row>
    <row r="14" customFormat="false" ht="15" hidden="false" customHeight="false" outlineLevel="0" collapsed="false">
      <c r="A14" s="7" t="s">
        <v>528</v>
      </c>
      <c r="B14" s="7" t="s">
        <v>519</v>
      </c>
      <c r="C14" s="7" t="s">
        <v>520</v>
      </c>
      <c r="D14" s="8" t="n">
        <v>7900</v>
      </c>
      <c r="E14" s="41"/>
      <c r="F14" s="9" t="str">
        <f aca="false">IF(AND(ISNUMBER(D14),ISNUMBER(E14),N(E14)&gt;0),D14/E14,"")</f>
        <v/>
      </c>
      <c r="G14" s="34" t="s">
        <v>113</v>
      </c>
      <c r="H14" s="10" t="s">
        <v>522</v>
      </c>
    </row>
    <row r="15" customFormat="false" ht="15" hidden="false" customHeight="false" outlineLevel="0" collapsed="false">
      <c r="A15" s="7" t="s">
        <v>529</v>
      </c>
      <c r="B15" s="7" t="s">
        <v>519</v>
      </c>
      <c r="C15" s="7" t="s">
        <v>520</v>
      </c>
      <c r="D15" s="8" t="n">
        <v>6800</v>
      </c>
      <c r="E15" s="41"/>
      <c r="F15" s="9" t="str">
        <f aca="false">IF(AND(ISNUMBER(D15),ISNUMBER(E15),N(E15)&gt;0),D15/E15,"")</f>
        <v/>
      </c>
      <c r="G15" s="34" t="s">
        <v>113</v>
      </c>
      <c r="H15" s="10" t="s">
        <v>522</v>
      </c>
    </row>
    <row r="16" customFormat="false" ht="15" hidden="false" customHeight="false" outlineLevel="0" collapsed="false">
      <c r="A16" s="7" t="s">
        <v>530</v>
      </c>
      <c r="B16" s="7" t="s">
        <v>519</v>
      </c>
      <c r="C16" s="7" t="s">
        <v>520</v>
      </c>
      <c r="D16" s="8" t="n">
        <v>5600</v>
      </c>
      <c r="E16" s="41"/>
      <c r="F16" s="9" t="str">
        <f aca="false">IF(AND(ISNUMBER(D16),ISNUMBER(E16),N(E16)&gt;0),D16/E16,"")</f>
        <v/>
      </c>
      <c r="G16" s="34" t="s">
        <v>113</v>
      </c>
      <c r="H16" s="10" t="s">
        <v>522</v>
      </c>
    </row>
    <row r="17" customFormat="false" ht="15" hidden="false" customHeight="false" outlineLevel="0" collapsed="false">
      <c r="A17" s="7" t="s">
        <v>531</v>
      </c>
      <c r="B17" s="7" t="s">
        <v>519</v>
      </c>
      <c r="C17" s="7" t="s">
        <v>520</v>
      </c>
      <c r="D17" s="8" t="n">
        <v>5800</v>
      </c>
      <c r="E17" s="41"/>
      <c r="F17" s="9" t="str">
        <f aca="false">IF(AND(ISNUMBER(D17),ISNUMBER(E17),N(E17)&gt;0),D17/E17,"")</f>
        <v/>
      </c>
      <c r="G17" s="34" t="s">
        <v>113</v>
      </c>
      <c r="H17" s="10" t="s">
        <v>522</v>
      </c>
    </row>
    <row r="18" customFormat="false" ht="15" hidden="false" customHeight="false" outlineLevel="0" collapsed="false">
      <c r="A18" s="7" t="s">
        <v>532</v>
      </c>
      <c r="B18" s="7" t="s">
        <v>519</v>
      </c>
      <c r="C18" s="7" t="s">
        <v>520</v>
      </c>
      <c r="D18" s="8" t="n">
        <v>7800</v>
      </c>
      <c r="E18" s="41"/>
      <c r="F18" s="9" t="str">
        <f aca="false">IF(AND(ISNUMBER(D18),ISNUMBER(E18),N(E18)&gt;0),D18/E18,"")</f>
        <v/>
      </c>
      <c r="G18" s="34" t="s">
        <v>113</v>
      </c>
      <c r="H18" s="10" t="s">
        <v>522</v>
      </c>
    </row>
    <row r="19" customFormat="false" ht="15" hidden="false" customHeight="false" outlineLevel="0" collapsed="false">
      <c r="A19" s="7" t="s">
        <v>533</v>
      </c>
      <c r="B19" s="7" t="s">
        <v>519</v>
      </c>
      <c r="C19" s="7" t="s">
        <v>520</v>
      </c>
      <c r="D19" s="8" t="n">
        <v>5600</v>
      </c>
      <c r="E19" s="41"/>
      <c r="F19" s="9" t="str">
        <f aca="false">IF(AND(ISNUMBER(D19),ISNUMBER(E19),N(E19)&gt;0),D19/E19,"")</f>
        <v/>
      </c>
      <c r="G19" s="34" t="s">
        <v>113</v>
      </c>
      <c r="H19" s="10" t="s">
        <v>522</v>
      </c>
    </row>
    <row r="20" customFormat="false" ht="15" hidden="false" customHeight="false" outlineLevel="0" collapsed="false">
      <c r="A20" s="7" t="s">
        <v>534</v>
      </c>
      <c r="B20" s="7" t="s">
        <v>519</v>
      </c>
      <c r="C20" s="7" t="s">
        <v>520</v>
      </c>
      <c r="D20" s="8" t="n">
        <v>5600</v>
      </c>
      <c r="E20" s="41"/>
      <c r="F20" s="9" t="str">
        <f aca="false">IF(AND(ISNUMBER(D20),ISNUMBER(E20),N(E20)&gt;0),D20/E20,"")</f>
        <v/>
      </c>
      <c r="G20" s="34" t="s">
        <v>113</v>
      </c>
      <c r="H20" s="10" t="s">
        <v>522</v>
      </c>
    </row>
    <row r="21" customFormat="false" ht="15" hidden="false" customHeight="false" outlineLevel="0" collapsed="false">
      <c r="A21" s="7" t="s">
        <v>535</v>
      </c>
      <c r="B21" s="7" t="s">
        <v>519</v>
      </c>
      <c r="C21" s="7" t="s">
        <v>520</v>
      </c>
      <c r="D21" s="8" t="n">
        <v>6200</v>
      </c>
      <c r="E21" s="41"/>
      <c r="F21" s="9" t="str">
        <f aca="false">IF(AND(ISNUMBER(D21),ISNUMBER(E21),N(E21)&gt;0),D21/E21,"")</f>
        <v/>
      </c>
      <c r="G21" s="34" t="s">
        <v>113</v>
      </c>
      <c r="H21" s="10" t="s">
        <v>522</v>
      </c>
    </row>
    <row r="22" customFormat="false" ht="15" hidden="false" customHeight="false" outlineLevel="0" collapsed="false">
      <c r="A22" s="7" t="s">
        <v>536</v>
      </c>
      <c r="B22" s="7" t="s">
        <v>519</v>
      </c>
      <c r="C22" s="7" t="s">
        <v>520</v>
      </c>
      <c r="D22" s="8" t="n">
        <v>2630</v>
      </c>
      <c r="E22" s="41"/>
      <c r="F22" s="9" t="str">
        <f aca="false">IF(AND(ISNUMBER(D22),ISNUMBER(E22),N(E22)&gt;0),D22/E22,"")</f>
        <v/>
      </c>
      <c r="G22" s="34" t="s">
        <v>113</v>
      </c>
      <c r="H22" s="10" t="s">
        <v>522</v>
      </c>
    </row>
    <row r="23" customFormat="false" ht="15" hidden="false" customHeight="false" outlineLevel="0" collapsed="false">
      <c r="A23" s="7" t="s">
        <v>158</v>
      </c>
      <c r="B23" s="7" t="s">
        <v>519</v>
      </c>
      <c r="C23" s="7" t="s">
        <v>520</v>
      </c>
      <c r="D23" s="8" t="n">
        <v>2750</v>
      </c>
      <c r="E23" s="41"/>
      <c r="F23" s="9" t="str">
        <f aca="false">IF(AND(ISNUMBER(D23),ISNUMBER(E23),N(E23)&gt;0),D23/E23,"")</f>
        <v/>
      </c>
      <c r="G23" s="34" t="s">
        <v>113</v>
      </c>
      <c r="H23" s="10" t="s">
        <v>522</v>
      </c>
    </row>
    <row r="24" customFormat="false" ht="15" hidden="false" customHeight="false" outlineLevel="0" collapsed="false">
      <c r="A24" s="7" t="s">
        <v>537</v>
      </c>
      <c r="B24" s="7" t="s">
        <v>519</v>
      </c>
      <c r="C24" s="7" t="s">
        <v>520</v>
      </c>
      <c r="D24" s="8" t="n">
        <v>2790</v>
      </c>
      <c r="E24" s="41"/>
      <c r="F24" s="9" t="str">
        <f aca="false">IF(AND(ISNUMBER(D24),ISNUMBER(E24),N(E24)&gt;0),D24/E24,"")</f>
        <v/>
      </c>
      <c r="G24" s="34" t="s">
        <v>113</v>
      </c>
      <c r="H24" s="10" t="s">
        <v>522</v>
      </c>
    </row>
    <row r="25" customFormat="false" ht="15" hidden="false" customHeight="false" outlineLevel="0" collapsed="false">
      <c r="A25" s="7" t="s">
        <v>538</v>
      </c>
      <c r="B25" s="7" t="s">
        <v>519</v>
      </c>
      <c r="C25" s="7" t="s">
        <v>520</v>
      </c>
      <c r="D25" s="8" t="n">
        <v>2390</v>
      </c>
      <c r="E25" s="41"/>
      <c r="F25" s="9" t="str">
        <f aca="false">IF(AND(ISNUMBER(D25),ISNUMBER(E25),N(E25)&gt;0),D25/E25,"")</f>
        <v/>
      </c>
      <c r="G25" s="34" t="s">
        <v>113</v>
      </c>
      <c r="H25" s="10" t="s">
        <v>522</v>
      </c>
    </row>
    <row r="26" customFormat="false" ht="15" hidden="false" customHeight="false" outlineLevel="0" collapsed="false">
      <c r="A26" s="7" t="s">
        <v>539</v>
      </c>
      <c r="B26" s="7" t="s">
        <v>519</v>
      </c>
      <c r="C26" s="7" t="s">
        <v>520</v>
      </c>
      <c r="D26" s="8" t="n">
        <v>2380</v>
      </c>
      <c r="E26" s="41"/>
      <c r="F26" s="9" t="str">
        <f aca="false">IF(AND(ISNUMBER(D26),ISNUMBER(E26),N(E26)&gt;0),D26/E26,"")</f>
        <v/>
      </c>
      <c r="G26" s="34" t="s">
        <v>113</v>
      </c>
      <c r="H26" s="10" t="s">
        <v>522</v>
      </c>
    </row>
    <row r="27" customFormat="false" ht="15" hidden="false" customHeight="false" outlineLevel="0" collapsed="false">
      <c r="A27" s="7" t="s">
        <v>540</v>
      </c>
      <c r="B27" s="7" t="s">
        <v>519</v>
      </c>
      <c r="C27" s="7" t="s">
        <v>520</v>
      </c>
      <c r="D27" s="8" t="n">
        <v>5900</v>
      </c>
      <c r="E27" s="41"/>
      <c r="F27" s="9" t="str">
        <f aca="false">IF(AND(ISNUMBER(D27),ISNUMBER(E27),N(E27)&gt;0),D27/E27,"")</f>
        <v/>
      </c>
      <c r="G27" s="34" t="s">
        <v>113</v>
      </c>
      <c r="H27" s="10" t="s">
        <v>522</v>
      </c>
    </row>
    <row r="28" customFormat="false" ht="15" hidden="false" customHeight="false" outlineLevel="0" collapsed="false">
      <c r="A28" s="7" t="s">
        <v>541</v>
      </c>
      <c r="B28" s="7" t="s">
        <v>519</v>
      </c>
      <c r="C28" s="7" t="s">
        <v>520</v>
      </c>
      <c r="D28" s="8" t="n">
        <v>4300</v>
      </c>
      <c r="E28" s="41"/>
      <c r="F28" s="9" t="str">
        <f aca="false">IF(AND(ISNUMBER(D28),ISNUMBER(E28),N(E28)&gt;0),D28/E28,"")</f>
        <v/>
      </c>
      <c r="G28" s="34" t="s">
        <v>113</v>
      </c>
      <c r="H28" s="10" t="s">
        <v>522</v>
      </c>
    </row>
    <row r="29" customFormat="false" ht="15" hidden="false" customHeight="false" outlineLevel="0" collapsed="false">
      <c r="A29" s="7" t="s">
        <v>217</v>
      </c>
      <c r="B29" s="7" t="s">
        <v>519</v>
      </c>
      <c r="C29" s="7" t="s">
        <v>520</v>
      </c>
      <c r="D29" s="8" t="n">
        <v>6996</v>
      </c>
      <c r="E29" s="41"/>
      <c r="F29" s="9" t="str">
        <f aca="false">IF(AND(ISNUMBER(D29),ISNUMBER(E29),N(E29)&gt;0),D29/E29,"")</f>
        <v/>
      </c>
      <c r="G29" s="34" t="s">
        <v>113</v>
      </c>
      <c r="H29" s="10" t="s">
        <v>522</v>
      </c>
    </row>
    <row r="30" customFormat="false" ht="15" hidden="false" customHeight="false" outlineLevel="0" collapsed="false">
      <c r="A30" s="7" t="s">
        <v>542</v>
      </c>
      <c r="B30" s="7" t="s">
        <v>519</v>
      </c>
      <c r="C30" s="7" t="s">
        <v>520</v>
      </c>
      <c r="D30" s="8" t="n">
        <v>2302</v>
      </c>
      <c r="E30" s="41"/>
      <c r="F30" s="9" t="str">
        <f aca="false">IF(AND(ISNUMBER(D30),ISNUMBER(E30),N(E30)&gt;0),D30/E30,"")</f>
        <v/>
      </c>
      <c r="G30" s="34" t="s">
        <v>113</v>
      </c>
      <c r="H30" s="10" t="s">
        <v>522</v>
      </c>
    </row>
    <row r="31" customFormat="false" ht="15" hidden="false" customHeight="false" outlineLevel="0" collapsed="false">
      <c r="A31" s="7" t="s">
        <v>152</v>
      </c>
      <c r="B31" s="7" t="s">
        <v>519</v>
      </c>
      <c r="C31" s="7" t="s">
        <v>520</v>
      </c>
      <c r="D31" s="8" t="n">
        <v>4244</v>
      </c>
      <c r="E31" s="41" t="n">
        <v>5.06</v>
      </c>
      <c r="F31" s="9" t="n">
        <f aca="false">IF(AND(ISNUMBER(D31),ISNUMBER(E31),N(E31)&gt;0),D31/E31,"")</f>
        <v>838.735177865613</v>
      </c>
      <c r="G31" s="34" t="s">
        <v>113</v>
      </c>
      <c r="H31" s="10"/>
    </row>
    <row r="32" customFormat="false" ht="15" hidden="false" customHeight="false" outlineLevel="0" collapsed="false">
      <c r="A32" s="7" t="s">
        <v>543</v>
      </c>
      <c r="B32" s="7" t="s">
        <v>519</v>
      </c>
      <c r="C32" s="7" t="s">
        <v>520</v>
      </c>
      <c r="D32" s="8" t="n">
        <v>4408</v>
      </c>
      <c r="E32" s="41" t="n">
        <v>4.3</v>
      </c>
      <c r="F32" s="9" t="n">
        <f aca="false">IF(AND(ISNUMBER(D32),ISNUMBER(E32),N(E32)&gt;0),D32/E32,"")</f>
        <v>1025.11627906977</v>
      </c>
      <c r="G32" s="34" t="s">
        <v>113</v>
      </c>
      <c r="H32" s="10"/>
    </row>
    <row r="33" customFormat="false" ht="15" hidden="false" customHeight="false" outlineLevel="0" collapsed="false">
      <c r="A33" s="7" t="s">
        <v>544</v>
      </c>
      <c r="B33" s="7" t="s">
        <v>519</v>
      </c>
      <c r="C33" s="7" t="s">
        <v>520</v>
      </c>
      <c r="D33" s="8" t="n">
        <v>4408</v>
      </c>
      <c r="E33" s="41" t="n">
        <v>3.94</v>
      </c>
      <c r="F33" s="9" t="n">
        <f aca="false">IF(AND(ISNUMBER(D33),ISNUMBER(E33),N(E33)&gt;0),D33/E33,"")</f>
        <v>1118.78172588833</v>
      </c>
      <c r="G33" s="34" t="s">
        <v>113</v>
      </c>
      <c r="H33" s="10"/>
    </row>
    <row r="34" customFormat="false" ht="15" hidden="false" customHeight="false" outlineLevel="0" collapsed="false">
      <c r="A34" s="7" t="s">
        <v>271</v>
      </c>
      <c r="B34" s="7" t="s">
        <v>519</v>
      </c>
      <c r="C34" s="7" t="s">
        <v>520</v>
      </c>
      <c r="D34" s="8"/>
      <c r="E34" s="41"/>
      <c r="F34" s="9" t="str">
        <f aca="false">IF(AND(ISNUMBER(D34),ISNUMBER(E34),N(E34)&gt;0),D34/E34,"")</f>
        <v/>
      </c>
      <c r="G34" s="34" t="s">
        <v>545</v>
      </c>
      <c r="H34" s="10" t="s">
        <v>522</v>
      </c>
    </row>
    <row r="35" customFormat="false" ht="22.35" hidden="false" customHeight="false" outlineLevel="0" collapsed="false">
      <c r="A35" s="7" t="s">
        <v>546</v>
      </c>
      <c r="B35" s="7" t="s">
        <v>519</v>
      </c>
      <c r="C35" s="7" t="s">
        <v>520</v>
      </c>
      <c r="D35" s="8" t="n">
        <v>6400</v>
      </c>
      <c r="E35" s="41"/>
      <c r="F35" s="9" t="str">
        <f aca="false">IF(AND(ISNUMBER(D35),ISNUMBER(E35),N(E35)&gt;0),D35/E35,"")</f>
        <v/>
      </c>
      <c r="G35" s="34" t="s">
        <v>113</v>
      </c>
      <c r="H35" s="10" t="s">
        <v>547</v>
      </c>
    </row>
    <row r="36" customFormat="false" ht="22.35" hidden="false" customHeight="false" outlineLevel="0" collapsed="false">
      <c r="A36" s="7" t="s">
        <v>548</v>
      </c>
      <c r="B36" s="7" t="s">
        <v>519</v>
      </c>
      <c r="C36" s="7" t="s">
        <v>520</v>
      </c>
      <c r="D36" s="8" t="n">
        <v>2975</v>
      </c>
      <c r="E36" s="41"/>
      <c r="F36" s="9" t="str">
        <f aca="false">IF(AND(ISNUMBER(D36),ISNUMBER(E36),N(E36)&gt;0),D36/E36,"")</f>
        <v/>
      </c>
      <c r="G36" s="34" t="s">
        <v>113</v>
      </c>
      <c r="H36" s="10" t="s">
        <v>547</v>
      </c>
    </row>
    <row r="37" customFormat="false" ht="22.35" hidden="false" customHeight="false" outlineLevel="0" collapsed="false">
      <c r="A37" s="7" t="s">
        <v>549</v>
      </c>
      <c r="B37" s="7" t="s">
        <v>519</v>
      </c>
      <c r="C37" s="7" t="s">
        <v>520</v>
      </c>
      <c r="D37" s="8" t="n">
        <v>8590</v>
      </c>
      <c r="E37" s="41"/>
      <c r="F37" s="9" t="str">
        <f aca="false">IF(AND(ISNUMBER(D37),ISNUMBER(E37),N(E37)&gt;0),D37/E37,"")</f>
        <v/>
      </c>
      <c r="G37" s="34" t="s">
        <v>113</v>
      </c>
      <c r="H37" s="10" t="s">
        <v>547</v>
      </c>
    </row>
    <row r="38" customFormat="false" ht="15" hidden="false" customHeight="false" outlineLevel="0" collapsed="false">
      <c r="A38" s="7" t="s">
        <v>550</v>
      </c>
      <c r="B38" s="7" t="s">
        <v>307</v>
      </c>
      <c r="C38" s="7" t="s">
        <v>551</v>
      </c>
      <c r="D38" s="8" t="n">
        <v>350</v>
      </c>
      <c r="E38" s="48"/>
      <c r="F38" s="49" t="str">
        <f aca="false">"—"</f>
        <v>—</v>
      </c>
      <c r="G38" s="34" t="s">
        <v>113</v>
      </c>
      <c r="H38" s="10" t="s">
        <v>552</v>
      </c>
    </row>
    <row r="39" customFormat="false" ht="15" hidden="false" customHeight="false" outlineLevel="0" collapsed="false">
      <c r="A39" s="7" t="s">
        <v>553</v>
      </c>
      <c r="B39" s="7" t="s">
        <v>307</v>
      </c>
      <c r="C39" s="7" t="s">
        <v>551</v>
      </c>
      <c r="D39" s="8" t="n">
        <v>8500</v>
      </c>
      <c r="E39" s="48"/>
      <c r="F39" s="49" t="str">
        <f aca="false">"—"</f>
        <v>—</v>
      </c>
      <c r="G39" s="34" t="s">
        <v>113</v>
      </c>
      <c r="H39" s="10" t="s">
        <v>554</v>
      </c>
    </row>
    <row r="40" customFormat="false" ht="15" hidden="false" customHeight="false" outlineLevel="0" collapsed="false">
      <c r="A40" s="7" t="s">
        <v>555</v>
      </c>
      <c r="B40" s="7" t="s">
        <v>307</v>
      </c>
      <c r="C40" s="7" t="s">
        <v>551</v>
      </c>
      <c r="D40" s="8" t="n">
        <v>150</v>
      </c>
      <c r="E40" s="48"/>
      <c r="F40" s="49" t="str">
        <f aca="false">"—"</f>
        <v>—</v>
      </c>
      <c r="G40" s="34" t="s">
        <v>113</v>
      </c>
      <c r="H40" s="10" t="s">
        <v>552</v>
      </c>
    </row>
    <row r="41" customFormat="false" ht="15" hidden="false" customHeight="false" outlineLevel="0" collapsed="false">
      <c r="A41" s="7" t="s">
        <v>556</v>
      </c>
      <c r="B41" s="7" t="s">
        <v>307</v>
      </c>
      <c r="C41" s="7" t="s">
        <v>551</v>
      </c>
      <c r="D41" s="8" t="n">
        <v>80</v>
      </c>
      <c r="E41" s="48"/>
      <c r="F41" s="49" t="str">
        <f aca="false">"—"</f>
        <v>—</v>
      </c>
      <c r="G41" s="34" t="s">
        <v>113</v>
      </c>
      <c r="H41" s="10" t="s">
        <v>552</v>
      </c>
    </row>
    <row r="42" customFormat="false" ht="15" hidden="false" customHeight="false" outlineLevel="0" collapsed="false">
      <c r="A42" s="7" t="s">
        <v>557</v>
      </c>
      <c r="B42" s="7" t="s">
        <v>307</v>
      </c>
      <c r="C42" s="7" t="s">
        <v>551</v>
      </c>
      <c r="D42" s="8" t="n">
        <v>65</v>
      </c>
      <c r="E42" s="48"/>
      <c r="F42" s="49" t="str">
        <f aca="false">"—"</f>
        <v>—</v>
      </c>
      <c r="G42" s="34" t="s">
        <v>113</v>
      </c>
      <c r="H42" s="10"/>
    </row>
    <row r="43" customFormat="false" ht="15" hidden="false" customHeight="false" outlineLevel="0" collapsed="false">
      <c r="A43" s="7" t="s">
        <v>558</v>
      </c>
      <c r="B43" s="7" t="s">
        <v>307</v>
      </c>
      <c r="C43" s="7" t="s">
        <v>551</v>
      </c>
      <c r="D43" s="8" t="n">
        <v>600</v>
      </c>
      <c r="E43" s="48"/>
      <c r="F43" s="49" t="str">
        <f aca="false">"—"</f>
        <v>—</v>
      </c>
      <c r="G43" s="34" t="s">
        <v>113</v>
      </c>
      <c r="H43" s="10" t="s">
        <v>552</v>
      </c>
    </row>
    <row r="44" customFormat="false" ht="15" hidden="false" customHeight="false" outlineLevel="0" collapsed="false">
      <c r="A44" s="7" t="s">
        <v>559</v>
      </c>
      <c r="B44" s="7" t="s">
        <v>307</v>
      </c>
      <c r="C44" s="7" t="s">
        <v>551</v>
      </c>
      <c r="D44" s="8" t="n">
        <v>200</v>
      </c>
      <c r="E44" s="48"/>
      <c r="F44" s="49" t="str">
        <f aca="false">"—"</f>
        <v>—</v>
      </c>
      <c r="G44" s="34" t="s">
        <v>113</v>
      </c>
      <c r="H44" s="10" t="s">
        <v>552</v>
      </c>
    </row>
    <row r="45" customFormat="false" ht="15" hidden="false" customHeight="false" outlineLevel="0" collapsed="false">
      <c r="A45" s="7" t="s">
        <v>560</v>
      </c>
      <c r="B45" s="7" t="s">
        <v>307</v>
      </c>
      <c r="C45" s="7" t="s">
        <v>551</v>
      </c>
      <c r="D45" s="8" t="n">
        <v>5454</v>
      </c>
      <c r="E45" s="48"/>
      <c r="F45" s="49" t="str">
        <f aca="false">"—"</f>
        <v>—</v>
      </c>
      <c r="G45" s="34" t="s">
        <v>113</v>
      </c>
      <c r="H45" s="10"/>
    </row>
    <row r="46" customFormat="false" ht="15" hidden="false" customHeight="false" outlineLevel="0" collapsed="false">
      <c r="A46" s="7" t="s">
        <v>561</v>
      </c>
      <c r="B46" s="7" t="s">
        <v>307</v>
      </c>
      <c r="C46" s="7" t="s">
        <v>551</v>
      </c>
      <c r="D46" s="8" t="n">
        <v>900</v>
      </c>
      <c r="E46" s="48"/>
      <c r="F46" s="49" t="str">
        <f aca="false">"—"</f>
        <v>—</v>
      </c>
      <c r="G46" s="34" t="s">
        <v>113</v>
      </c>
      <c r="H46" s="10" t="s">
        <v>552</v>
      </c>
    </row>
    <row r="47" customFormat="false" ht="15" hidden="false" customHeight="false" outlineLevel="0" collapsed="false">
      <c r="A47" s="7" t="s">
        <v>562</v>
      </c>
      <c r="B47" s="7" t="s">
        <v>307</v>
      </c>
      <c r="C47" s="7" t="s">
        <v>551</v>
      </c>
      <c r="D47" s="8" t="n">
        <v>400</v>
      </c>
      <c r="E47" s="48"/>
      <c r="F47" s="49" t="str">
        <f aca="false">"—"</f>
        <v>—</v>
      </c>
      <c r="G47" s="34" t="s">
        <v>113</v>
      </c>
      <c r="H47" s="10" t="s">
        <v>552</v>
      </c>
    </row>
    <row r="48" customFormat="false" ht="15" hidden="false" customHeight="false" outlineLevel="0" collapsed="false">
      <c r="A48" s="46"/>
      <c r="B48" s="46"/>
      <c r="C48" s="46"/>
      <c r="D48" s="8"/>
      <c r="E48" s="41"/>
      <c r="F48" s="9" t="str">
        <f aca="false">IF(AND(ISNUMBER(D48),ISNUMBER(E48),N(E48)&gt;0),D48/E48,"")</f>
        <v/>
      </c>
      <c r="G48" s="34"/>
    </row>
    <row r="49" customFormat="false" ht="15" hidden="false" customHeight="false" outlineLevel="0" collapsed="false">
      <c r="A49" s="46"/>
      <c r="B49" s="46"/>
      <c r="C49" s="46"/>
      <c r="D49" s="8"/>
      <c r="E49" s="41"/>
      <c r="F49" s="9" t="str">
        <f aca="false">IF(AND(ISNUMBER(D49),ISNUMBER(E49),N(E49)&gt;0),D49/E49,"")</f>
        <v/>
      </c>
      <c r="G49" s="34"/>
    </row>
    <row r="50" customFormat="false" ht="15" hidden="false" customHeight="false" outlineLevel="0" collapsed="false">
      <c r="A50" s="46"/>
      <c r="B50" s="46"/>
      <c r="C50" s="46"/>
      <c r="D50" s="8"/>
      <c r="E50" s="41"/>
      <c r="F50" s="9" t="str">
        <f aca="false">IF(AND(ISNUMBER(D50),ISNUMBER(E50),N(E50)&gt;0),D50/E50,"")</f>
        <v/>
      </c>
      <c r="G50" s="34"/>
    </row>
    <row r="51" customFormat="false" ht="15" hidden="false" customHeight="false" outlineLevel="0" collapsed="false">
      <c r="A51" s="46"/>
      <c r="B51" s="46"/>
      <c r="C51" s="46"/>
      <c r="D51" s="8"/>
      <c r="E51" s="41"/>
      <c r="F51" s="9" t="str">
        <f aca="false">IF(AND(ISNUMBER(D51),ISNUMBER(E51),N(E51)&gt;0),D51/E51,"")</f>
        <v/>
      </c>
      <c r="G51" s="34"/>
    </row>
    <row r="52" customFormat="false" ht="15" hidden="false" customHeight="false" outlineLevel="0" collapsed="false">
      <c r="A52" s="46"/>
      <c r="B52" s="46"/>
      <c r="C52" s="46"/>
      <c r="D52" s="8"/>
      <c r="E52" s="41"/>
      <c r="F52" s="9" t="str">
        <f aca="false">IF(AND(ISNUMBER(D52),ISNUMBER(E52),N(E52)&gt;0),D52/E52,"")</f>
        <v/>
      </c>
      <c r="G52" s="34"/>
    </row>
    <row r="53" customFormat="false" ht="15" hidden="false" customHeight="false" outlineLevel="0" collapsed="false">
      <c r="A53" s="46"/>
      <c r="B53" s="46"/>
      <c r="C53" s="46"/>
      <c r="D53" s="8"/>
      <c r="E53" s="41"/>
      <c r="F53" s="9" t="str">
        <f aca="false">IF(AND(ISNUMBER(D53),ISNUMBER(E53),N(E53)&gt;0),D53/E53,"")</f>
        <v/>
      </c>
      <c r="G53" s="34"/>
    </row>
    <row r="54" customFormat="false" ht="15" hidden="false" customHeight="false" outlineLevel="0" collapsed="false">
      <c r="A54" s="46"/>
      <c r="B54" s="46"/>
      <c r="C54" s="46"/>
      <c r="D54" s="8"/>
      <c r="E54" s="41"/>
      <c r="F54" s="9" t="str">
        <f aca="false">IF(AND(ISNUMBER(D54),ISNUMBER(E54),N(E54)&gt;0),D54/E54,"")</f>
        <v/>
      </c>
      <c r="G54" s="34"/>
    </row>
    <row r="55" customFormat="false" ht="15" hidden="false" customHeight="false" outlineLevel="0" collapsed="false">
      <c r="A55" s="46"/>
      <c r="B55" s="46"/>
      <c r="C55" s="46"/>
      <c r="D55" s="8"/>
      <c r="E55" s="41"/>
      <c r="F55" s="9" t="str">
        <f aca="false">IF(AND(ISNUMBER(D55),ISNUMBER(E55),N(E55)&gt;0),D55/E55,"")</f>
        <v/>
      </c>
      <c r="G55" s="34"/>
    </row>
    <row r="56" customFormat="false" ht="15" hidden="false" customHeight="false" outlineLevel="0" collapsed="false">
      <c r="A56" s="46"/>
      <c r="B56" s="46"/>
      <c r="C56" s="46"/>
      <c r="D56" s="8"/>
      <c r="E56" s="41"/>
      <c r="F56" s="9" t="str">
        <f aca="false">IF(AND(ISNUMBER(D56),ISNUMBER(E56),N(E56)&gt;0),D56/E56,"")</f>
        <v/>
      </c>
      <c r="G56" s="34"/>
    </row>
    <row r="57" customFormat="false" ht="15" hidden="false" customHeight="false" outlineLevel="0" collapsed="false">
      <c r="A57" s="46"/>
      <c r="B57" s="46"/>
      <c r="C57" s="46"/>
      <c r="D57" s="8"/>
      <c r="E57" s="41"/>
      <c r="F57" s="9" t="str">
        <f aca="false">IF(AND(ISNUMBER(D57),ISNUMBER(E57),N(E57)&gt;0),D57/E57,"")</f>
        <v/>
      </c>
      <c r="G57" s="34"/>
    </row>
    <row r="58" customFormat="false" ht="15" hidden="false" customHeight="false" outlineLevel="0" collapsed="false">
      <c r="A58" s="46"/>
      <c r="B58" s="46"/>
      <c r="C58" s="46"/>
      <c r="D58" s="8"/>
      <c r="E58" s="41"/>
      <c r="F58" s="9" t="str">
        <f aca="false">IF(AND(ISNUMBER(D58),ISNUMBER(E58),N(E58)&gt;0),D58/E58,"")</f>
        <v/>
      </c>
      <c r="G58" s="34"/>
    </row>
    <row r="59" customFormat="false" ht="15" hidden="false" customHeight="false" outlineLevel="0" collapsed="false">
      <c r="A59" s="46"/>
      <c r="B59" s="46"/>
      <c r="C59" s="46"/>
      <c r="D59" s="8"/>
      <c r="E59" s="41"/>
      <c r="F59" s="9" t="str">
        <f aca="false">IF(AND(ISNUMBER(D59),ISNUMBER(E59),N(E59)&gt;0),D59/E59,"")</f>
        <v/>
      </c>
      <c r="G59" s="34"/>
    </row>
    <row r="60" customFormat="false" ht="15" hidden="false" customHeight="false" outlineLevel="0" collapsed="false">
      <c r="A60" s="46"/>
      <c r="B60" s="46"/>
      <c r="C60" s="46"/>
      <c r="D60" s="8"/>
      <c r="E60" s="41"/>
      <c r="F60" s="9" t="str">
        <f aca="false">IF(AND(ISNUMBER(D60),ISNUMBER(E60),N(E60)&gt;0),D60/E60,"")</f>
        <v/>
      </c>
      <c r="G60" s="34"/>
    </row>
    <row r="61" customFormat="false" ht="15" hidden="false" customHeight="false" outlineLevel="0" collapsed="false">
      <c r="A61" s="46"/>
      <c r="B61" s="46"/>
      <c r="C61" s="46"/>
      <c r="D61" s="8"/>
      <c r="E61" s="41"/>
      <c r="F61" s="9" t="str">
        <f aca="false">IF(AND(ISNUMBER(D61),ISNUMBER(E61),N(E61)&gt;0),D61/E61,"")</f>
        <v/>
      </c>
      <c r="G61" s="34"/>
    </row>
    <row r="62" customFormat="false" ht="15" hidden="false" customHeight="false" outlineLevel="0" collapsed="false">
      <c r="A62" s="46"/>
      <c r="B62" s="46"/>
      <c r="C62" s="46"/>
      <c r="D62" s="8"/>
      <c r="E62" s="41"/>
      <c r="F62" s="9" t="str">
        <f aca="false">IF(AND(ISNUMBER(D62),ISNUMBER(E62),N(E62)&gt;0),D62/E62,"")</f>
        <v/>
      </c>
      <c r="G62" s="34"/>
    </row>
    <row r="63" customFormat="false" ht="15" hidden="false" customHeight="false" outlineLevel="0" collapsed="false">
      <c r="A63" s="46"/>
      <c r="B63" s="46"/>
      <c r="C63" s="46"/>
      <c r="D63" s="8"/>
      <c r="E63" s="41"/>
      <c r="F63" s="9" t="str">
        <f aca="false">IF(AND(ISNUMBER(D63),ISNUMBER(E63),N(E63)&gt;0),D63/E63,"")</f>
        <v/>
      </c>
      <c r="G63" s="34"/>
    </row>
    <row r="64" customFormat="false" ht="15" hidden="false" customHeight="false" outlineLevel="0" collapsed="false">
      <c r="A64" s="46"/>
      <c r="B64" s="46"/>
      <c r="C64" s="46"/>
      <c r="D64" s="8"/>
      <c r="E64" s="41"/>
      <c r="F64" s="9" t="str">
        <f aca="false">IF(AND(ISNUMBER(D64),ISNUMBER(E64),N(E64)&gt;0),D64/E64,"")</f>
        <v/>
      </c>
      <c r="G64" s="34"/>
    </row>
    <row r="65" customFormat="false" ht="15" hidden="false" customHeight="false" outlineLevel="0" collapsed="false">
      <c r="A65" s="46"/>
      <c r="B65" s="46"/>
      <c r="C65" s="46"/>
      <c r="D65" s="8"/>
      <c r="E65" s="41"/>
      <c r="F65" s="9" t="str">
        <f aca="false">IF(AND(ISNUMBER(D65),ISNUMBER(E65),N(E65)&gt;0),D65/E65,"")</f>
        <v/>
      </c>
      <c r="G65" s="34"/>
    </row>
    <row r="66" customFormat="false" ht="15" hidden="false" customHeight="false" outlineLevel="0" collapsed="false">
      <c r="A66" s="46"/>
      <c r="B66" s="46"/>
      <c r="C66" s="46"/>
      <c r="D66" s="8"/>
      <c r="E66" s="41"/>
      <c r="F66" s="9" t="str">
        <f aca="false">IF(AND(ISNUMBER(D66),ISNUMBER(E66),N(E66)&gt;0),D66/E66,"")</f>
        <v/>
      </c>
      <c r="G66" s="34"/>
    </row>
    <row r="67" customFormat="false" ht="15" hidden="false" customHeight="false" outlineLevel="0" collapsed="false">
      <c r="A67" s="46"/>
      <c r="B67" s="46"/>
      <c r="C67" s="46"/>
      <c r="D67" s="8"/>
      <c r="E67" s="41"/>
      <c r="F67" s="9" t="str">
        <f aca="false">IF(AND(ISNUMBER(D67),ISNUMBER(E67),N(E67)&gt;0),D67/E67,"")</f>
        <v/>
      </c>
      <c r="G67" s="34"/>
    </row>
    <row r="68" customFormat="false" ht="15" hidden="false" customHeight="false" outlineLevel="0" collapsed="false">
      <c r="A68" s="46"/>
      <c r="B68" s="46"/>
      <c r="C68" s="46"/>
      <c r="D68" s="8"/>
      <c r="E68" s="41"/>
      <c r="F68" s="9" t="str">
        <f aca="false">IF(AND(ISNUMBER(D68),ISNUMBER(E68),N(E68)&gt;0),D68/E68,"")</f>
        <v/>
      </c>
      <c r="G68" s="34"/>
    </row>
    <row r="69" customFormat="false" ht="15" hidden="false" customHeight="false" outlineLevel="0" collapsed="false">
      <c r="A69" s="46"/>
      <c r="B69" s="46"/>
      <c r="C69" s="46"/>
      <c r="D69" s="8"/>
      <c r="E69" s="41"/>
      <c r="F69" s="9" t="str">
        <f aca="false">IF(AND(ISNUMBER(D69),ISNUMBER(E69),N(E69)&gt;0),D69/E69,"")</f>
        <v/>
      </c>
      <c r="G69" s="34"/>
    </row>
    <row r="70" customFormat="false" ht="15" hidden="false" customHeight="false" outlineLevel="0" collapsed="false">
      <c r="A70" s="46"/>
      <c r="B70" s="46"/>
      <c r="C70" s="46"/>
      <c r="D70" s="8"/>
      <c r="E70" s="41"/>
      <c r="F70" s="9" t="str">
        <f aca="false">IF(AND(ISNUMBER(D70),ISNUMBER(E70),N(E70)&gt;0),D70/E70,"")</f>
        <v/>
      </c>
      <c r="G70" s="34"/>
    </row>
    <row r="71" customFormat="false" ht="15" hidden="false" customHeight="false" outlineLevel="0" collapsed="false">
      <c r="A71" s="46"/>
      <c r="B71" s="46"/>
      <c r="C71" s="46"/>
      <c r="D71" s="8"/>
      <c r="E71" s="41"/>
      <c r="F71" s="9" t="str">
        <f aca="false">IF(AND(ISNUMBER(D71),ISNUMBER(E71),N(E71)&gt;0),D71/E71,"")</f>
        <v/>
      </c>
      <c r="G71" s="34"/>
    </row>
    <row r="72" customFormat="false" ht="15" hidden="false" customHeight="false" outlineLevel="0" collapsed="false">
      <c r="A72" s="46"/>
      <c r="B72" s="46"/>
      <c r="C72" s="46"/>
      <c r="D72" s="8"/>
      <c r="E72" s="41"/>
      <c r="F72" s="9" t="str">
        <f aca="false">IF(AND(ISNUMBER(D72),ISNUMBER(E72),N(E72)&gt;0),D72/E72,"")</f>
        <v/>
      </c>
      <c r="G72" s="34"/>
    </row>
    <row r="73" customFormat="false" ht="15" hidden="false" customHeight="false" outlineLevel="0" collapsed="false">
      <c r="A73" s="46"/>
      <c r="B73" s="46"/>
      <c r="C73" s="46"/>
      <c r="D73" s="8"/>
      <c r="E73" s="41"/>
      <c r="F73" s="9" t="str">
        <f aca="false">IF(AND(ISNUMBER(D73),ISNUMBER(E73),N(E73)&gt;0),D73/E73,"")</f>
        <v/>
      </c>
      <c r="G73" s="34"/>
    </row>
    <row r="74" customFormat="false" ht="15" hidden="false" customHeight="false" outlineLevel="0" collapsed="false">
      <c r="A74" s="46"/>
      <c r="B74" s="46"/>
      <c r="C74" s="46"/>
      <c r="D74" s="8"/>
      <c r="E74" s="41"/>
      <c r="F74" s="9" t="str">
        <f aca="false">IF(AND(ISNUMBER(D74),ISNUMBER(E74),N(E74)&gt;0),D74/E74,"")</f>
        <v/>
      </c>
      <c r="G74" s="34"/>
    </row>
    <row r="75" customFormat="false" ht="15" hidden="false" customHeight="false" outlineLevel="0" collapsed="false">
      <c r="A75" s="46"/>
      <c r="B75" s="46"/>
      <c r="C75" s="46"/>
      <c r="D75" s="8"/>
      <c r="E75" s="41"/>
      <c r="F75" s="9" t="str">
        <f aca="false">IF(AND(ISNUMBER(D75),ISNUMBER(E75),N(E75)&gt;0),D75/E75,"")</f>
        <v/>
      </c>
      <c r="G75" s="34"/>
    </row>
    <row r="76" customFormat="false" ht="15" hidden="false" customHeight="false" outlineLevel="0" collapsed="false">
      <c r="A76" s="46"/>
      <c r="B76" s="46"/>
      <c r="C76" s="46"/>
      <c r="D76" s="8"/>
      <c r="E76" s="41"/>
      <c r="F76" s="9" t="str">
        <f aca="false">IF(AND(ISNUMBER(D76),ISNUMBER(E76),N(E76)&gt;0),D76/E76,"")</f>
        <v/>
      </c>
      <c r="G76" s="34"/>
    </row>
    <row r="77" customFormat="false" ht="15" hidden="false" customHeight="false" outlineLevel="0" collapsed="false">
      <c r="A77" s="46"/>
      <c r="B77" s="46"/>
      <c r="C77" s="46"/>
      <c r="D77" s="8"/>
      <c r="E77" s="41"/>
      <c r="F77" s="9" t="str">
        <f aca="false">IF(AND(ISNUMBER(D77),ISNUMBER(E77),N(E77)&gt;0),D77/E77,"")</f>
        <v/>
      </c>
      <c r="G77" s="34"/>
    </row>
    <row r="78" customFormat="false" ht="15" hidden="false" customHeight="false" outlineLevel="0" collapsed="false">
      <c r="A78" s="46"/>
      <c r="B78" s="46"/>
      <c r="C78" s="46"/>
      <c r="D78" s="8"/>
      <c r="E78" s="41"/>
      <c r="F78" s="9" t="str">
        <f aca="false">IF(AND(ISNUMBER(D78),ISNUMBER(E78),N(E78)&gt;0),D78/E78,"")</f>
        <v/>
      </c>
      <c r="G78" s="34"/>
    </row>
    <row r="79" customFormat="false" ht="15" hidden="false" customHeight="false" outlineLevel="0" collapsed="false">
      <c r="A79" s="46"/>
      <c r="B79" s="46"/>
      <c r="C79" s="46"/>
      <c r="D79" s="8"/>
      <c r="E79" s="41"/>
      <c r="F79" s="9" t="str">
        <f aca="false">IF(AND(ISNUMBER(D79),ISNUMBER(E79),N(E79)&gt;0),D79/E79,"")</f>
        <v/>
      </c>
      <c r="G79" s="34"/>
    </row>
    <row r="80" customFormat="false" ht="15" hidden="false" customHeight="false" outlineLevel="0" collapsed="false">
      <c r="A80" s="46"/>
      <c r="B80" s="46"/>
      <c r="C80" s="46"/>
      <c r="D80" s="8"/>
      <c r="E80" s="41"/>
      <c r="F80" s="9" t="str">
        <f aca="false">IF(AND(ISNUMBER(D80),ISNUMBER(E80),N(E80)&gt;0),D80/E80,"")</f>
        <v/>
      </c>
      <c r="G80" s="34"/>
    </row>
    <row r="81" customFormat="false" ht="15" hidden="false" customHeight="false" outlineLevel="0" collapsed="false">
      <c r="A81" s="46"/>
      <c r="B81" s="46"/>
      <c r="C81" s="46"/>
      <c r="D81" s="8"/>
      <c r="E81" s="41"/>
      <c r="F81" s="9" t="str">
        <f aca="false">IF(AND(ISNUMBER(D81),ISNUMBER(E81),N(E81)&gt;0),D81/E81,"")</f>
        <v/>
      </c>
      <c r="G81" s="34"/>
    </row>
    <row r="82" customFormat="false" ht="15" hidden="false" customHeight="false" outlineLevel="0" collapsed="false">
      <c r="A82" s="46"/>
      <c r="B82" s="46"/>
      <c r="C82" s="46"/>
      <c r="D82" s="8"/>
      <c r="E82" s="41"/>
      <c r="F82" s="9" t="str">
        <f aca="false">IF(AND(ISNUMBER(D82),ISNUMBER(E82),N(E82)&gt;0),D82/E82,"")</f>
        <v/>
      </c>
      <c r="G82" s="34"/>
    </row>
    <row r="83" customFormat="false" ht="15" hidden="false" customHeight="false" outlineLevel="0" collapsed="false">
      <c r="A83" s="46"/>
      <c r="B83" s="46"/>
      <c r="C83" s="46"/>
      <c r="D83" s="8"/>
      <c r="E83" s="41"/>
      <c r="F83" s="9" t="str">
        <f aca="false">IF(AND(ISNUMBER(D83),ISNUMBER(E83),N(E83)&gt;0),D83/E83,"")</f>
        <v/>
      </c>
      <c r="G83" s="34"/>
    </row>
    <row r="84" customFormat="false" ht="15" hidden="false" customHeight="false" outlineLevel="0" collapsed="false">
      <c r="A84" s="46"/>
      <c r="B84" s="46"/>
      <c r="C84" s="46"/>
      <c r="D84" s="8"/>
      <c r="E84" s="41"/>
      <c r="F84" s="9" t="str">
        <f aca="false">IF(AND(ISNUMBER(D84),ISNUMBER(E84),N(E84)&gt;0),D84/E84,"")</f>
        <v/>
      </c>
      <c r="G84" s="34"/>
    </row>
    <row r="85" customFormat="false" ht="15" hidden="false" customHeight="false" outlineLevel="0" collapsed="false">
      <c r="A85" s="46"/>
      <c r="B85" s="46"/>
      <c r="C85" s="46"/>
      <c r="D85" s="8"/>
      <c r="E85" s="41"/>
      <c r="F85" s="9" t="str">
        <f aca="false">IF(AND(ISNUMBER(D85),ISNUMBER(E85),N(E85)&gt;0),D85/E85,"")</f>
        <v/>
      </c>
      <c r="G85" s="34"/>
    </row>
    <row r="86" customFormat="false" ht="15" hidden="false" customHeight="false" outlineLevel="0" collapsed="false">
      <c r="A86" s="46"/>
      <c r="B86" s="46"/>
      <c r="C86" s="46"/>
      <c r="D86" s="8"/>
      <c r="E86" s="41"/>
      <c r="F86" s="9" t="str">
        <f aca="false">IF(AND(ISNUMBER(D86),ISNUMBER(E86),N(E86)&gt;0),D86/E86,"")</f>
        <v/>
      </c>
      <c r="G86" s="34"/>
    </row>
    <row r="87" customFormat="false" ht="15" hidden="false" customHeight="false" outlineLevel="0" collapsed="false">
      <c r="A87" s="46"/>
      <c r="B87" s="46"/>
      <c r="C87" s="46"/>
      <c r="D87" s="8"/>
      <c r="E87" s="41"/>
      <c r="F87" s="9" t="str">
        <f aca="false">IF(AND(ISNUMBER(D87),ISNUMBER(E87),N(E87)&gt;0),D87/E87,"")</f>
        <v/>
      </c>
      <c r="G87" s="34"/>
    </row>
    <row r="88" customFormat="false" ht="15" hidden="false" customHeight="false" outlineLevel="0" collapsed="false">
      <c r="A88" s="46"/>
      <c r="B88" s="46"/>
      <c r="C88" s="46"/>
      <c r="D88" s="8"/>
      <c r="E88" s="41"/>
      <c r="F88" s="9" t="str">
        <f aca="false">IF(AND(ISNUMBER(D88),ISNUMBER(E88),N(E88)&gt;0),D88/E88,"")</f>
        <v/>
      </c>
      <c r="G88" s="34"/>
    </row>
    <row r="89" customFormat="false" ht="15" hidden="false" customHeight="false" outlineLevel="0" collapsed="false">
      <c r="A89" s="46"/>
      <c r="B89" s="46"/>
      <c r="C89" s="46"/>
      <c r="D89" s="8"/>
      <c r="E89" s="41"/>
      <c r="F89" s="9" t="str">
        <f aca="false">IF(AND(ISNUMBER(D89),ISNUMBER(E89),N(E89)&gt;0),D89/E89,"")</f>
        <v/>
      </c>
      <c r="G89" s="34"/>
    </row>
    <row r="90" customFormat="false" ht="15" hidden="false" customHeight="false" outlineLevel="0" collapsed="false">
      <c r="A90" s="46"/>
      <c r="B90" s="46"/>
      <c r="C90" s="46"/>
      <c r="D90" s="8"/>
      <c r="E90" s="41"/>
      <c r="F90" s="9" t="str">
        <f aca="false">IF(AND(ISNUMBER(D90),ISNUMBER(E90),N(E90)&gt;0),D90/E90,"")</f>
        <v/>
      </c>
      <c r="G90" s="34"/>
    </row>
    <row r="91" customFormat="false" ht="15" hidden="false" customHeight="false" outlineLevel="0" collapsed="false">
      <c r="A91" s="46"/>
      <c r="B91" s="46"/>
      <c r="C91" s="46"/>
      <c r="D91" s="8"/>
      <c r="E91" s="41"/>
      <c r="F91" s="9" t="str">
        <f aca="false">IF(AND(ISNUMBER(D91),ISNUMBER(E91),N(E91)&gt;0),D91/E91,"")</f>
        <v/>
      </c>
      <c r="G91" s="34"/>
    </row>
    <row r="92" customFormat="false" ht="15" hidden="false" customHeight="false" outlineLevel="0" collapsed="false">
      <c r="A92" s="46"/>
      <c r="B92" s="46"/>
      <c r="C92" s="46"/>
      <c r="D92" s="8"/>
      <c r="E92" s="41"/>
      <c r="F92" s="9" t="str">
        <f aca="false">IF(AND(ISNUMBER(D92),ISNUMBER(E92),N(E92)&gt;0),D92/E92,"")</f>
        <v/>
      </c>
      <c r="G92" s="34"/>
    </row>
    <row r="93" customFormat="false" ht="15" hidden="false" customHeight="false" outlineLevel="0" collapsed="false">
      <c r="A93" s="46"/>
      <c r="B93" s="46"/>
      <c r="C93" s="46"/>
      <c r="D93" s="8"/>
      <c r="E93" s="41"/>
      <c r="F93" s="9" t="str">
        <f aca="false">IF(AND(ISNUMBER(D93),ISNUMBER(E93),N(E93)&gt;0),D93/E93,"")</f>
        <v/>
      </c>
      <c r="G93" s="34"/>
    </row>
    <row r="94" customFormat="false" ht="15" hidden="false" customHeight="false" outlineLevel="0" collapsed="false">
      <c r="A94" s="46"/>
      <c r="B94" s="46"/>
      <c r="C94" s="46"/>
      <c r="D94" s="8"/>
      <c r="E94" s="41"/>
      <c r="F94" s="9" t="str">
        <f aca="false">IF(AND(ISNUMBER(D94),ISNUMBER(E94),N(E94)&gt;0),D94/E94,"")</f>
        <v/>
      </c>
      <c r="G94" s="34"/>
    </row>
    <row r="95" customFormat="false" ht="15" hidden="false" customHeight="false" outlineLevel="0" collapsed="false">
      <c r="A95" s="46"/>
      <c r="B95" s="46"/>
      <c r="C95" s="46"/>
      <c r="D95" s="8"/>
      <c r="E95" s="41"/>
      <c r="F95" s="9" t="str">
        <f aca="false">IF(AND(ISNUMBER(D95),ISNUMBER(E95),N(E95)&gt;0),D95/E95,"")</f>
        <v/>
      </c>
      <c r="G95" s="34"/>
    </row>
    <row r="96" customFormat="false" ht="15" hidden="false" customHeight="false" outlineLevel="0" collapsed="false">
      <c r="A96" s="46"/>
      <c r="B96" s="46"/>
      <c r="C96" s="46"/>
      <c r="D96" s="8"/>
      <c r="E96" s="41"/>
      <c r="F96" s="9" t="str">
        <f aca="false">IF(AND(ISNUMBER(D96),ISNUMBER(E96),N(E96)&gt;0),D96/E96,"")</f>
        <v/>
      </c>
      <c r="G96" s="34"/>
    </row>
    <row r="97" customFormat="false" ht="15" hidden="false" customHeight="false" outlineLevel="0" collapsed="false">
      <c r="A97" s="46"/>
      <c r="B97" s="46"/>
      <c r="C97" s="46"/>
      <c r="D97" s="8"/>
      <c r="E97" s="41"/>
      <c r="F97" s="9" t="str">
        <f aca="false">IF(AND(ISNUMBER(D97),ISNUMBER(E97),N(E97)&gt;0),D97/E97,"")</f>
        <v/>
      </c>
      <c r="G97" s="34"/>
    </row>
    <row r="98" customFormat="false" ht="15" hidden="false" customHeight="false" outlineLevel="0" collapsed="false">
      <c r="A98" s="46"/>
      <c r="B98" s="46"/>
      <c r="C98" s="46"/>
      <c r="D98" s="8"/>
      <c r="E98" s="41"/>
      <c r="F98" s="9" t="str">
        <f aca="false">IF(AND(ISNUMBER(D98),ISNUMBER(E98),N(E98)&gt;0),D98/E98,"")</f>
        <v/>
      </c>
      <c r="G98" s="34"/>
    </row>
    <row r="99" customFormat="false" ht="15" hidden="false" customHeight="false" outlineLevel="0" collapsed="false">
      <c r="A99" s="46"/>
      <c r="B99" s="46"/>
      <c r="C99" s="46"/>
      <c r="D99" s="8"/>
      <c r="E99" s="41"/>
      <c r="F99" s="9" t="str">
        <f aca="false">IF(AND(ISNUMBER(D99),ISNUMBER(E99),N(E99)&gt;0),D99/E99,"")</f>
        <v/>
      </c>
      <c r="G99" s="34"/>
    </row>
    <row r="100" customFormat="false" ht="15" hidden="false" customHeight="false" outlineLevel="0" collapsed="false">
      <c r="A100" s="46"/>
      <c r="B100" s="46"/>
      <c r="C100" s="46"/>
      <c r="D100" s="8"/>
      <c r="E100" s="41"/>
      <c r="F100" s="9" t="str">
        <f aca="false">IF(AND(ISNUMBER(D100),ISNUMBER(E100),N(E100)&gt;0),D100/E100,"")</f>
        <v/>
      </c>
      <c r="G100" s="34"/>
    </row>
    <row r="101" customFormat="false" ht="15" hidden="false" customHeight="false" outlineLevel="0" collapsed="false">
      <c r="A101" s="46"/>
      <c r="B101" s="46"/>
      <c r="C101" s="46"/>
      <c r="D101" s="8"/>
      <c r="E101" s="41"/>
      <c r="F101" s="9" t="str">
        <f aca="false">IF(AND(ISNUMBER(D101),ISNUMBER(E101),N(E101)&gt;0),D101/E101,"")</f>
        <v/>
      </c>
      <c r="G101" s="34"/>
    </row>
    <row r="102" customFormat="false" ht="15" hidden="false" customHeight="false" outlineLevel="0" collapsed="false">
      <c r="A102" s="46"/>
      <c r="B102" s="46"/>
      <c r="C102" s="46"/>
      <c r="D102" s="8"/>
      <c r="E102" s="41"/>
      <c r="F102" s="9" t="str">
        <f aca="false">IF(AND(ISNUMBER(D102),ISNUMBER(E102),N(E102)&gt;0),D102/E102,"")</f>
        <v/>
      </c>
      <c r="G102" s="34"/>
    </row>
    <row r="103" customFormat="false" ht="15" hidden="false" customHeight="false" outlineLevel="0" collapsed="false">
      <c r="A103" s="46"/>
      <c r="B103" s="46"/>
      <c r="C103" s="46"/>
      <c r="D103" s="8"/>
      <c r="E103" s="41"/>
      <c r="F103" s="9" t="str">
        <f aca="false">IF(AND(ISNUMBER(D103),ISNUMBER(E103),N(E103)&gt;0),D103/E103,"")</f>
        <v/>
      </c>
      <c r="G103" s="34"/>
    </row>
    <row r="104" customFormat="false" ht="15" hidden="false" customHeight="false" outlineLevel="0" collapsed="false">
      <c r="A104" s="46"/>
      <c r="B104" s="46"/>
      <c r="C104" s="46"/>
      <c r="D104" s="8"/>
      <c r="E104" s="41"/>
      <c r="F104" s="9" t="str">
        <f aca="false">IF(AND(ISNUMBER(D104),ISNUMBER(E104),N(E104)&gt;0),D104/E104,"")</f>
        <v/>
      </c>
      <c r="G104" s="34"/>
    </row>
    <row r="105" customFormat="false" ht="15" hidden="false" customHeight="false" outlineLevel="0" collapsed="false">
      <c r="A105" s="46"/>
      <c r="B105" s="46"/>
      <c r="C105" s="46"/>
      <c r="D105" s="8"/>
      <c r="E105" s="41"/>
      <c r="F105" s="9" t="str">
        <f aca="false">IF(AND(ISNUMBER(D105),ISNUMBER(E105),N(E105)&gt;0),D105/E105,"")</f>
        <v/>
      </c>
      <c r="G105" s="34"/>
    </row>
    <row r="106" customFormat="false" ht="15" hidden="false" customHeight="false" outlineLevel="0" collapsed="false">
      <c r="A106" s="46"/>
      <c r="B106" s="46"/>
      <c r="C106" s="46"/>
      <c r="D106" s="8"/>
      <c r="E106" s="41"/>
      <c r="F106" s="9" t="str">
        <f aca="false">IF(AND(ISNUMBER(D106),ISNUMBER(E106),N(E106)&gt;0),D106/E106,"")</f>
        <v/>
      </c>
      <c r="G106" s="34"/>
    </row>
    <row r="107" customFormat="false" ht="15" hidden="false" customHeight="false" outlineLevel="0" collapsed="false">
      <c r="A107" s="46"/>
      <c r="B107" s="46"/>
      <c r="C107" s="46"/>
      <c r="D107" s="8"/>
      <c r="E107" s="41"/>
      <c r="F107" s="9" t="str">
        <f aca="false">IF(AND(ISNUMBER(D107),ISNUMBER(E107),N(E107)&gt;0),D107/E107,"")</f>
        <v/>
      </c>
      <c r="G107" s="34"/>
    </row>
    <row r="108" customFormat="false" ht="15" hidden="false" customHeight="false" outlineLevel="0" collapsed="false">
      <c r="A108" s="46"/>
      <c r="B108" s="46"/>
      <c r="C108" s="46"/>
      <c r="D108" s="8"/>
      <c r="E108" s="41"/>
      <c r="F108" s="9" t="str">
        <f aca="false">IF(AND(ISNUMBER(D108),ISNUMBER(E108),N(E108)&gt;0),D108/E108,"")</f>
        <v/>
      </c>
      <c r="G108" s="34"/>
    </row>
    <row r="109" customFormat="false" ht="15" hidden="false" customHeight="false" outlineLevel="0" collapsed="false">
      <c r="A109" s="46"/>
      <c r="B109" s="46"/>
      <c r="C109" s="46"/>
      <c r="D109" s="8"/>
      <c r="E109" s="41"/>
      <c r="F109" s="9" t="str">
        <f aca="false">IF(AND(ISNUMBER(D109),ISNUMBER(E109),N(E109)&gt;0),D109/E109,"")</f>
        <v/>
      </c>
      <c r="G109" s="34"/>
    </row>
    <row r="110" customFormat="false" ht="15" hidden="false" customHeight="false" outlineLevel="0" collapsed="false">
      <c r="A110" s="46"/>
      <c r="B110" s="46"/>
      <c r="C110" s="46"/>
      <c r="D110" s="8"/>
      <c r="E110" s="41"/>
      <c r="F110" s="9" t="str">
        <f aca="false">IF(AND(ISNUMBER(D110),ISNUMBER(E110),N(E110)&gt;0),D110/E110,"")</f>
        <v/>
      </c>
      <c r="G110" s="34"/>
    </row>
    <row r="111" customFormat="false" ht="15" hidden="false" customHeight="false" outlineLevel="0" collapsed="false">
      <c r="A111" s="46"/>
      <c r="B111" s="46"/>
      <c r="C111" s="46"/>
      <c r="D111" s="8"/>
      <c r="E111" s="41"/>
      <c r="F111" s="9" t="str">
        <f aca="false">IF(AND(ISNUMBER(D111),ISNUMBER(E111),N(E111)&gt;0),D111/E111,"")</f>
        <v/>
      </c>
      <c r="G111" s="34"/>
    </row>
    <row r="112" customFormat="false" ht="15" hidden="false" customHeight="false" outlineLevel="0" collapsed="false">
      <c r="A112" s="46"/>
      <c r="B112" s="46"/>
      <c r="C112" s="46"/>
      <c r="D112" s="8"/>
      <c r="E112" s="41"/>
      <c r="F112" s="9" t="str">
        <f aca="false">IF(AND(ISNUMBER(D112),ISNUMBER(E112),N(E112)&gt;0),D112/E112,"")</f>
        <v/>
      </c>
      <c r="G112" s="34"/>
    </row>
    <row r="113" customFormat="false" ht="15" hidden="false" customHeight="false" outlineLevel="0" collapsed="false">
      <c r="A113" s="46"/>
      <c r="B113" s="46"/>
      <c r="C113" s="46"/>
      <c r="D113" s="8"/>
      <c r="E113" s="41"/>
      <c r="F113" s="9" t="str">
        <f aca="false">IF(AND(ISNUMBER(D113),ISNUMBER(E113),N(E113)&gt;0),D113/E113,"")</f>
        <v/>
      </c>
      <c r="G113" s="34"/>
    </row>
    <row r="114" customFormat="false" ht="15" hidden="false" customHeight="false" outlineLevel="0" collapsed="false">
      <c r="A114" s="46"/>
      <c r="B114" s="46"/>
      <c r="C114" s="46"/>
      <c r="D114" s="8"/>
      <c r="E114" s="41"/>
      <c r="F114" s="9" t="str">
        <f aca="false">IF(AND(ISNUMBER(D114),ISNUMBER(E114),N(E114)&gt;0),D114/E114,"")</f>
        <v/>
      </c>
      <c r="G114" s="34"/>
    </row>
    <row r="115" customFormat="false" ht="15" hidden="false" customHeight="false" outlineLevel="0" collapsed="false">
      <c r="A115" s="46"/>
      <c r="B115" s="46"/>
      <c r="C115" s="46"/>
      <c r="D115" s="8"/>
      <c r="E115" s="41"/>
      <c r="F115" s="9" t="str">
        <f aca="false">IF(AND(ISNUMBER(D115),ISNUMBER(E115),N(E115)&gt;0),D115/E115,"")</f>
        <v/>
      </c>
      <c r="G115" s="34"/>
    </row>
    <row r="116" customFormat="false" ht="15" hidden="false" customHeight="false" outlineLevel="0" collapsed="false">
      <c r="A116" s="46"/>
      <c r="B116" s="46"/>
      <c r="C116" s="46"/>
      <c r="D116" s="8"/>
      <c r="E116" s="41"/>
      <c r="F116" s="9" t="str">
        <f aca="false">IF(AND(ISNUMBER(D116),ISNUMBER(E116),N(E116)&gt;0),D116/E116,"")</f>
        <v/>
      </c>
      <c r="G116" s="34"/>
    </row>
    <row r="117" customFormat="false" ht="15" hidden="false" customHeight="false" outlineLevel="0" collapsed="false">
      <c r="A117" s="46"/>
      <c r="B117" s="46"/>
      <c r="C117" s="46"/>
      <c r="D117" s="8"/>
      <c r="E117" s="41"/>
      <c r="F117" s="9" t="str">
        <f aca="false">IF(AND(ISNUMBER(D117),ISNUMBER(E117),N(E117)&gt;0),D117/E117,"")</f>
        <v/>
      </c>
      <c r="G117" s="34"/>
    </row>
    <row r="118" customFormat="false" ht="15" hidden="false" customHeight="false" outlineLevel="0" collapsed="false">
      <c r="A118" s="46"/>
      <c r="B118" s="46"/>
      <c r="C118" s="46"/>
      <c r="D118" s="8"/>
      <c r="E118" s="41"/>
      <c r="F118" s="9" t="str">
        <f aca="false">IF(AND(ISNUMBER(D118),ISNUMBER(E118),N(E118)&gt;0),D118/E118,"")</f>
        <v/>
      </c>
      <c r="G118" s="34"/>
    </row>
    <row r="119" customFormat="false" ht="15" hidden="false" customHeight="false" outlineLevel="0" collapsed="false">
      <c r="A119" s="46"/>
      <c r="B119" s="46"/>
      <c r="C119" s="46"/>
      <c r="D119" s="8"/>
      <c r="E119" s="41"/>
      <c r="F119" s="9" t="str">
        <f aca="false">IF(AND(ISNUMBER(D119),ISNUMBER(E119),N(E119)&gt;0),D119/E119,"")</f>
        <v/>
      </c>
      <c r="G119" s="34"/>
    </row>
    <row r="120" customFormat="false" ht="15" hidden="false" customHeight="false" outlineLevel="0" collapsed="false">
      <c r="A120" s="46"/>
      <c r="B120" s="46"/>
      <c r="C120" s="46"/>
      <c r="D120" s="8"/>
      <c r="E120" s="41"/>
      <c r="F120" s="9" t="str">
        <f aca="false">IF(AND(ISNUMBER(D120),ISNUMBER(E120),N(E120)&gt;0),D120/E120,"")</f>
        <v/>
      </c>
      <c r="G120" s="34"/>
    </row>
  </sheetData>
  <dataValidations count="1">
    <dataValidation allowBlank="true" errorStyle="stop" operator="between" showDropDown="false" showErrorMessage="false" showInputMessage="false" sqref="G5:G120" type="list">
      <formula1>"Por confirmar,Confirmado,SIN PRECIO"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15"/>
    <col collapsed="false" customWidth="true" hidden="false" outlineLevel="0" max="5" min="5" style="0" width="46"/>
  </cols>
  <sheetData>
    <row r="1" customFormat="false" ht="17.35" hidden="false" customHeight="false" outlineLevel="0" collapsed="false">
      <c r="A1" s="1" t="s">
        <v>563</v>
      </c>
    </row>
    <row r="2" customFormat="false" ht="15" hidden="false" customHeight="false" outlineLevel="0" collapsed="false">
      <c r="A2" s="2" t="s">
        <v>564</v>
      </c>
    </row>
    <row r="4" customFormat="false" ht="23.85" hidden="false" customHeight="false" outlineLevel="0" collapsed="false">
      <c r="A4" s="5" t="s">
        <v>565</v>
      </c>
      <c r="B4" s="5" t="s">
        <v>566</v>
      </c>
      <c r="C4" s="5" t="s">
        <v>567</v>
      </c>
      <c r="D4" s="5" t="s">
        <v>91</v>
      </c>
      <c r="E4" s="5" t="s">
        <v>470</v>
      </c>
    </row>
    <row r="5" customFormat="false" ht="15" hidden="false" customHeight="false" outlineLevel="0" collapsed="false">
      <c r="A5" s="7" t="s">
        <v>409</v>
      </c>
      <c r="B5" s="8" t="n">
        <v>1700</v>
      </c>
      <c r="C5" s="50" t="n">
        <v>1500</v>
      </c>
      <c r="D5" s="34" t="s">
        <v>113</v>
      </c>
    </row>
    <row r="6" customFormat="false" ht="15" hidden="false" customHeight="false" outlineLevel="0" collapsed="false">
      <c r="A6" s="7" t="s">
        <v>316</v>
      </c>
      <c r="B6" s="8" t="n">
        <v>2000</v>
      </c>
      <c r="C6" s="50" t="n">
        <v>1800</v>
      </c>
      <c r="D6" s="34" t="s">
        <v>113</v>
      </c>
    </row>
    <row r="7" customFormat="false" ht="15" hidden="false" customHeight="false" outlineLevel="0" collapsed="false">
      <c r="A7" s="7" t="s">
        <v>568</v>
      </c>
      <c r="B7" s="8" t="n">
        <v>2200</v>
      </c>
      <c r="C7" s="50" t="n">
        <v>1900</v>
      </c>
      <c r="D7" s="34" t="s">
        <v>113</v>
      </c>
    </row>
    <row r="8" customFormat="false" ht="15" hidden="false" customHeight="false" outlineLevel="0" collapsed="false">
      <c r="A8" s="7" t="s">
        <v>363</v>
      </c>
      <c r="B8" s="8" t="n">
        <v>1900</v>
      </c>
      <c r="C8" s="50" t="n">
        <v>1700</v>
      </c>
      <c r="D8" s="34" t="s">
        <v>113</v>
      </c>
    </row>
    <row r="9" customFormat="false" ht="15" hidden="false" customHeight="false" outlineLevel="0" collapsed="false">
      <c r="A9" s="7" t="s">
        <v>383</v>
      </c>
      <c r="B9" s="8" t="n">
        <v>2000</v>
      </c>
      <c r="C9" s="50" t="n">
        <v>1800</v>
      </c>
      <c r="D9" s="34" t="s">
        <v>113</v>
      </c>
    </row>
    <row r="10" customFormat="false" ht="15" hidden="false" customHeight="false" outlineLevel="0" collapsed="false">
      <c r="A10" s="7" t="s">
        <v>405</v>
      </c>
      <c r="B10" s="8" t="n">
        <v>2200</v>
      </c>
      <c r="C10" s="50" t="n">
        <v>1700</v>
      </c>
      <c r="D10" s="34" t="s">
        <v>113</v>
      </c>
    </row>
    <row r="11" customFormat="false" ht="15" hidden="false" customHeight="false" outlineLevel="0" collapsed="false">
      <c r="A11" s="7" t="s">
        <v>390</v>
      </c>
      <c r="B11" s="8" t="n">
        <v>1900</v>
      </c>
      <c r="C11" s="50" t="n">
        <v>1700</v>
      </c>
      <c r="D11" s="34" t="s">
        <v>113</v>
      </c>
    </row>
    <row r="12" customFormat="false" ht="15" hidden="false" customHeight="false" outlineLevel="0" collapsed="false">
      <c r="A12" s="7" t="s">
        <v>398</v>
      </c>
      <c r="B12" s="8" t="n">
        <v>2400</v>
      </c>
      <c r="C12" s="50" t="n">
        <v>2000</v>
      </c>
      <c r="D12" s="34" t="s">
        <v>113</v>
      </c>
    </row>
    <row r="13" customFormat="false" ht="15" hidden="false" customHeight="false" outlineLevel="0" collapsed="false">
      <c r="A13" s="7" t="s">
        <v>376</v>
      </c>
      <c r="B13" s="8" t="n">
        <v>2400</v>
      </c>
      <c r="C13" s="50" t="n">
        <v>2200</v>
      </c>
      <c r="D13" s="34" t="s">
        <v>113</v>
      </c>
    </row>
    <row r="14" customFormat="false" ht="15" hidden="false" customHeight="false" outlineLevel="0" collapsed="false">
      <c r="A14" s="7" t="s">
        <v>569</v>
      </c>
      <c r="B14" s="8" t="n">
        <v>2200</v>
      </c>
      <c r="C14" s="50" t="n">
        <v>2000</v>
      </c>
      <c r="D14" s="34" t="s">
        <v>113</v>
      </c>
    </row>
    <row r="15" customFormat="false" ht="15" hidden="false" customHeight="false" outlineLevel="0" collapsed="false">
      <c r="A15" s="7" t="s">
        <v>570</v>
      </c>
      <c r="B15" s="8" t="n">
        <v>2600</v>
      </c>
      <c r="C15" s="50" t="n">
        <v>2300</v>
      </c>
      <c r="D15" s="34" t="s">
        <v>113</v>
      </c>
    </row>
    <row r="16" customFormat="false" ht="15" hidden="false" customHeight="false" outlineLevel="0" collapsed="false">
      <c r="A16" s="7" t="s">
        <v>413</v>
      </c>
      <c r="B16" s="8" t="n">
        <v>2200</v>
      </c>
      <c r="C16" s="50" t="n">
        <v>2300</v>
      </c>
      <c r="D16" s="34" t="s">
        <v>113</v>
      </c>
      <c r="E16" s="10" t="s">
        <v>571</v>
      </c>
    </row>
    <row r="17" customFormat="false" ht="15" hidden="false" customHeight="false" outlineLevel="0" collapsed="false">
      <c r="A17" s="7" t="s">
        <v>343</v>
      </c>
      <c r="B17" s="8" t="n">
        <v>2300</v>
      </c>
      <c r="C17" s="50" t="n">
        <v>2000</v>
      </c>
      <c r="D17" s="34" t="s">
        <v>113</v>
      </c>
    </row>
    <row r="18" customFormat="false" ht="15" hidden="false" customHeight="false" outlineLevel="0" collapsed="false">
      <c r="A18" s="7" t="s">
        <v>572</v>
      </c>
      <c r="B18" s="8" t="n">
        <v>2400</v>
      </c>
      <c r="C18" s="50" t="n">
        <v>2100</v>
      </c>
      <c r="D18" s="34" t="s">
        <v>113</v>
      </c>
    </row>
    <row r="19" customFormat="false" ht="15" hidden="false" customHeight="false" outlineLevel="0" collapsed="false">
      <c r="A19" s="7" t="s">
        <v>573</v>
      </c>
      <c r="B19" s="8" t="n">
        <v>1800</v>
      </c>
      <c r="C19" s="50" t="n">
        <v>1700</v>
      </c>
      <c r="D19" s="34" t="s">
        <v>113</v>
      </c>
    </row>
    <row r="20" customFormat="false" ht="15" hidden="false" customHeight="false" outlineLevel="0" collapsed="false">
      <c r="A20" s="7" t="s">
        <v>574</v>
      </c>
      <c r="B20" s="8" t="n">
        <v>1800</v>
      </c>
      <c r="C20" s="50" t="n">
        <v>1600</v>
      </c>
      <c r="D20" s="34" t="s">
        <v>113</v>
      </c>
    </row>
    <row r="21" customFormat="false" ht="15" hidden="false" customHeight="false" outlineLevel="0" collapsed="false">
      <c r="A21" s="7" t="s">
        <v>575</v>
      </c>
      <c r="B21" s="8" t="n">
        <v>2000</v>
      </c>
      <c r="C21" s="50" t="n">
        <v>1800</v>
      </c>
      <c r="D21" s="34" t="s">
        <v>113</v>
      </c>
    </row>
    <row r="22" customFormat="false" ht="15" hidden="false" customHeight="false" outlineLevel="0" collapsed="false">
      <c r="A22" s="7" t="s">
        <v>576</v>
      </c>
      <c r="B22" s="8" t="n">
        <v>2600</v>
      </c>
      <c r="C22" s="50" t="n">
        <v>2300</v>
      </c>
      <c r="D22" s="34" t="s">
        <v>113</v>
      </c>
    </row>
    <row r="23" customFormat="false" ht="15" hidden="false" customHeight="false" outlineLevel="0" collapsed="false">
      <c r="A23" s="7" t="s">
        <v>421</v>
      </c>
      <c r="B23" s="8" t="n">
        <v>1200</v>
      </c>
      <c r="C23" s="50" t="n">
        <v>1000</v>
      </c>
      <c r="D23" s="34" t="s">
        <v>113</v>
      </c>
    </row>
    <row r="24" customFormat="false" ht="15" hidden="false" customHeight="false" outlineLevel="0" collapsed="false">
      <c r="A24" s="7" t="s">
        <v>577</v>
      </c>
      <c r="B24" s="8" t="n">
        <v>3500</v>
      </c>
      <c r="C24" s="50" t="n">
        <v>3200</v>
      </c>
      <c r="D24" s="34" t="s">
        <v>113</v>
      </c>
    </row>
    <row r="25" customFormat="false" ht="15" hidden="false" customHeight="false" outlineLevel="0" collapsed="false">
      <c r="A25" s="7" t="s">
        <v>578</v>
      </c>
      <c r="B25" s="8" t="n">
        <v>3200</v>
      </c>
      <c r="C25" s="50" t="n">
        <v>3000</v>
      </c>
      <c r="D25" s="34" t="s">
        <v>113</v>
      </c>
    </row>
    <row r="26" customFormat="false" ht="15" hidden="false" customHeight="false" outlineLevel="0" collapsed="false">
      <c r="A26" s="7" t="s">
        <v>579</v>
      </c>
      <c r="B26" s="8" t="n">
        <v>2200</v>
      </c>
      <c r="C26" s="50" t="n">
        <v>2000</v>
      </c>
      <c r="D26" s="34" t="s">
        <v>113</v>
      </c>
    </row>
    <row r="27" customFormat="false" ht="15" hidden="false" customHeight="false" outlineLevel="0" collapsed="false">
      <c r="A27" s="7" t="s">
        <v>580</v>
      </c>
      <c r="B27" s="8" t="n">
        <v>1000</v>
      </c>
      <c r="C27" s="50" t="n">
        <v>1000</v>
      </c>
      <c r="D27" s="34" t="s">
        <v>113</v>
      </c>
    </row>
    <row r="28" customFormat="false" ht="15" hidden="false" customHeight="false" outlineLevel="0" collapsed="false">
      <c r="A28" s="7" t="s">
        <v>581</v>
      </c>
      <c r="B28" s="8" t="n">
        <v>3200</v>
      </c>
      <c r="C28" s="50" t="n">
        <v>3000</v>
      </c>
      <c r="D28" s="34" t="s">
        <v>113</v>
      </c>
    </row>
    <row r="29" customFormat="false" ht="15" hidden="false" customHeight="false" outlineLevel="0" collapsed="false">
      <c r="A29" s="7" t="s">
        <v>417</v>
      </c>
      <c r="B29" s="8" t="n">
        <v>1800</v>
      </c>
      <c r="C29" s="50" t="n">
        <v>1600</v>
      </c>
      <c r="D29" s="34" t="s">
        <v>113</v>
      </c>
    </row>
    <row r="30" customFormat="false" ht="15" hidden="false" customHeight="false" outlineLevel="0" collapsed="false">
      <c r="A30" s="7" t="s">
        <v>582</v>
      </c>
      <c r="B30" s="8" t="n">
        <v>2000</v>
      </c>
      <c r="C30" s="50" t="n">
        <v>1900</v>
      </c>
      <c r="D30" s="34" t="s">
        <v>113</v>
      </c>
    </row>
    <row r="31" customFormat="false" ht="15" hidden="false" customHeight="false" outlineLevel="0" collapsed="false">
      <c r="A31" s="7" t="s">
        <v>583</v>
      </c>
      <c r="B31" s="8" t="n">
        <v>2500</v>
      </c>
      <c r="C31" s="50" t="n">
        <v>2300</v>
      </c>
      <c r="D31" s="34" t="s">
        <v>113</v>
      </c>
    </row>
    <row r="32" customFormat="false" ht="15" hidden="false" customHeight="false" outlineLevel="0" collapsed="false">
      <c r="A32" s="7" t="s">
        <v>584</v>
      </c>
      <c r="B32" s="8" t="n">
        <v>2200</v>
      </c>
      <c r="C32" s="50" t="n">
        <v>2000</v>
      </c>
      <c r="D32" s="34" t="s">
        <v>113</v>
      </c>
    </row>
    <row r="33" customFormat="false" ht="15" hidden="false" customHeight="false" outlineLevel="0" collapsed="false">
      <c r="A33" s="7" t="s">
        <v>585</v>
      </c>
      <c r="B33" s="8" t="n">
        <v>2200</v>
      </c>
      <c r="C33" s="50" t="n">
        <v>2000</v>
      </c>
      <c r="D33" s="34" t="s">
        <v>113</v>
      </c>
    </row>
    <row r="34" customFormat="false" ht="15" hidden="false" customHeight="false" outlineLevel="0" collapsed="false">
      <c r="A34" s="7" t="s">
        <v>586</v>
      </c>
      <c r="B34" s="8" t="n">
        <v>1900</v>
      </c>
      <c r="C34" s="50" t="n">
        <v>1900</v>
      </c>
      <c r="D34" s="34" t="s">
        <v>113</v>
      </c>
    </row>
    <row r="35" customFormat="false" ht="15" hidden="false" customHeight="false" outlineLevel="0" collapsed="false">
      <c r="A35" s="7" t="s">
        <v>587</v>
      </c>
      <c r="B35" s="8" t="n">
        <v>2400</v>
      </c>
      <c r="C35" s="50" t="n">
        <v>2100</v>
      </c>
      <c r="D35" s="34" t="s">
        <v>113</v>
      </c>
    </row>
    <row r="36" customFormat="false" ht="15" hidden="false" customHeight="false" outlineLevel="0" collapsed="false">
      <c r="A36" s="7" t="s">
        <v>588</v>
      </c>
      <c r="B36" s="8" t="n">
        <v>1700</v>
      </c>
      <c r="C36" s="50" t="n">
        <v>1700</v>
      </c>
      <c r="D36" s="34" t="s">
        <v>113</v>
      </c>
    </row>
    <row r="37" customFormat="false" ht="15" hidden="false" customHeight="false" outlineLevel="0" collapsed="false">
      <c r="A37" s="7" t="s">
        <v>589</v>
      </c>
      <c r="B37" s="8" t="n">
        <v>1800</v>
      </c>
      <c r="C37" s="50" t="n">
        <v>1700</v>
      </c>
      <c r="D37" s="34" t="s">
        <v>113</v>
      </c>
    </row>
    <row r="38" customFormat="false" ht="15" hidden="false" customHeight="false" outlineLevel="0" collapsed="false">
      <c r="A38" s="7" t="s">
        <v>590</v>
      </c>
      <c r="B38" s="8" t="n">
        <v>650</v>
      </c>
      <c r="C38" s="50" t="n">
        <v>650</v>
      </c>
      <c r="D38" s="34" t="s">
        <v>113</v>
      </c>
    </row>
    <row r="39" customFormat="false" ht="15" hidden="false" customHeight="false" outlineLevel="0" collapsed="false">
      <c r="A39" s="7" t="s">
        <v>591</v>
      </c>
      <c r="B39" s="8" t="n">
        <v>2400</v>
      </c>
      <c r="C39" s="50" t="n">
        <v>2400</v>
      </c>
      <c r="D39" s="34" t="s">
        <v>113</v>
      </c>
    </row>
    <row r="40" customFormat="false" ht="15" hidden="false" customHeight="false" outlineLevel="0" collapsed="false">
      <c r="A40" s="7" t="s">
        <v>592</v>
      </c>
      <c r="B40" s="8" t="n">
        <v>1700</v>
      </c>
      <c r="C40" s="50" t="n">
        <v>1600</v>
      </c>
      <c r="D40" s="34" t="s">
        <v>113</v>
      </c>
    </row>
    <row r="41" customFormat="false" ht="15" hidden="false" customHeight="false" outlineLevel="0" collapsed="false">
      <c r="A41" s="7" t="s">
        <v>593</v>
      </c>
      <c r="B41" s="8" t="n">
        <v>2000</v>
      </c>
      <c r="C41" s="50" t="n">
        <v>2000</v>
      </c>
      <c r="D41" s="34" t="s">
        <v>113</v>
      </c>
    </row>
    <row r="42" customFormat="false" ht="15" hidden="false" customHeight="false" outlineLevel="0" collapsed="false">
      <c r="A42" s="7" t="s">
        <v>594</v>
      </c>
      <c r="B42" s="8" t="n">
        <v>8000</v>
      </c>
      <c r="C42" s="50" t="n">
        <v>8000</v>
      </c>
      <c r="D42" s="34" t="s">
        <v>113</v>
      </c>
    </row>
    <row r="43" customFormat="false" ht="15" hidden="false" customHeight="false" outlineLevel="0" collapsed="false">
      <c r="A43" s="7" t="s">
        <v>595</v>
      </c>
      <c r="B43" s="8" t="n">
        <v>2500</v>
      </c>
      <c r="C43" s="50" t="n">
        <v>2400</v>
      </c>
      <c r="D43" s="34" t="s">
        <v>113</v>
      </c>
    </row>
    <row r="44" customFormat="false" ht="15" hidden="false" customHeight="false" outlineLevel="0" collapsed="false">
      <c r="A44" s="7" t="s">
        <v>596</v>
      </c>
      <c r="B44" s="8" t="n">
        <v>5500</v>
      </c>
      <c r="C44" s="50" t="n">
        <v>5000</v>
      </c>
      <c r="D44" s="34" t="s">
        <v>113</v>
      </c>
    </row>
    <row r="45" customFormat="false" ht="15" hidden="false" customHeight="false" outlineLevel="0" collapsed="false">
      <c r="A45" s="7" t="s">
        <v>597</v>
      </c>
      <c r="B45" s="8" t="n">
        <v>6000</v>
      </c>
      <c r="C45" s="50" t="n">
        <v>6000</v>
      </c>
      <c r="D45" s="34" t="s">
        <v>113</v>
      </c>
    </row>
    <row r="46" customFormat="false" ht="15" hidden="false" customHeight="false" outlineLevel="0" collapsed="false">
      <c r="A46" s="7" t="s">
        <v>598</v>
      </c>
      <c r="B46" s="8" t="n">
        <v>5500</v>
      </c>
      <c r="C46" s="50" t="n">
        <v>5500</v>
      </c>
      <c r="D46" s="34" t="s">
        <v>113</v>
      </c>
    </row>
    <row r="47" customFormat="false" ht="15" hidden="false" customHeight="false" outlineLevel="0" collapsed="false">
      <c r="A47" s="7" t="s">
        <v>599</v>
      </c>
      <c r="B47" s="8" t="n">
        <v>3000</v>
      </c>
      <c r="C47" s="50" t="n">
        <v>2900</v>
      </c>
      <c r="D47" s="34" t="s">
        <v>113</v>
      </c>
    </row>
    <row r="48" customFormat="false" ht="15" hidden="false" customHeight="false" outlineLevel="0" collapsed="false">
      <c r="A48" s="7" t="s">
        <v>600</v>
      </c>
      <c r="B48" s="8" t="n">
        <v>3300</v>
      </c>
      <c r="C48" s="50" t="n">
        <v>3300</v>
      </c>
      <c r="D48" s="34" t="s">
        <v>113</v>
      </c>
    </row>
    <row r="49" customFormat="false" ht="15" hidden="false" customHeight="false" outlineLevel="0" collapsed="false">
      <c r="A49" s="7" t="s">
        <v>601</v>
      </c>
      <c r="B49" s="8" t="n">
        <v>1000</v>
      </c>
      <c r="C49" s="50" t="n">
        <v>1000</v>
      </c>
      <c r="D49" s="34" t="s">
        <v>113</v>
      </c>
    </row>
    <row r="50" customFormat="false" ht="15" hidden="false" customHeight="false" outlineLevel="0" collapsed="false">
      <c r="A50" s="7" t="s">
        <v>602</v>
      </c>
      <c r="B50" s="8" t="n">
        <v>500</v>
      </c>
      <c r="C50" s="50" t="n">
        <v>500</v>
      </c>
      <c r="D50" s="34" t="s">
        <v>113</v>
      </c>
    </row>
    <row r="51" customFormat="false" ht="15" hidden="false" customHeight="false" outlineLevel="0" collapsed="false">
      <c r="A51" s="46"/>
      <c r="B51" s="8"/>
      <c r="D51" s="34"/>
    </row>
    <row r="52" customFormat="false" ht="15" hidden="false" customHeight="false" outlineLevel="0" collapsed="false">
      <c r="A52" s="46"/>
      <c r="B52" s="8"/>
      <c r="D52" s="34"/>
    </row>
    <row r="53" customFormat="false" ht="15" hidden="false" customHeight="false" outlineLevel="0" collapsed="false">
      <c r="A53" s="46"/>
      <c r="B53" s="8"/>
      <c r="D53" s="34"/>
    </row>
    <row r="54" customFormat="false" ht="15" hidden="false" customHeight="false" outlineLevel="0" collapsed="false">
      <c r="A54" s="46"/>
      <c r="B54" s="8"/>
      <c r="D54" s="34"/>
    </row>
    <row r="55" customFormat="false" ht="15" hidden="false" customHeight="false" outlineLevel="0" collapsed="false">
      <c r="A55" s="46"/>
      <c r="B55" s="8"/>
      <c r="D55" s="34"/>
    </row>
    <row r="56" customFormat="false" ht="15" hidden="false" customHeight="false" outlineLevel="0" collapsed="false">
      <c r="A56" s="46"/>
      <c r="B56" s="8"/>
      <c r="D56" s="34"/>
    </row>
    <row r="57" customFormat="false" ht="15" hidden="false" customHeight="false" outlineLevel="0" collapsed="false">
      <c r="A57" s="46"/>
      <c r="B57" s="8"/>
      <c r="D57" s="34"/>
    </row>
    <row r="58" customFormat="false" ht="15" hidden="false" customHeight="false" outlineLevel="0" collapsed="false">
      <c r="A58" s="46"/>
      <c r="B58" s="8"/>
      <c r="D58" s="34"/>
    </row>
    <row r="59" customFormat="false" ht="15" hidden="false" customHeight="false" outlineLevel="0" collapsed="false">
      <c r="A59" s="46"/>
      <c r="B59" s="8"/>
      <c r="D59" s="34"/>
    </row>
    <row r="60" customFormat="false" ht="15" hidden="false" customHeight="false" outlineLevel="0" collapsed="false">
      <c r="A60" s="46"/>
      <c r="B60" s="8"/>
      <c r="D60" s="34"/>
    </row>
    <row r="61" customFormat="false" ht="15" hidden="false" customHeight="false" outlineLevel="0" collapsed="false">
      <c r="A61" s="46"/>
      <c r="B61" s="8"/>
      <c r="D61" s="34"/>
    </row>
    <row r="62" customFormat="false" ht="15" hidden="false" customHeight="false" outlineLevel="0" collapsed="false">
      <c r="A62" s="46"/>
      <c r="B62" s="8"/>
      <c r="D62" s="34"/>
    </row>
    <row r="63" customFormat="false" ht="15" hidden="false" customHeight="false" outlineLevel="0" collapsed="false">
      <c r="A63" s="46"/>
      <c r="B63" s="8"/>
      <c r="D63" s="34"/>
    </row>
    <row r="64" customFormat="false" ht="15" hidden="false" customHeight="false" outlineLevel="0" collapsed="false">
      <c r="A64" s="46"/>
      <c r="B64" s="8"/>
      <c r="D64" s="34"/>
    </row>
    <row r="65" customFormat="false" ht="15" hidden="false" customHeight="false" outlineLevel="0" collapsed="false">
      <c r="A65" s="46"/>
      <c r="B65" s="8"/>
      <c r="D65" s="34"/>
    </row>
    <row r="66" customFormat="false" ht="15" hidden="false" customHeight="false" outlineLevel="0" collapsed="false">
      <c r="A66" s="46"/>
      <c r="B66" s="8"/>
      <c r="D66" s="34"/>
    </row>
    <row r="67" customFormat="false" ht="15" hidden="false" customHeight="false" outlineLevel="0" collapsed="false">
      <c r="A67" s="46"/>
      <c r="B67" s="8"/>
      <c r="D67" s="34"/>
    </row>
    <row r="68" customFormat="false" ht="15" hidden="false" customHeight="false" outlineLevel="0" collapsed="false">
      <c r="A68" s="46"/>
      <c r="B68" s="8"/>
      <c r="D68" s="34"/>
    </row>
    <row r="69" customFormat="false" ht="15" hidden="false" customHeight="false" outlineLevel="0" collapsed="false">
      <c r="A69" s="46"/>
      <c r="B69" s="8"/>
      <c r="D69" s="34"/>
    </row>
    <row r="70" customFormat="false" ht="15" hidden="false" customHeight="false" outlineLevel="0" collapsed="false">
      <c r="A70" s="46"/>
      <c r="B70" s="8"/>
      <c r="D70" s="34"/>
    </row>
    <row r="71" customFormat="false" ht="15" hidden="false" customHeight="false" outlineLevel="0" collapsed="false">
      <c r="A71" s="46"/>
      <c r="B71" s="8"/>
      <c r="D71" s="34"/>
    </row>
    <row r="72" customFormat="false" ht="15" hidden="false" customHeight="false" outlineLevel="0" collapsed="false">
      <c r="A72" s="46"/>
      <c r="B72" s="8"/>
      <c r="D72" s="34"/>
    </row>
    <row r="73" customFormat="false" ht="15" hidden="false" customHeight="false" outlineLevel="0" collapsed="false">
      <c r="A73" s="46"/>
      <c r="B73" s="8"/>
      <c r="D73" s="34"/>
    </row>
    <row r="74" customFormat="false" ht="15" hidden="false" customHeight="false" outlineLevel="0" collapsed="false">
      <c r="A74" s="46"/>
      <c r="B74" s="8"/>
      <c r="D74" s="34"/>
    </row>
    <row r="75" customFormat="false" ht="15" hidden="false" customHeight="false" outlineLevel="0" collapsed="false">
      <c r="A75" s="46"/>
      <c r="B75" s="8"/>
      <c r="D75" s="34"/>
    </row>
    <row r="76" customFormat="false" ht="15" hidden="false" customHeight="false" outlineLevel="0" collapsed="false">
      <c r="A76" s="46"/>
      <c r="B76" s="8"/>
      <c r="D76" s="34"/>
    </row>
    <row r="77" customFormat="false" ht="15" hidden="false" customHeight="false" outlineLevel="0" collapsed="false">
      <c r="A77" s="46"/>
      <c r="B77" s="8"/>
      <c r="D77" s="34"/>
    </row>
    <row r="78" customFormat="false" ht="15" hidden="false" customHeight="false" outlineLevel="0" collapsed="false">
      <c r="A78" s="46"/>
      <c r="B78" s="8"/>
      <c r="D78" s="34"/>
    </row>
    <row r="79" customFormat="false" ht="15" hidden="false" customHeight="false" outlineLevel="0" collapsed="false">
      <c r="A79" s="46"/>
      <c r="B79" s="8"/>
      <c r="D79" s="34"/>
    </row>
    <row r="80" customFormat="false" ht="15" hidden="false" customHeight="false" outlineLevel="0" collapsed="false">
      <c r="A80" s="46"/>
      <c r="B80" s="8"/>
      <c r="D80" s="34"/>
    </row>
    <row r="81" customFormat="false" ht="15" hidden="false" customHeight="false" outlineLevel="0" collapsed="false">
      <c r="A81" s="46"/>
      <c r="B81" s="8"/>
      <c r="D81" s="34"/>
    </row>
    <row r="82" customFormat="false" ht="15" hidden="false" customHeight="false" outlineLevel="0" collapsed="false">
      <c r="A82" s="46"/>
      <c r="B82" s="8"/>
      <c r="D82" s="34"/>
    </row>
    <row r="83" customFormat="false" ht="15" hidden="false" customHeight="false" outlineLevel="0" collapsed="false">
      <c r="A83" s="46"/>
      <c r="B83" s="8"/>
      <c r="D83" s="34"/>
    </row>
    <row r="84" customFormat="false" ht="15" hidden="false" customHeight="false" outlineLevel="0" collapsed="false">
      <c r="A84" s="46"/>
      <c r="B84" s="8"/>
      <c r="D84" s="34"/>
    </row>
    <row r="85" customFormat="false" ht="15" hidden="false" customHeight="false" outlineLevel="0" collapsed="false">
      <c r="A85" s="46"/>
      <c r="B85" s="8"/>
      <c r="D85" s="34"/>
    </row>
    <row r="86" customFormat="false" ht="15" hidden="false" customHeight="false" outlineLevel="0" collapsed="false">
      <c r="A86" s="46"/>
      <c r="B86" s="8"/>
      <c r="D86" s="34"/>
    </row>
    <row r="87" customFormat="false" ht="15" hidden="false" customHeight="false" outlineLevel="0" collapsed="false">
      <c r="A87" s="46"/>
      <c r="B87" s="8"/>
      <c r="D87" s="34"/>
    </row>
    <row r="88" customFormat="false" ht="15" hidden="false" customHeight="false" outlineLevel="0" collapsed="false">
      <c r="A88" s="46"/>
      <c r="B88" s="8"/>
      <c r="D88" s="34"/>
    </row>
    <row r="89" customFormat="false" ht="15" hidden="false" customHeight="false" outlineLevel="0" collapsed="false">
      <c r="A89" s="46"/>
      <c r="B89" s="8"/>
      <c r="D89" s="34"/>
    </row>
    <row r="90" customFormat="false" ht="15" hidden="false" customHeight="false" outlineLevel="0" collapsed="false">
      <c r="A90" s="46"/>
      <c r="B90" s="8"/>
      <c r="D90" s="34"/>
    </row>
    <row r="91" customFormat="false" ht="15" hidden="false" customHeight="false" outlineLevel="0" collapsed="false">
      <c r="A91" s="46"/>
      <c r="B91" s="8"/>
      <c r="D91" s="34"/>
    </row>
    <row r="92" customFormat="false" ht="15" hidden="false" customHeight="false" outlineLevel="0" collapsed="false">
      <c r="A92" s="46"/>
      <c r="B92" s="8"/>
      <c r="D92" s="34"/>
    </row>
    <row r="93" customFormat="false" ht="15" hidden="false" customHeight="false" outlineLevel="0" collapsed="false">
      <c r="A93" s="46"/>
      <c r="B93" s="8"/>
      <c r="D93" s="34"/>
    </row>
    <row r="94" customFormat="false" ht="15" hidden="false" customHeight="false" outlineLevel="0" collapsed="false">
      <c r="A94" s="46"/>
      <c r="B94" s="8"/>
      <c r="D94" s="34"/>
    </row>
    <row r="95" customFormat="false" ht="15" hidden="false" customHeight="false" outlineLevel="0" collapsed="false">
      <c r="A95" s="46"/>
      <c r="B95" s="8"/>
      <c r="D95" s="34"/>
    </row>
    <row r="96" customFormat="false" ht="15" hidden="false" customHeight="false" outlineLevel="0" collapsed="false">
      <c r="A96" s="46"/>
      <c r="B96" s="8"/>
      <c r="D96" s="34"/>
    </row>
    <row r="97" customFormat="false" ht="15" hidden="false" customHeight="false" outlineLevel="0" collapsed="false">
      <c r="A97" s="46"/>
      <c r="B97" s="8"/>
      <c r="D97" s="34"/>
    </row>
    <row r="98" customFormat="false" ht="15" hidden="false" customHeight="false" outlineLevel="0" collapsed="false">
      <c r="A98" s="46"/>
      <c r="B98" s="8"/>
      <c r="D98" s="34"/>
    </row>
    <row r="99" customFormat="false" ht="15" hidden="false" customHeight="false" outlineLevel="0" collapsed="false">
      <c r="A99" s="46"/>
      <c r="B99" s="8"/>
      <c r="D99" s="34"/>
    </row>
    <row r="100" customFormat="false" ht="15" hidden="false" customHeight="false" outlineLevel="0" collapsed="false">
      <c r="A100" s="46"/>
      <c r="B100" s="8"/>
      <c r="D100" s="34"/>
    </row>
  </sheetData>
  <dataValidations count="1">
    <dataValidation allowBlank="true" errorStyle="stop" operator="between" showDropDown="false" showErrorMessage="false" showInputMessage="false" sqref="D5:D10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22"/>
    <col collapsed="false" customWidth="true" hidden="false" outlineLevel="0" max="4" min="4" style="0" width="12"/>
    <col collapsed="false" customWidth="true" hidden="false" outlineLevel="0" max="5" min="5" style="0" width="14"/>
    <col collapsed="false" customWidth="true" hidden="false" outlineLevel="0" max="6" min="6" style="0" width="16"/>
  </cols>
  <sheetData>
    <row r="1" customFormat="false" ht="17.35" hidden="false" customHeight="false" outlineLevel="0" collapsed="false">
      <c r="A1" s="1" t="s">
        <v>603</v>
      </c>
    </row>
    <row r="2" customFormat="false" ht="15" hidden="false" customHeight="false" outlineLevel="0" collapsed="false">
      <c r="A2" s="2" t="s">
        <v>604</v>
      </c>
    </row>
    <row r="3" customFormat="false" ht="15" hidden="false" customHeight="false" outlineLevel="0" collapsed="false">
      <c r="A3" s="28" t="str">
        <f aca="false">"Con costo completo: "&amp;COUNTIF(F6:F200,"Completa")&amp;" de "&amp;COUNTA(A6:A200)&amp;" productos  ·  cubren el "&amp;TEXT(SUMIF(F6:F200,"Completa",D6:D200)/SUM(D6:D200),"0%")&amp;" de las unidades vendidas"</f>
        <v>Con costo completo: 1 de 131 productos  ·  cubren el 1% de las unidades vendidas</v>
      </c>
    </row>
    <row r="5" customFormat="false" ht="23.85" hidden="false" customHeight="false" outlineLevel="0" collapsed="false">
      <c r="A5" s="5" t="s">
        <v>82</v>
      </c>
      <c r="B5" s="5" t="s">
        <v>83</v>
      </c>
      <c r="C5" s="5" t="s">
        <v>84</v>
      </c>
      <c r="D5" s="5" t="s">
        <v>32</v>
      </c>
      <c r="E5" s="5" t="s">
        <v>605</v>
      </c>
      <c r="F5" s="5" t="s">
        <v>91</v>
      </c>
    </row>
    <row r="6" customFormat="false" ht="15" hidden="false" customHeight="false" outlineLevel="0" collapsed="false">
      <c r="A6" s="7" t="s">
        <v>606</v>
      </c>
      <c r="B6" s="7" t="s">
        <v>607</v>
      </c>
      <c r="C6" s="7" t="s">
        <v>608</v>
      </c>
      <c r="D6" s="51" t="n">
        <v>496</v>
      </c>
      <c r="E6" s="50" t="n">
        <v>26379</v>
      </c>
      <c r="F6" s="49" t="str">
        <f aca="false">IF(COUNTIF(Productos!$A$6:$A$110,A6)=0,IF(C6="KIT/DÚO","Kit (después)","No está"),IF(COUNTIFS(Productos!$A$6:$A$110,A6,Productos!$P$6:$P$110,"&gt;0")&gt;0,"Completa","Faltan datos"))</f>
        <v>Kit (después)</v>
      </c>
    </row>
    <row r="7" customFormat="false" ht="15" hidden="false" customHeight="false" outlineLevel="0" collapsed="false">
      <c r="A7" s="7" t="s">
        <v>609</v>
      </c>
      <c r="B7" s="7" t="s">
        <v>610</v>
      </c>
      <c r="C7" s="7" t="s">
        <v>611</v>
      </c>
      <c r="D7" s="51" t="n">
        <v>387</v>
      </c>
      <c r="E7" s="50" t="n">
        <v>2094</v>
      </c>
      <c r="F7" s="49" t="str">
        <f aca="false">IF(COUNTIF(Productos!$A$6:$A$110,A7)=0,IF(C7="KIT/DÚO","Kit (después)","No está"),IF(COUNTIFS(Productos!$A$6:$A$110,A7,Productos!$P$6:$P$110,"&gt;0")&gt;0,"Completa","Faltan datos"))</f>
        <v>No está</v>
      </c>
    </row>
    <row r="8" customFormat="false" ht="15" hidden="false" customHeight="false" outlineLevel="0" collapsed="false">
      <c r="A8" s="7" t="s">
        <v>612</v>
      </c>
      <c r="B8" s="7" t="s">
        <v>613</v>
      </c>
      <c r="C8" s="7" t="s">
        <v>608</v>
      </c>
      <c r="D8" s="51" t="n">
        <v>214</v>
      </c>
      <c r="E8" s="50" t="n">
        <v>29580</v>
      </c>
      <c r="F8" s="49" t="str">
        <f aca="false">IF(COUNTIF(Productos!$A$6:$A$110,A8)=0,IF(C8="KIT/DÚO","Kit (después)","No está"),IF(COUNTIFS(Productos!$A$6:$A$110,A8,Productos!$P$6:$P$110,"&gt;0")&gt;0,"Completa","Faltan datos"))</f>
        <v>Kit (después)</v>
      </c>
    </row>
    <row r="9" customFormat="false" ht="15" hidden="false" customHeight="false" outlineLevel="0" collapsed="false">
      <c r="A9" s="7" t="s">
        <v>614</v>
      </c>
      <c r="B9" s="7" t="s">
        <v>615</v>
      </c>
      <c r="C9" s="7" t="s">
        <v>611</v>
      </c>
      <c r="D9" s="51" t="n">
        <v>214</v>
      </c>
      <c r="E9" s="50" t="n">
        <v>2941</v>
      </c>
      <c r="F9" s="49" t="str">
        <f aca="false">IF(COUNTIF(Productos!$A$6:$A$110,A9)=0,IF(C9="KIT/DÚO","Kit (después)","No está"),IF(COUNTIFS(Productos!$A$6:$A$110,A9,Productos!$P$6:$P$110,"&gt;0")&gt;0,"Completa","Faltan datos"))</f>
        <v>No está</v>
      </c>
    </row>
    <row r="10" customFormat="false" ht="15" hidden="false" customHeight="false" outlineLevel="0" collapsed="false">
      <c r="A10" s="7" t="s">
        <v>616</v>
      </c>
      <c r="B10" s="7" t="s">
        <v>617</v>
      </c>
      <c r="C10" s="7" t="s">
        <v>618</v>
      </c>
      <c r="D10" s="51" t="n">
        <v>209</v>
      </c>
      <c r="E10" s="50" t="n">
        <v>9734</v>
      </c>
      <c r="F10" s="49" t="str">
        <f aca="false">IF(COUNTIF(Productos!$A$6:$A$110,A10)=0,IF(C10="KIT/DÚO","Kit (después)","No está"),IF(COUNTIFS(Productos!$A$6:$A$110,A10,Productos!$P$6:$P$110,"&gt;0")&gt;0,"Completa","Faltan datos"))</f>
        <v>No está</v>
      </c>
    </row>
    <row r="11" customFormat="false" ht="15" hidden="false" customHeight="false" outlineLevel="0" collapsed="false">
      <c r="A11" s="7" t="s">
        <v>619</v>
      </c>
      <c r="B11" s="7" t="s">
        <v>620</v>
      </c>
      <c r="C11" s="7" t="s">
        <v>611</v>
      </c>
      <c r="D11" s="51" t="n">
        <v>207</v>
      </c>
      <c r="E11" s="50" t="n">
        <v>2941</v>
      </c>
      <c r="F11" s="49" t="str">
        <f aca="false">IF(COUNTIF(Productos!$A$6:$A$110,A11)=0,IF(C11="KIT/DÚO","Kit (después)","No está"),IF(COUNTIFS(Productos!$A$6:$A$110,A11,Productos!$P$6:$P$110,"&gt;0")&gt;0,"Completa","Faltan datos"))</f>
        <v>No está</v>
      </c>
    </row>
    <row r="12" customFormat="false" ht="15" hidden="false" customHeight="false" outlineLevel="0" collapsed="false">
      <c r="A12" s="7" t="s">
        <v>109</v>
      </c>
      <c r="B12" s="7" t="s">
        <v>110</v>
      </c>
      <c r="C12" s="7" t="s">
        <v>621</v>
      </c>
      <c r="D12" s="51" t="n">
        <v>198</v>
      </c>
      <c r="E12" s="50" t="n">
        <v>15994</v>
      </c>
      <c r="F12" s="49" t="str">
        <f aca="false">IF(COUNTIF(Productos!$A$6:$A$110,A12)=0,IF(C12="KIT/DÚO","Kit (después)","No está"),IF(COUNTIFS(Productos!$A$6:$A$110,A12,Productos!$P$6:$P$110,"&gt;0")&gt;0,"Completa","Faltan datos"))</f>
        <v>Faltan datos</v>
      </c>
    </row>
    <row r="13" customFormat="false" ht="15" hidden="false" customHeight="false" outlineLevel="0" collapsed="false">
      <c r="A13" s="7" t="s">
        <v>115</v>
      </c>
      <c r="B13" s="7" t="s">
        <v>116</v>
      </c>
      <c r="C13" s="7" t="s">
        <v>621</v>
      </c>
      <c r="D13" s="51" t="n">
        <v>190</v>
      </c>
      <c r="E13" s="50" t="n">
        <v>16073</v>
      </c>
      <c r="F13" s="49" t="str">
        <f aca="false">IF(COUNTIF(Productos!$A$6:$A$110,A13)=0,IF(C13="KIT/DÚO","Kit (después)","No está"),IF(COUNTIFS(Productos!$A$6:$A$110,A13,Productos!$P$6:$P$110,"&gt;0")&gt;0,"Completa","Faltan datos"))</f>
        <v>Faltan datos</v>
      </c>
    </row>
    <row r="14" customFormat="false" ht="15" hidden="false" customHeight="false" outlineLevel="0" collapsed="false">
      <c r="A14" s="7" t="s">
        <v>622</v>
      </c>
      <c r="B14" s="7" t="s">
        <v>623</v>
      </c>
      <c r="C14" s="7" t="s">
        <v>611</v>
      </c>
      <c r="D14" s="51" t="n">
        <v>161</v>
      </c>
      <c r="E14" s="50" t="n">
        <v>2521</v>
      </c>
      <c r="F14" s="49" t="str">
        <f aca="false">IF(COUNTIF(Productos!$A$6:$A$110,A14)=0,IF(C14="KIT/DÚO","Kit (después)","No está"),IF(COUNTIFS(Productos!$A$6:$A$110,A14,Productos!$P$6:$P$110,"&gt;0")&gt;0,"Completa","Faltan datos"))</f>
        <v>No está</v>
      </c>
    </row>
    <row r="15" customFormat="false" ht="15" hidden="false" customHeight="false" outlineLevel="0" collapsed="false">
      <c r="A15" s="7" t="s">
        <v>118</v>
      </c>
      <c r="B15" s="7" t="s">
        <v>119</v>
      </c>
      <c r="C15" s="7" t="s">
        <v>621</v>
      </c>
      <c r="D15" s="51" t="n">
        <v>160</v>
      </c>
      <c r="E15" s="50" t="n">
        <v>18403</v>
      </c>
      <c r="F15" s="49" t="str">
        <f aca="false">IF(COUNTIF(Productos!$A$6:$A$110,A15)=0,IF(C15="KIT/DÚO","Kit (después)","No está"),IF(COUNTIFS(Productos!$A$6:$A$110,A15,Productos!$P$6:$P$110,"&gt;0")&gt;0,"Completa","Faltan datos"))</f>
        <v>Faltan datos</v>
      </c>
    </row>
    <row r="16" customFormat="false" ht="15" hidden="false" customHeight="false" outlineLevel="0" collapsed="false">
      <c r="A16" s="7" t="s">
        <v>624</v>
      </c>
      <c r="B16" s="7" t="s">
        <v>625</v>
      </c>
      <c r="C16" s="7" t="s">
        <v>608</v>
      </c>
      <c r="D16" s="51" t="n">
        <v>148</v>
      </c>
      <c r="E16" s="50" t="n">
        <v>38898</v>
      </c>
      <c r="F16" s="49" t="str">
        <f aca="false">IF(COUNTIF(Productos!$A$6:$A$110,A16)=0,IF(C16="KIT/DÚO","Kit (después)","No está"),IF(COUNTIFS(Productos!$A$6:$A$110,A16,Productos!$P$6:$P$110,"&gt;0")&gt;0,"Completa","Faltan datos"))</f>
        <v>Kit (después)</v>
      </c>
    </row>
    <row r="17" customFormat="false" ht="15" hidden="false" customHeight="false" outlineLevel="0" collapsed="false">
      <c r="A17" s="7" t="s">
        <v>124</v>
      </c>
      <c r="B17" s="7" t="s">
        <v>125</v>
      </c>
      <c r="C17" s="7" t="s">
        <v>621</v>
      </c>
      <c r="D17" s="51" t="n">
        <v>139</v>
      </c>
      <c r="E17" s="50" t="n">
        <v>17563</v>
      </c>
      <c r="F17" s="49" t="str">
        <f aca="false">IF(COUNTIF(Productos!$A$6:$A$110,A17)=0,IF(C17="KIT/DÚO","Kit (después)","No está"),IF(COUNTIFS(Productos!$A$6:$A$110,A17,Productos!$P$6:$P$110,"&gt;0")&gt;0,"Completa","Faltan datos"))</f>
        <v>Faltan datos</v>
      </c>
    </row>
    <row r="18" customFormat="false" ht="15" hidden="false" customHeight="false" outlineLevel="0" collapsed="false">
      <c r="A18" s="7" t="s">
        <v>626</v>
      </c>
      <c r="B18" s="7" t="s">
        <v>627</v>
      </c>
      <c r="C18" s="7" t="s">
        <v>611</v>
      </c>
      <c r="D18" s="51" t="n">
        <v>130</v>
      </c>
      <c r="E18" s="50" t="n">
        <v>840</v>
      </c>
      <c r="F18" s="49" t="str">
        <f aca="false">IF(COUNTIF(Productos!$A$6:$A$110,A18)=0,IF(C18="KIT/DÚO","Kit (después)","No está"),IF(COUNTIFS(Productos!$A$6:$A$110,A18,Productos!$P$6:$P$110,"&gt;0")&gt;0,"Completa","Faltan datos"))</f>
        <v>No está</v>
      </c>
    </row>
    <row r="19" customFormat="false" ht="15" hidden="false" customHeight="false" outlineLevel="0" collapsed="false">
      <c r="A19" s="7" t="s">
        <v>628</v>
      </c>
      <c r="B19" s="7" t="s">
        <v>629</v>
      </c>
      <c r="C19" s="7" t="s">
        <v>611</v>
      </c>
      <c r="D19" s="51" t="n">
        <v>126</v>
      </c>
      <c r="E19" s="50" t="n">
        <v>4202</v>
      </c>
      <c r="F19" s="49" t="str">
        <f aca="false">IF(COUNTIF(Productos!$A$6:$A$110,A19)=0,IF(C19="KIT/DÚO","Kit (después)","No está"),IF(COUNTIFS(Productos!$A$6:$A$110,A19,Productos!$P$6:$P$110,"&gt;0")&gt;0,"Completa","Faltan datos"))</f>
        <v>No está</v>
      </c>
    </row>
    <row r="20" customFormat="false" ht="15" hidden="false" customHeight="false" outlineLevel="0" collapsed="false">
      <c r="A20" s="7" t="s">
        <v>127</v>
      </c>
      <c r="B20" s="7" t="s">
        <v>128</v>
      </c>
      <c r="C20" s="7" t="s">
        <v>621</v>
      </c>
      <c r="D20" s="51" t="n">
        <v>109</v>
      </c>
      <c r="E20" s="50" t="n">
        <v>18403</v>
      </c>
      <c r="F20" s="49" t="str">
        <f aca="false">IF(COUNTIF(Productos!$A$6:$A$110,A20)=0,IF(C20="KIT/DÚO","Kit (después)","No está"),IF(COUNTIFS(Productos!$A$6:$A$110,A20,Productos!$P$6:$P$110,"&gt;0")&gt;0,"Completa","Faltan datos"))</f>
        <v>Faltan datos</v>
      </c>
    </row>
    <row r="21" customFormat="false" ht="15" hidden="false" customHeight="false" outlineLevel="0" collapsed="false">
      <c r="A21" s="7" t="s">
        <v>130</v>
      </c>
      <c r="B21" s="7" t="s">
        <v>131</v>
      </c>
      <c r="C21" s="7" t="s">
        <v>621</v>
      </c>
      <c r="D21" s="51" t="n">
        <v>109</v>
      </c>
      <c r="E21" s="50" t="n">
        <v>16589</v>
      </c>
      <c r="F21" s="49" t="str">
        <f aca="false">IF(COUNTIF(Productos!$A$6:$A$110,A21)=0,IF(C21="KIT/DÚO","Kit (después)","No está"),IF(COUNTIFS(Productos!$A$6:$A$110,A21,Productos!$P$6:$P$110,"&gt;0")&gt;0,"Completa","Faltan datos"))</f>
        <v>Faltan datos</v>
      </c>
    </row>
    <row r="22" customFormat="false" ht="15" hidden="false" customHeight="false" outlineLevel="0" collapsed="false">
      <c r="A22" s="7" t="s">
        <v>134</v>
      </c>
      <c r="B22" s="7" t="s">
        <v>135</v>
      </c>
      <c r="C22" s="7" t="s">
        <v>630</v>
      </c>
      <c r="D22" s="51" t="n">
        <v>109</v>
      </c>
      <c r="E22" s="50" t="n">
        <v>17004</v>
      </c>
      <c r="F22" s="49" t="str">
        <f aca="false">IF(COUNTIF(Productos!$A$6:$A$110,A22)=0,IF(C22="KIT/DÚO","Kit (después)","No está"),IF(COUNTIFS(Productos!$A$6:$A$110,A22,Productos!$P$6:$P$110,"&gt;0")&gt;0,"Completa","Faltan datos"))</f>
        <v>Faltan datos</v>
      </c>
    </row>
    <row r="23" customFormat="false" ht="15" hidden="false" customHeight="false" outlineLevel="0" collapsed="false">
      <c r="A23" s="7" t="s">
        <v>631</v>
      </c>
      <c r="B23" s="7" t="s">
        <v>632</v>
      </c>
      <c r="C23" s="7" t="s">
        <v>608</v>
      </c>
      <c r="D23" s="51" t="n">
        <v>105</v>
      </c>
      <c r="E23" s="50" t="n">
        <v>23697</v>
      </c>
      <c r="F23" s="49" t="str">
        <f aca="false">IF(COUNTIF(Productos!$A$6:$A$110,A23)=0,IF(C23="KIT/DÚO","Kit (después)","No está"),IF(COUNTIFS(Productos!$A$6:$A$110,A23,Productos!$P$6:$P$110,"&gt;0")&gt;0,"Completa","Faltan datos"))</f>
        <v>Kit (después)</v>
      </c>
    </row>
    <row r="24" customFormat="false" ht="15" hidden="false" customHeight="false" outlineLevel="0" collapsed="false">
      <c r="A24" s="7" t="s">
        <v>137</v>
      </c>
      <c r="B24" s="7" t="s">
        <v>138</v>
      </c>
      <c r="C24" s="7" t="s">
        <v>621</v>
      </c>
      <c r="D24" s="51" t="n">
        <v>100</v>
      </c>
      <c r="E24" s="50" t="n">
        <v>25714</v>
      </c>
      <c r="F24" s="49" t="str">
        <f aca="false">IF(COUNTIF(Productos!$A$6:$A$110,A24)=0,IF(C24="KIT/DÚO","Kit (después)","No está"),IF(COUNTIFS(Productos!$A$6:$A$110,A24,Productos!$P$6:$P$110,"&gt;0")&gt;0,"Completa","Faltan datos"))</f>
        <v>Faltan datos</v>
      </c>
    </row>
    <row r="25" customFormat="false" ht="15" hidden="false" customHeight="false" outlineLevel="0" collapsed="false">
      <c r="A25" s="7" t="s">
        <v>139</v>
      </c>
      <c r="B25" s="7" t="s">
        <v>140</v>
      </c>
      <c r="C25" s="7" t="s">
        <v>630</v>
      </c>
      <c r="D25" s="51" t="n">
        <v>99</v>
      </c>
      <c r="E25" s="50" t="n">
        <v>18729</v>
      </c>
      <c r="F25" s="49" t="str">
        <f aca="false">IF(COUNTIF(Productos!$A$6:$A$110,A25)=0,IF(C25="KIT/DÚO","Kit (después)","No está"),IF(COUNTIFS(Productos!$A$6:$A$110,A25,Productos!$P$6:$P$110,"&gt;0")&gt;0,"Completa","Faltan datos"))</f>
        <v>Faltan datos</v>
      </c>
    </row>
    <row r="26" customFormat="false" ht="15" hidden="false" customHeight="false" outlineLevel="0" collapsed="false">
      <c r="A26" s="7" t="s">
        <v>141</v>
      </c>
      <c r="B26" s="7" t="s">
        <v>142</v>
      </c>
      <c r="C26" s="7" t="s">
        <v>621</v>
      </c>
      <c r="D26" s="51" t="n">
        <v>96</v>
      </c>
      <c r="E26" s="50" t="n">
        <v>15588</v>
      </c>
      <c r="F26" s="49" t="str">
        <f aca="false">IF(COUNTIF(Productos!$A$6:$A$110,A26)=0,IF(C26="KIT/DÚO","Kit (después)","No está"),IF(COUNTIFS(Productos!$A$6:$A$110,A26,Productos!$P$6:$P$110,"&gt;0")&gt;0,"Completa","Faltan datos"))</f>
        <v>Faltan datos</v>
      </c>
    </row>
    <row r="27" customFormat="false" ht="15" hidden="false" customHeight="false" outlineLevel="0" collapsed="false">
      <c r="A27" s="7" t="s">
        <v>143</v>
      </c>
      <c r="B27" s="7" t="s">
        <v>144</v>
      </c>
      <c r="C27" s="7" t="s">
        <v>621</v>
      </c>
      <c r="D27" s="51" t="n">
        <v>93</v>
      </c>
      <c r="E27" s="50" t="n">
        <v>21765</v>
      </c>
      <c r="F27" s="49" t="str">
        <f aca="false">IF(COUNTIF(Productos!$A$6:$A$110,A27)=0,IF(C27="KIT/DÚO","Kit (después)","No está"),IF(COUNTIFS(Productos!$A$6:$A$110,A27,Productos!$P$6:$P$110,"&gt;0")&gt;0,"Completa","Faltan datos"))</f>
        <v>Faltan datos</v>
      </c>
    </row>
    <row r="28" customFormat="false" ht="15" hidden="false" customHeight="false" outlineLevel="0" collapsed="false">
      <c r="A28" s="7" t="s">
        <v>633</v>
      </c>
      <c r="B28" s="7" t="s">
        <v>634</v>
      </c>
      <c r="C28" s="7" t="s">
        <v>608</v>
      </c>
      <c r="D28" s="51" t="n">
        <v>91</v>
      </c>
      <c r="E28" s="50" t="n">
        <v>26263</v>
      </c>
      <c r="F28" s="49" t="str">
        <f aca="false">IF(COUNTIF(Productos!$A$6:$A$110,A28)=0,IF(C28="KIT/DÚO","Kit (después)","No está"),IF(COUNTIFS(Productos!$A$6:$A$110,A28,Productos!$P$6:$P$110,"&gt;0")&gt;0,"Completa","Faltan datos"))</f>
        <v>Kit (después)</v>
      </c>
    </row>
    <row r="29" customFormat="false" ht="15" hidden="false" customHeight="false" outlineLevel="0" collapsed="false">
      <c r="A29" s="7" t="s">
        <v>145</v>
      </c>
      <c r="B29" s="7" t="s">
        <v>146</v>
      </c>
      <c r="C29" s="7" t="s">
        <v>630</v>
      </c>
      <c r="D29" s="51" t="n">
        <v>76</v>
      </c>
      <c r="E29" s="50" t="n">
        <v>44010</v>
      </c>
      <c r="F29" s="49" t="str">
        <f aca="false">IF(COUNTIF(Productos!$A$6:$A$110,A29)=0,IF(C29="KIT/DÚO","Kit (después)","No está"),IF(COUNTIFS(Productos!$A$6:$A$110,A29,Productos!$P$6:$P$110,"&gt;0")&gt;0,"Completa","Faltan datos"))</f>
        <v>Faltan datos</v>
      </c>
    </row>
    <row r="30" customFormat="false" ht="15" hidden="false" customHeight="false" outlineLevel="0" collapsed="false">
      <c r="A30" s="7" t="s">
        <v>635</v>
      </c>
      <c r="B30" s="7" t="s">
        <v>636</v>
      </c>
      <c r="C30" s="7" t="s">
        <v>611</v>
      </c>
      <c r="D30" s="51" t="n">
        <v>72</v>
      </c>
      <c r="E30" s="50" t="n">
        <v>2521</v>
      </c>
      <c r="F30" s="49" t="str">
        <f aca="false">IF(COUNTIF(Productos!$A$6:$A$110,A30)=0,IF(C30="KIT/DÚO","Kit (después)","No está"),IF(COUNTIFS(Productos!$A$6:$A$110,A30,Productos!$P$6:$P$110,"&gt;0")&gt;0,"Completa","Faltan datos"))</f>
        <v>No está</v>
      </c>
    </row>
    <row r="31" customFormat="false" ht="15" hidden="false" customHeight="false" outlineLevel="0" collapsed="false">
      <c r="A31" s="7" t="s">
        <v>637</v>
      </c>
      <c r="B31" s="7" t="s">
        <v>638</v>
      </c>
      <c r="C31" s="7" t="s">
        <v>611</v>
      </c>
      <c r="D31" s="51" t="n">
        <v>67</v>
      </c>
      <c r="E31" s="50" t="n">
        <v>2101</v>
      </c>
      <c r="F31" s="49" t="str">
        <f aca="false">IF(COUNTIF(Productos!$A$6:$A$110,A31)=0,IF(C31="KIT/DÚO","Kit (después)","No está"),IF(COUNTIFS(Productos!$A$6:$A$110,A31,Productos!$P$6:$P$110,"&gt;0")&gt;0,"Completa","Faltan datos"))</f>
        <v>No está</v>
      </c>
    </row>
    <row r="32" customFormat="false" ht="15" hidden="false" customHeight="false" outlineLevel="0" collapsed="false">
      <c r="A32" s="7" t="s">
        <v>147</v>
      </c>
      <c r="B32" s="7" t="s">
        <v>148</v>
      </c>
      <c r="C32" s="7" t="s">
        <v>621</v>
      </c>
      <c r="D32" s="51" t="n">
        <v>66</v>
      </c>
      <c r="E32" s="50" t="n">
        <v>21554</v>
      </c>
      <c r="F32" s="49" t="str">
        <f aca="false">IF(COUNTIF(Productos!$A$6:$A$110,A32)=0,IF(C32="KIT/DÚO","Kit (después)","No está"),IF(COUNTIFS(Productos!$A$6:$A$110,A32,Productos!$P$6:$P$110,"&gt;0")&gt;0,"Completa","Faltan datos"))</f>
        <v>Faltan datos</v>
      </c>
    </row>
    <row r="33" customFormat="false" ht="15" hidden="false" customHeight="false" outlineLevel="0" collapsed="false">
      <c r="A33" s="7" t="s">
        <v>149</v>
      </c>
      <c r="B33" s="7" t="s">
        <v>150</v>
      </c>
      <c r="C33" s="7" t="s">
        <v>621</v>
      </c>
      <c r="D33" s="51" t="n">
        <v>65</v>
      </c>
      <c r="E33" s="50" t="n">
        <v>19244</v>
      </c>
      <c r="F33" s="49" t="str">
        <f aca="false">IF(COUNTIF(Productos!$A$6:$A$110,A33)=0,IF(C33="KIT/DÚO","Kit (después)","No está"),IF(COUNTIFS(Productos!$A$6:$A$110,A33,Productos!$P$6:$P$110,"&gt;0")&gt;0,"Completa","Faltan datos"))</f>
        <v>Completa</v>
      </c>
    </row>
    <row r="34" customFormat="false" ht="15" hidden="false" customHeight="false" outlineLevel="0" collapsed="false">
      <c r="A34" s="7" t="s">
        <v>639</v>
      </c>
      <c r="B34" s="7" t="s">
        <v>640</v>
      </c>
      <c r="C34" s="7" t="s">
        <v>611</v>
      </c>
      <c r="D34" s="51" t="n">
        <v>65</v>
      </c>
      <c r="E34" s="50" t="n">
        <v>1681</v>
      </c>
      <c r="F34" s="49" t="str">
        <f aca="false">IF(COUNTIF(Productos!$A$6:$A$110,A34)=0,IF(C34="KIT/DÚO","Kit (después)","No está"),IF(COUNTIFS(Productos!$A$6:$A$110,A34,Productos!$P$6:$P$110,"&gt;0")&gt;0,"Completa","Faltan datos"))</f>
        <v>No está</v>
      </c>
    </row>
    <row r="35" customFormat="false" ht="15" hidden="false" customHeight="false" outlineLevel="0" collapsed="false">
      <c r="A35" s="7" t="s">
        <v>153</v>
      </c>
      <c r="B35" s="7" t="s">
        <v>154</v>
      </c>
      <c r="C35" s="7" t="s">
        <v>630</v>
      </c>
      <c r="D35" s="51" t="n">
        <v>62</v>
      </c>
      <c r="E35" s="50" t="n">
        <v>36050</v>
      </c>
      <c r="F35" s="49" t="str">
        <f aca="false">IF(COUNTIF(Productos!$A$6:$A$110,A35)=0,IF(C35="KIT/DÚO","Kit (después)","No está"),IF(COUNTIFS(Productos!$A$6:$A$110,A35,Productos!$P$6:$P$110,"&gt;0")&gt;0,"Completa","Faltan datos"))</f>
        <v>Faltan datos</v>
      </c>
    </row>
    <row r="36" customFormat="false" ht="15" hidden="false" customHeight="false" outlineLevel="0" collapsed="false">
      <c r="A36" s="7" t="s">
        <v>155</v>
      </c>
      <c r="B36" s="7" t="s">
        <v>156</v>
      </c>
      <c r="C36" s="7" t="s">
        <v>621</v>
      </c>
      <c r="D36" s="51" t="n">
        <v>61</v>
      </c>
      <c r="E36" s="50" t="n">
        <v>12507</v>
      </c>
      <c r="F36" s="49" t="str">
        <f aca="false">IF(COUNTIF(Productos!$A$6:$A$110,A36)=0,IF(C36="KIT/DÚO","Kit (después)","No está"),IF(COUNTIFS(Productos!$A$6:$A$110,A36,Productos!$P$6:$P$110,"&gt;0")&gt;0,"Completa","Faltan datos"))</f>
        <v>Faltan datos</v>
      </c>
    </row>
    <row r="37" customFormat="false" ht="15" hidden="false" customHeight="false" outlineLevel="0" collapsed="false">
      <c r="A37" s="7" t="s">
        <v>641</v>
      </c>
      <c r="B37" s="7" t="s">
        <v>642</v>
      </c>
      <c r="C37" s="7" t="s">
        <v>608</v>
      </c>
      <c r="D37" s="51" t="n">
        <v>61</v>
      </c>
      <c r="E37" s="50" t="n">
        <v>17935</v>
      </c>
      <c r="F37" s="49" t="str">
        <f aca="false">IF(COUNTIF(Productos!$A$6:$A$110,A37)=0,IF(C37="KIT/DÚO","Kit (después)","No está"),IF(COUNTIFS(Productos!$A$6:$A$110,A37,Productos!$P$6:$P$110,"&gt;0")&gt;0,"Completa","Faltan datos"))</f>
        <v>Kit (después)</v>
      </c>
    </row>
    <row r="38" customFormat="false" ht="15" hidden="false" customHeight="false" outlineLevel="0" collapsed="false">
      <c r="A38" s="7" t="s">
        <v>159</v>
      </c>
      <c r="B38" s="7" t="s">
        <v>160</v>
      </c>
      <c r="C38" s="7" t="s">
        <v>630</v>
      </c>
      <c r="D38" s="51" t="n">
        <v>60</v>
      </c>
      <c r="E38" s="50" t="n">
        <v>41933</v>
      </c>
      <c r="F38" s="49" t="str">
        <f aca="false">IF(COUNTIF(Productos!$A$6:$A$110,A38)=0,IF(C38="KIT/DÚO","Kit (después)","No está"),IF(COUNTIFS(Productos!$A$6:$A$110,A38,Productos!$P$6:$P$110,"&gt;0")&gt;0,"Completa","Faltan datos"))</f>
        <v>Faltan datos</v>
      </c>
    </row>
    <row r="39" customFormat="false" ht="15" hidden="false" customHeight="false" outlineLevel="0" collapsed="false">
      <c r="A39" s="7" t="s">
        <v>161</v>
      </c>
      <c r="B39" s="7" t="s">
        <v>162</v>
      </c>
      <c r="C39" s="7" t="s">
        <v>621</v>
      </c>
      <c r="D39" s="51" t="n">
        <v>55</v>
      </c>
      <c r="E39" s="50" t="n">
        <v>8059</v>
      </c>
      <c r="F39" s="49" t="str">
        <f aca="false">IF(COUNTIF(Productos!$A$6:$A$110,A39)=0,IF(C39="KIT/DÚO","Kit (después)","No está"),IF(COUNTIFS(Productos!$A$6:$A$110,A39,Productos!$P$6:$P$110,"&gt;0")&gt;0,"Completa","Faltan datos"))</f>
        <v>Faltan datos</v>
      </c>
    </row>
    <row r="40" customFormat="false" ht="15" hidden="false" customHeight="false" outlineLevel="0" collapsed="false">
      <c r="A40" s="7" t="s">
        <v>643</v>
      </c>
      <c r="B40" s="7" t="s">
        <v>644</v>
      </c>
      <c r="C40" s="7" t="s">
        <v>611</v>
      </c>
      <c r="D40" s="51" t="n">
        <v>53</v>
      </c>
      <c r="E40" s="50" t="n">
        <v>4640</v>
      </c>
      <c r="F40" s="49" t="str">
        <f aca="false">IF(COUNTIF(Productos!$A$6:$A$110,A40)=0,IF(C40="KIT/DÚO","Kit (después)","No está"),IF(COUNTIFS(Productos!$A$6:$A$110,A40,Productos!$P$6:$P$110,"&gt;0")&gt;0,"Completa","Faltan datos"))</f>
        <v>No está</v>
      </c>
    </row>
    <row r="41" customFormat="false" ht="15" hidden="false" customHeight="false" outlineLevel="0" collapsed="false">
      <c r="A41" s="7" t="s">
        <v>166</v>
      </c>
      <c r="B41" s="7" t="s">
        <v>167</v>
      </c>
      <c r="C41" s="7" t="s">
        <v>621</v>
      </c>
      <c r="D41" s="51" t="n">
        <v>50</v>
      </c>
      <c r="E41" s="50" t="n">
        <v>19244</v>
      </c>
      <c r="F41" s="49" t="str">
        <f aca="false">IF(COUNTIF(Productos!$A$6:$A$110,A41)=0,IF(C41="KIT/DÚO","Kit (después)","No está"),IF(COUNTIFS(Productos!$A$6:$A$110,A41,Productos!$P$6:$P$110,"&gt;0")&gt;0,"Completa","Faltan datos"))</f>
        <v>Faltan datos</v>
      </c>
    </row>
    <row r="42" customFormat="false" ht="15" hidden="false" customHeight="false" outlineLevel="0" collapsed="false">
      <c r="A42" s="7" t="s">
        <v>645</v>
      </c>
      <c r="B42" s="7" t="s">
        <v>646</v>
      </c>
      <c r="C42" s="7" t="s">
        <v>608</v>
      </c>
      <c r="D42" s="51" t="n">
        <v>50</v>
      </c>
      <c r="E42" s="50" t="n">
        <v>33529</v>
      </c>
      <c r="F42" s="49" t="str">
        <f aca="false">IF(COUNTIF(Productos!$A$6:$A$110,A42)=0,IF(C42="KIT/DÚO","Kit (después)","No está"),IF(COUNTIFS(Productos!$A$6:$A$110,A42,Productos!$P$6:$P$110,"&gt;0")&gt;0,"Completa","Faltan datos"))</f>
        <v>Kit (después)</v>
      </c>
    </row>
    <row r="43" customFormat="false" ht="15" hidden="false" customHeight="false" outlineLevel="0" collapsed="false">
      <c r="A43" s="7" t="s">
        <v>168</v>
      </c>
      <c r="B43" s="7" t="s">
        <v>169</v>
      </c>
      <c r="C43" s="7" t="s">
        <v>621</v>
      </c>
      <c r="D43" s="51" t="n">
        <v>48</v>
      </c>
      <c r="E43" s="50" t="n">
        <v>8319</v>
      </c>
      <c r="F43" s="49" t="str">
        <f aca="false">IF(COUNTIF(Productos!$A$6:$A$110,A43)=0,IF(C43="KIT/DÚO","Kit (después)","No está"),IF(COUNTIFS(Productos!$A$6:$A$110,A43,Productos!$P$6:$P$110,"&gt;0")&gt;0,"Completa","Faltan datos"))</f>
        <v>Faltan datos</v>
      </c>
    </row>
    <row r="44" customFormat="false" ht="15" hidden="false" customHeight="false" outlineLevel="0" collapsed="false">
      <c r="A44" s="7" t="s">
        <v>170</v>
      </c>
      <c r="B44" s="7" t="s">
        <v>171</v>
      </c>
      <c r="C44" s="7" t="s">
        <v>621</v>
      </c>
      <c r="D44" s="51" t="n">
        <v>48</v>
      </c>
      <c r="E44" s="50" t="n">
        <v>16723</v>
      </c>
      <c r="F44" s="49" t="str">
        <f aca="false">IF(COUNTIF(Productos!$A$6:$A$110,A44)=0,IF(C44="KIT/DÚO","Kit (después)","No está"),IF(COUNTIFS(Productos!$A$6:$A$110,A44,Productos!$P$6:$P$110,"&gt;0")&gt;0,"Completa","Faltan datos"))</f>
        <v>Faltan datos</v>
      </c>
    </row>
    <row r="45" customFormat="false" ht="15" hidden="false" customHeight="false" outlineLevel="0" collapsed="false">
      <c r="A45" s="7" t="s">
        <v>172</v>
      </c>
      <c r="B45" s="7" t="s">
        <v>173</v>
      </c>
      <c r="C45" s="7" t="s">
        <v>630</v>
      </c>
      <c r="D45" s="51" t="n">
        <v>47</v>
      </c>
      <c r="E45" s="50" t="n">
        <v>26134</v>
      </c>
      <c r="F45" s="49" t="str">
        <f aca="false">IF(COUNTIF(Productos!$A$6:$A$110,A45)=0,IF(C45="KIT/DÚO","Kit (después)","No está"),IF(COUNTIFS(Productos!$A$6:$A$110,A45,Productos!$P$6:$P$110,"&gt;0")&gt;0,"Completa","Faltan datos"))</f>
        <v>Faltan datos</v>
      </c>
    </row>
    <row r="46" customFormat="false" ht="15" hidden="false" customHeight="false" outlineLevel="0" collapsed="false">
      <c r="A46" s="7" t="s">
        <v>647</v>
      </c>
      <c r="B46" s="7" t="s">
        <v>648</v>
      </c>
      <c r="C46" s="7" t="s">
        <v>608</v>
      </c>
      <c r="D46" s="51" t="n">
        <v>47</v>
      </c>
      <c r="E46" s="50" t="n">
        <v>30084</v>
      </c>
      <c r="F46" s="49" t="str">
        <f aca="false">IF(COUNTIF(Productos!$A$6:$A$110,A46)=0,IF(C46="KIT/DÚO","Kit (después)","No está"),IF(COUNTIFS(Productos!$A$6:$A$110,A46,Productos!$P$6:$P$110,"&gt;0")&gt;0,"Completa","Faltan datos"))</f>
        <v>Kit (después)</v>
      </c>
    </row>
    <row r="47" customFormat="false" ht="15" hidden="false" customHeight="false" outlineLevel="0" collapsed="false">
      <c r="A47" s="7" t="s">
        <v>174</v>
      </c>
      <c r="B47" s="7" t="s">
        <v>175</v>
      </c>
      <c r="C47" s="7" t="s">
        <v>621</v>
      </c>
      <c r="D47" s="51" t="n">
        <v>44</v>
      </c>
      <c r="E47" s="50" t="n">
        <v>27605</v>
      </c>
      <c r="F47" s="49" t="str">
        <f aca="false">IF(COUNTIF(Productos!$A$6:$A$110,A47)=0,IF(C47="KIT/DÚO","Kit (después)","No está"),IF(COUNTIFS(Productos!$A$6:$A$110,A47,Productos!$P$6:$P$110,"&gt;0")&gt;0,"Completa","Faltan datos"))</f>
        <v>Faltan datos</v>
      </c>
    </row>
    <row r="48" customFormat="false" ht="15" hidden="false" customHeight="false" outlineLevel="0" collapsed="false">
      <c r="A48" s="7" t="s">
        <v>176</v>
      </c>
      <c r="B48" s="7" t="s">
        <v>177</v>
      </c>
      <c r="C48" s="7" t="s">
        <v>630</v>
      </c>
      <c r="D48" s="51" t="n">
        <v>40</v>
      </c>
      <c r="E48" s="50" t="n">
        <v>32689</v>
      </c>
      <c r="F48" s="49" t="str">
        <f aca="false">IF(COUNTIF(Productos!$A$6:$A$110,A48)=0,IF(C48="KIT/DÚO","Kit (después)","No está"),IF(COUNTIFS(Productos!$A$6:$A$110,A48,Productos!$P$6:$P$110,"&gt;0")&gt;0,"Completa","Faltan datos"))</f>
        <v>Faltan datos</v>
      </c>
    </row>
    <row r="49" customFormat="false" ht="15" hidden="false" customHeight="false" outlineLevel="0" collapsed="false">
      <c r="A49" s="7" t="s">
        <v>178</v>
      </c>
      <c r="B49" s="7" t="s">
        <v>179</v>
      </c>
      <c r="C49" s="7" t="s">
        <v>621</v>
      </c>
      <c r="D49" s="51" t="n">
        <v>37</v>
      </c>
      <c r="E49" s="50" t="n">
        <v>17563</v>
      </c>
      <c r="F49" s="49" t="str">
        <f aca="false">IF(COUNTIF(Productos!$A$6:$A$110,A49)=0,IF(C49="KIT/DÚO","Kit (después)","No está"),IF(COUNTIFS(Productos!$A$6:$A$110,A49,Productos!$P$6:$P$110,"&gt;0")&gt;0,"Completa","Faltan datos"))</f>
        <v>Faltan datos</v>
      </c>
    </row>
    <row r="50" customFormat="false" ht="15" hidden="false" customHeight="false" outlineLevel="0" collapsed="false">
      <c r="A50" s="7" t="s">
        <v>180</v>
      </c>
      <c r="B50" s="7" t="s">
        <v>181</v>
      </c>
      <c r="C50" s="7" t="s">
        <v>630</v>
      </c>
      <c r="D50" s="51" t="n">
        <v>37</v>
      </c>
      <c r="E50" s="50" t="n">
        <v>54022</v>
      </c>
      <c r="F50" s="49" t="str">
        <f aca="false">IF(COUNTIF(Productos!$A$6:$A$110,A50)=0,IF(C50="KIT/DÚO","Kit (después)","No está"),IF(COUNTIFS(Productos!$A$6:$A$110,A50,Productos!$P$6:$P$110,"&gt;0")&gt;0,"Completa","Faltan datos"))</f>
        <v>Faltan datos</v>
      </c>
    </row>
    <row r="51" customFormat="false" ht="15" hidden="false" customHeight="false" outlineLevel="0" collapsed="false">
      <c r="A51" s="7" t="s">
        <v>182</v>
      </c>
      <c r="B51" s="7" t="s">
        <v>183</v>
      </c>
      <c r="C51" s="7" t="s">
        <v>621</v>
      </c>
      <c r="D51" s="51" t="n">
        <v>35</v>
      </c>
      <c r="E51" s="50" t="n">
        <v>14202</v>
      </c>
      <c r="F51" s="49" t="str">
        <f aca="false">IF(COUNTIF(Productos!$A$6:$A$110,A51)=0,IF(C51="KIT/DÚO","Kit (después)","No está"),IF(COUNTIFS(Productos!$A$6:$A$110,A51,Productos!$P$6:$P$110,"&gt;0")&gt;0,"Completa","Faltan datos"))</f>
        <v>Faltan datos</v>
      </c>
    </row>
    <row r="52" customFormat="false" ht="15" hidden="false" customHeight="false" outlineLevel="0" collapsed="false">
      <c r="A52" s="7" t="s">
        <v>185</v>
      </c>
      <c r="B52" s="7" t="s">
        <v>186</v>
      </c>
      <c r="C52" s="7" t="s">
        <v>630</v>
      </c>
      <c r="D52" s="51" t="n">
        <v>35</v>
      </c>
      <c r="E52" s="50" t="n">
        <v>27647</v>
      </c>
      <c r="F52" s="49" t="str">
        <f aca="false">IF(COUNTIF(Productos!$A$6:$A$110,A52)=0,IF(C52="KIT/DÚO","Kit (después)","No está"),IF(COUNTIFS(Productos!$A$6:$A$110,A52,Productos!$P$6:$P$110,"&gt;0")&gt;0,"Completa","Faltan datos"))</f>
        <v>Faltan datos</v>
      </c>
    </row>
    <row r="53" customFormat="false" ht="15" hidden="false" customHeight="false" outlineLevel="0" collapsed="false">
      <c r="A53" s="7" t="s">
        <v>649</v>
      </c>
      <c r="B53" s="7" t="s">
        <v>650</v>
      </c>
      <c r="C53" s="7" t="s">
        <v>608</v>
      </c>
      <c r="D53" s="51" t="n">
        <v>35</v>
      </c>
      <c r="E53" s="50" t="n">
        <v>30168</v>
      </c>
      <c r="F53" s="49" t="str">
        <f aca="false">IF(COUNTIF(Productos!$A$6:$A$110,A53)=0,IF(C53="KIT/DÚO","Kit (después)","No está"),IF(COUNTIFS(Productos!$A$6:$A$110,A53,Productos!$P$6:$P$110,"&gt;0")&gt;0,"Completa","Faltan datos"))</f>
        <v>Kit (después)</v>
      </c>
    </row>
    <row r="54" customFormat="false" ht="15" hidden="false" customHeight="false" outlineLevel="0" collapsed="false">
      <c r="A54" s="7" t="s">
        <v>187</v>
      </c>
      <c r="B54" s="7" t="s">
        <v>188</v>
      </c>
      <c r="C54" s="7" t="s">
        <v>621</v>
      </c>
      <c r="D54" s="51" t="n">
        <v>34</v>
      </c>
      <c r="E54" s="50" t="n">
        <v>19664</v>
      </c>
      <c r="F54" s="49" t="str">
        <f aca="false">IF(COUNTIF(Productos!$A$6:$A$110,A54)=0,IF(C54="KIT/DÚO","Kit (después)","No está"),IF(COUNTIFS(Productos!$A$6:$A$110,A54,Productos!$P$6:$P$110,"&gt;0")&gt;0,"Completa","Faltan datos"))</f>
        <v>Faltan datos</v>
      </c>
    </row>
    <row r="55" customFormat="false" ht="15" hidden="false" customHeight="false" outlineLevel="0" collapsed="false">
      <c r="A55" s="7" t="s">
        <v>189</v>
      </c>
      <c r="B55" s="7" t="s">
        <v>190</v>
      </c>
      <c r="C55" s="7" t="s">
        <v>621</v>
      </c>
      <c r="D55" s="51" t="n">
        <v>34</v>
      </c>
      <c r="E55" s="50" t="n">
        <v>17563</v>
      </c>
      <c r="F55" s="49" t="str">
        <f aca="false">IF(COUNTIF(Productos!$A$6:$A$110,A55)=0,IF(C55="KIT/DÚO","Kit (después)","No está"),IF(COUNTIFS(Productos!$A$6:$A$110,A55,Productos!$P$6:$P$110,"&gt;0")&gt;0,"Completa","Faltan datos"))</f>
        <v>Faltan datos</v>
      </c>
    </row>
    <row r="56" customFormat="false" ht="15" hidden="false" customHeight="false" outlineLevel="0" collapsed="false">
      <c r="A56" s="7" t="s">
        <v>651</v>
      </c>
      <c r="B56" s="7" t="s">
        <v>652</v>
      </c>
      <c r="C56" s="7" t="s">
        <v>608</v>
      </c>
      <c r="D56" s="51" t="n">
        <v>33</v>
      </c>
      <c r="E56" s="50" t="n">
        <v>26555</v>
      </c>
      <c r="F56" s="49" t="str">
        <f aca="false">IF(COUNTIF(Productos!$A$6:$A$110,A56)=0,IF(C56="KIT/DÚO","Kit (después)","No está"),IF(COUNTIFS(Productos!$A$6:$A$110,A56,Productos!$P$6:$P$110,"&gt;0")&gt;0,"Completa","Faltan datos"))</f>
        <v>Kit (después)</v>
      </c>
    </row>
    <row r="57" customFormat="false" ht="15" hidden="false" customHeight="false" outlineLevel="0" collapsed="false">
      <c r="A57" s="7" t="s">
        <v>653</v>
      </c>
      <c r="B57" s="7" t="s">
        <v>654</v>
      </c>
      <c r="C57" s="7" t="s">
        <v>611</v>
      </c>
      <c r="D57" s="51" t="n">
        <v>32</v>
      </c>
      <c r="E57" s="50" t="n">
        <v>1681</v>
      </c>
      <c r="F57" s="49" t="str">
        <f aca="false">IF(COUNTIF(Productos!$A$6:$A$110,A57)=0,IF(C57="KIT/DÚO","Kit (después)","No está"),IF(COUNTIFS(Productos!$A$6:$A$110,A57,Productos!$P$6:$P$110,"&gt;0")&gt;0,"Completa","Faltan datos"))</f>
        <v>No está</v>
      </c>
    </row>
    <row r="58" customFormat="false" ht="15" hidden="false" customHeight="false" outlineLevel="0" collapsed="false">
      <c r="A58" s="7" t="s">
        <v>192</v>
      </c>
      <c r="B58" s="7" t="s">
        <v>193</v>
      </c>
      <c r="C58" s="7" t="s">
        <v>621</v>
      </c>
      <c r="D58" s="51" t="n">
        <v>31</v>
      </c>
      <c r="E58" s="50" t="n">
        <v>12521</v>
      </c>
      <c r="F58" s="49" t="str">
        <f aca="false">IF(COUNTIF(Productos!$A$6:$A$110,A58)=0,IF(C58="KIT/DÚO","Kit (después)","No está"),IF(COUNTIFS(Productos!$A$6:$A$110,A58,Productos!$P$6:$P$110,"&gt;0")&gt;0,"Completa","Faltan datos"))</f>
        <v>Faltan datos</v>
      </c>
    </row>
    <row r="59" customFormat="false" ht="15" hidden="false" customHeight="false" outlineLevel="0" collapsed="false">
      <c r="A59" s="7" t="s">
        <v>655</v>
      </c>
      <c r="B59" s="7" t="s">
        <v>656</v>
      </c>
      <c r="C59" s="7" t="s">
        <v>608</v>
      </c>
      <c r="D59" s="51" t="n">
        <v>30</v>
      </c>
      <c r="E59" s="50" t="n">
        <v>28782</v>
      </c>
      <c r="F59" s="49" t="str">
        <f aca="false">IF(COUNTIF(Productos!$A$6:$A$110,A59)=0,IF(C59="KIT/DÚO","Kit (después)","No está"),IF(COUNTIFS(Productos!$A$6:$A$110,A59,Productos!$P$6:$P$110,"&gt;0")&gt;0,"Completa","Faltan datos"))</f>
        <v>Kit (después)</v>
      </c>
    </row>
    <row r="60" customFormat="false" ht="15" hidden="false" customHeight="false" outlineLevel="0" collapsed="false">
      <c r="A60" s="7" t="s">
        <v>194</v>
      </c>
      <c r="B60" s="7" t="s">
        <v>195</v>
      </c>
      <c r="C60" s="7" t="s">
        <v>621</v>
      </c>
      <c r="D60" s="51" t="n">
        <v>29</v>
      </c>
      <c r="E60" s="50" t="n">
        <v>21204</v>
      </c>
      <c r="F60" s="49" t="str">
        <f aca="false">IF(COUNTIF(Productos!$A$6:$A$110,A60)=0,IF(C60="KIT/DÚO","Kit (después)","No está"),IF(COUNTIFS(Productos!$A$6:$A$110,A60,Productos!$P$6:$P$110,"&gt;0")&gt;0,"Completa","Faltan datos"))</f>
        <v>Faltan datos</v>
      </c>
    </row>
    <row r="61" customFormat="false" ht="15" hidden="false" customHeight="false" outlineLevel="0" collapsed="false">
      <c r="A61" s="7" t="s">
        <v>657</v>
      </c>
      <c r="B61" s="7" t="s">
        <v>658</v>
      </c>
      <c r="C61" s="7" t="s">
        <v>608</v>
      </c>
      <c r="D61" s="51" t="n">
        <v>29</v>
      </c>
      <c r="E61" s="50" t="n">
        <v>22941</v>
      </c>
      <c r="F61" s="49" t="str">
        <f aca="false">IF(COUNTIF(Productos!$A$6:$A$110,A61)=0,IF(C61="KIT/DÚO","Kit (después)","No está"),IF(COUNTIFS(Productos!$A$6:$A$110,A61,Productos!$P$6:$P$110,"&gt;0")&gt;0,"Completa","Faltan datos"))</f>
        <v>Kit (después)</v>
      </c>
    </row>
    <row r="62" customFormat="false" ht="15" hidden="false" customHeight="false" outlineLevel="0" collapsed="false">
      <c r="A62" s="7" t="s">
        <v>196</v>
      </c>
      <c r="B62" s="7" t="s">
        <v>197</v>
      </c>
      <c r="C62" s="7" t="s">
        <v>630</v>
      </c>
      <c r="D62" s="51" t="n">
        <v>29</v>
      </c>
      <c r="E62" s="50" t="n">
        <v>22605</v>
      </c>
      <c r="F62" s="49" t="str">
        <f aca="false">IF(COUNTIF(Productos!$A$6:$A$110,A62)=0,IF(C62="KIT/DÚO","Kit (después)","No está"),IF(COUNTIFS(Productos!$A$6:$A$110,A62,Productos!$P$6:$P$110,"&gt;0")&gt;0,"Completa","Faltan datos"))</f>
        <v>Faltan datos</v>
      </c>
    </row>
    <row r="63" customFormat="false" ht="15" hidden="false" customHeight="false" outlineLevel="0" collapsed="false">
      <c r="A63" s="7" t="s">
        <v>198</v>
      </c>
      <c r="B63" s="7" t="s">
        <v>199</v>
      </c>
      <c r="C63" s="7" t="s">
        <v>621</v>
      </c>
      <c r="D63" s="51" t="n">
        <v>29</v>
      </c>
      <c r="E63" s="50" t="n">
        <v>16723</v>
      </c>
      <c r="F63" s="49" t="str">
        <f aca="false">IF(COUNTIF(Productos!$A$6:$A$110,A63)=0,IF(C63="KIT/DÚO","Kit (después)","No está"),IF(COUNTIFS(Productos!$A$6:$A$110,A63,Productos!$P$6:$P$110,"&gt;0")&gt;0,"Completa","Faltan datos"))</f>
        <v>Faltan datos</v>
      </c>
    </row>
    <row r="64" customFormat="false" ht="15" hidden="false" customHeight="false" outlineLevel="0" collapsed="false">
      <c r="A64" s="7" t="s">
        <v>659</v>
      </c>
      <c r="B64" s="7" t="s">
        <v>660</v>
      </c>
      <c r="C64" s="7" t="s">
        <v>618</v>
      </c>
      <c r="D64" s="51" t="n">
        <v>26</v>
      </c>
      <c r="E64" s="50" t="n">
        <v>6442</v>
      </c>
      <c r="F64" s="49" t="str">
        <f aca="false">IF(COUNTIF(Productos!$A$6:$A$110,A64)=0,IF(C64="KIT/DÚO","Kit (después)","No está"),IF(COUNTIFS(Productos!$A$6:$A$110,A64,Productos!$P$6:$P$110,"&gt;0")&gt;0,"Completa","Faltan datos"))</f>
        <v>No está</v>
      </c>
    </row>
    <row r="65" customFormat="false" ht="15" hidden="false" customHeight="false" outlineLevel="0" collapsed="false">
      <c r="A65" s="7" t="s">
        <v>200</v>
      </c>
      <c r="B65" s="7" t="s">
        <v>201</v>
      </c>
      <c r="C65" s="7" t="s">
        <v>621</v>
      </c>
      <c r="D65" s="51" t="n">
        <v>26</v>
      </c>
      <c r="E65" s="50" t="n">
        <v>23488</v>
      </c>
      <c r="F65" s="49" t="str">
        <f aca="false">IF(COUNTIF(Productos!$A$6:$A$110,A65)=0,IF(C65="KIT/DÚO","Kit (después)","No está"),IF(COUNTIFS(Productos!$A$6:$A$110,A65,Productos!$P$6:$P$110,"&gt;0")&gt;0,"Completa","Faltan datos"))</f>
        <v>Faltan datos</v>
      </c>
    </row>
    <row r="66" customFormat="false" ht="15" hidden="false" customHeight="false" outlineLevel="0" collapsed="false">
      <c r="A66" s="7" t="s">
        <v>661</v>
      </c>
      <c r="B66" s="7" t="s">
        <v>662</v>
      </c>
      <c r="C66" s="7" t="s">
        <v>608</v>
      </c>
      <c r="D66" s="51" t="n">
        <v>26</v>
      </c>
      <c r="E66" s="50" t="n">
        <v>29580</v>
      </c>
      <c r="F66" s="49" t="str">
        <f aca="false">IF(COUNTIF(Productos!$A$6:$A$110,A66)=0,IF(C66="KIT/DÚO","Kit (después)","No está"),IF(COUNTIFS(Productos!$A$6:$A$110,A66,Productos!$P$6:$P$110,"&gt;0")&gt;0,"Completa","Faltan datos"))</f>
        <v>Kit (después)</v>
      </c>
    </row>
    <row r="67" customFormat="false" ht="15" hidden="false" customHeight="false" outlineLevel="0" collapsed="false">
      <c r="A67" s="7" t="s">
        <v>202</v>
      </c>
      <c r="B67" s="7" t="s">
        <v>203</v>
      </c>
      <c r="C67" s="7" t="s">
        <v>621</v>
      </c>
      <c r="D67" s="51" t="n">
        <v>25</v>
      </c>
      <c r="E67" s="50" t="n">
        <v>19244</v>
      </c>
      <c r="F67" s="49" t="str">
        <f aca="false">IF(COUNTIF(Productos!$A$6:$A$110,A67)=0,IF(C67="KIT/DÚO","Kit (después)","No está"),IF(COUNTIFS(Productos!$A$6:$A$110,A67,Productos!$P$6:$P$110,"&gt;0")&gt;0,"Completa","Faltan datos"))</f>
        <v>Faltan datos</v>
      </c>
    </row>
    <row r="68" customFormat="false" ht="15" hidden="false" customHeight="false" outlineLevel="0" collapsed="false">
      <c r="A68" s="7" t="s">
        <v>663</v>
      </c>
      <c r="B68" s="7" t="s">
        <v>664</v>
      </c>
      <c r="C68" s="7" t="s">
        <v>608</v>
      </c>
      <c r="D68" s="51" t="n">
        <v>25</v>
      </c>
      <c r="E68" s="50" t="n">
        <v>29580</v>
      </c>
      <c r="F68" s="49" t="str">
        <f aca="false">IF(COUNTIF(Productos!$A$6:$A$110,A68)=0,IF(C68="KIT/DÚO","Kit (después)","No está"),IF(COUNTIFS(Productos!$A$6:$A$110,A68,Productos!$P$6:$P$110,"&gt;0")&gt;0,"Completa","Faltan datos"))</f>
        <v>Kit (después)</v>
      </c>
    </row>
    <row r="69" customFormat="false" ht="15" hidden="false" customHeight="false" outlineLevel="0" collapsed="false">
      <c r="A69" s="7" t="s">
        <v>204</v>
      </c>
      <c r="B69" s="7" t="s">
        <v>205</v>
      </c>
      <c r="C69" s="7" t="s">
        <v>630</v>
      </c>
      <c r="D69" s="51" t="n">
        <v>25</v>
      </c>
      <c r="E69" s="50" t="n">
        <v>15882</v>
      </c>
      <c r="F69" s="49" t="str">
        <f aca="false">IF(COUNTIF(Productos!$A$6:$A$110,A69)=0,IF(C69="KIT/DÚO","Kit (después)","No está"),IF(COUNTIFS(Productos!$A$6:$A$110,A69,Productos!$P$6:$P$110,"&gt;0")&gt;0,"Completa","Faltan datos"))</f>
        <v>Faltan datos</v>
      </c>
    </row>
    <row r="70" customFormat="false" ht="15" hidden="false" customHeight="false" outlineLevel="0" collapsed="false">
      <c r="A70" s="7" t="s">
        <v>206</v>
      </c>
      <c r="B70" s="7" t="s">
        <v>207</v>
      </c>
      <c r="C70" s="7" t="s">
        <v>621</v>
      </c>
      <c r="D70" s="51" t="n">
        <v>24</v>
      </c>
      <c r="E70" s="50" t="n">
        <v>18403</v>
      </c>
      <c r="F70" s="49" t="str">
        <f aca="false">IF(COUNTIF(Productos!$A$6:$A$110,A70)=0,IF(C70="KIT/DÚO","Kit (después)","No está"),IF(COUNTIFS(Productos!$A$6:$A$110,A70,Productos!$P$6:$P$110,"&gt;0")&gt;0,"Completa","Faltan datos"))</f>
        <v>Faltan datos</v>
      </c>
    </row>
    <row r="71" customFormat="false" ht="15" hidden="false" customHeight="false" outlineLevel="0" collapsed="false">
      <c r="A71" s="7" t="s">
        <v>665</v>
      </c>
      <c r="B71" s="7" t="s">
        <v>666</v>
      </c>
      <c r="C71" s="7" t="s">
        <v>608</v>
      </c>
      <c r="D71" s="51" t="n">
        <v>24</v>
      </c>
      <c r="E71" s="50" t="n">
        <v>23697</v>
      </c>
      <c r="F71" s="49" t="str">
        <f aca="false">IF(COUNTIF(Productos!$A$6:$A$110,A71)=0,IF(C71="KIT/DÚO","Kit (después)","No está"),IF(COUNTIFS(Productos!$A$6:$A$110,A71,Productos!$P$6:$P$110,"&gt;0")&gt;0,"Completa","Faltan datos"))</f>
        <v>Kit (después)</v>
      </c>
    </row>
    <row r="72" customFormat="false" ht="15" hidden="false" customHeight="false" outlineLevel="0" collapsed="false">
      <c r="A72" s="7" t="s">
        <v>210</v>
      </c>
      <c r="B72" s="7" t="s">
        <v>211</v>
      </c>
      <c r="C72" s="7" t="s">
        <v>621</v>
      </c>
      <c r="D72" s="51" t="n">
        <v>23</v>
      </c>
      <c r="E72" s="50" t="n">
        <v>19244</v>
      </c>
      <c r="F72" s="49" t="str">
        <f aca="false">IF(COUNTIF(Productos!$A$6:$A$110,A72)=0,IF(C72="KIT/DÚO","Kit (después)","No está"),IF(COUNTIFS(Productos!$A$6:$A$110,A72,Productos!$P$6:$P$110,"&gt;0")&gt;0,"Completa","Faltan datos"))</f>
        <v>Faltan datos</v>
      </c>
    </row>
    <row r="73" customFormat="false" ht="15" hidden="false" customHeight="false" outlineLevel="0" collapsed="false">
      <c r="A73" s="7" t="s">
        <v>667</v>
      </c>
      <c r="B73" s="7" t="s">
        <v>668</v>
      </c>
      <c r="C73" s="7" t="s">
        <v>618</v>
      </c>
      <c r="D73" s="51" t="n">
        <v>22</v>
      </c>
      <c r="E73" s="50" t="n">
        <v>5882</v>
      </c>
      <c r="F73" s="49" t="str">
        <f aca="false">IF(COUNTIF(Productos!$A$6:$A$110,A73)=0,IF(C73="KIT/DÚO","Kit (después)","No está"),IF(COUNTIFS(Productos!$A$6:$A$110,A73,Productos!$P$6:$P$110,"&gt;0")&gt;0,"Completa","Faltan datos"))</f>
        <v>No está</v>
      </c>
    </row>
    <row r="74" customFormat="false" ht="15" hidden="false" customHeight="false" outlineLevel="0" collapsed="false">
      <c r="A74" s="7" t="s">
        <v>214</v>
      </c>
      <c r="B74" s="7" t="s">
        <v>215</v>
      </c>
      <c r="C74" s="7" t="s">
        <v>621</v>
      </c>
      <c r="D74" s="51" t="n">
        <v>21</v>
      </c>
      <c r="E74" s="50" t="n">
        <v>17563</v>
      </c>
      <c r="F74" s="49" t="str">
        <f aca="false">IF(COUNTIF(Productos!$A$6:$A$110,A74)=0,IF(C74="KIT/DÚO","Kit (después)","No está"),IF(COUNTIFS(Productos!$A$6:$A$110,A74,Productos!$P$6:$P$110,"&gt;0")&gt;0,"Completa","Faltan datos"))</f>
        <v>Faltan datos</v>
      </c>
    </row>
    <row r="75" customFormat="false" ht="15" hidden="false" customHeight="false" outlineLevel="0" collapsed="false">
      <c r="A75" s="7" t="s">
        <v>219</v>
      </c>
      <c r="B75" s="7" t="s">
        <v>220</v>
      </c>
      <c r="C75" s="7" t="s">
        <v>621</v>
      </c>
      <c r="D75" s="51" t="n">
        <v>20</v>
      </c>
      <c r="E75" s="50" t="n">
        <v>12521</v>
      </c>
      <c r="F75" s="49" t="str">
        <f aca="false">IF(COUNTIF(Productos!$A$6:$A$110,A75)=0,IF(C75="KIT/DÚO","Kit (después)","No está"),IF(COUNTIFS(Productos!$A$6:$A$110,A75,Productos!$P$6:$P$110,"&gt;0")&gt;0,"Completa","Faltan datos"))</f>
        <v>Faltan datos</v>
      </c>
    </row>
    <row r="76" customFormat="false" ht="15" hidden="false" customHeight="false" outlineLevel="0" collapsed="false">
      <c r="A76" s="7" t="s">
        <v>222</v>
      </c>
      <c r="B76" s="7" t="s">
        <v>223</v>
      </c>
      <c r="C76" s="7" t="s">
        <v>621</v>
      </c>
      <c r="D76" s="51" t="n">
        <v>20</v>
      </c>
      <c r="E76" s="50" t="n">
        <v>18403</v>
      </c>
      <c r="F76" s="49" t="str">
        <f aca="false">IF(COUNTIF(Productos!$A$6:$A$110,A76)=0,IF(C76="KIT/DÚO","Kit (después)","No está"),IF(COUNTIFS(Productos!$A$6:$A$110,A76,Productos!$P$6:$P$110,"&gt;0")&gt;0,"Completa","Faltan datos"))</f>
        <v>Faltan datos</v>
      </c>
    </row>
    <row r="77" customFormat="false" ht="15" hidden="false" customHeight="false" outlineLevel="0" collapsed="false">
      <c r="A77" s="7" t="s">
        <v>224</v>
      </c>
      <c r="B77" s="7" t="s">
        <v>225</v>
      </c>
      <c r="C77" s="7" t="s">
        <v>621</v>
      </c>
      <c r="D77" s="51" t="n">
        <v>20</v>
      </c>
      <c r="E77" s="50" t="n">
        <v>30000</v>
      </c>
      <c r="F77" s="49" t="str">
        <f aca="false">IF(COUNTIF(Productos!$A$6:$A$110,A77)=0,IF(C77="KIT/DÚO","Kit (después)","No está"),IF(COUNTIFS(Productos!$A$6:$A$110,A77,Productos!$P$6:$P$110,"&gt;0")&gt;0,"Completa","Faltan datos"))</f>
        <v>Faltan datos</v>
      </c>
    </row>
    <row r="78" customFormat="false" ht="15" hidden="false" customHeight="false" outlineLevel="0" collapsed="false">
      <c r="A78" s="7" t="s">
        <v>226</v>
      </c>
      <c r="B78" s="7" t="s">
        <v>227</v>
      </c>
      <c r="C78" s="7" t="s">
        <v>621</v>
      </c>
      <c r="D78" s="51" t="n">
        <v>20</v>
      </c>
      <c r="E78" s="50" t="n">
        <v>6000</v>
      </c>
      <c r="F78" s="49" t="str">
        <f aca="false">IF(COUNTIF(Productos!$A$6:$A$110,A78)=0,IF(C78="KIT/DÚO","Kit (después)","No está"),IF(COUNTIFS(Productos!$A$6:$A$110,A78,Productos!$P$6:$P$110,"&gt;0")&gt;0,"Completa","Faltan datos"))</f>
        <v>Faltan datos</v>
      </c>
    </row>
    <row r="79" customFormat="false" ht="15" hidden="false" customHeight="false" outlineLevel="0" collapsed="false">
      <c r="A79" s="7" t="s">
        <v>669</v>
      </c>
      <c r="B79" s="7" t="s">
        <v>670</v>
      </c>
      <c r="C79" s="7" t="s">
        <v>618</v>
      </c>
      <c r="D79" s="51" t="n">
        <v>20</v>
      </c>
      <c r="E79" s="50" t="n">
        <v>5500</v>
      </c>
      <c r="F79" s="49" t="str">
        <f aca="false">IF(COUNTIF(Productos!$A$6:$A$110,A79)=0,IF(C79="KIT/DÚO","Kit (después)","No está"),IF(COUNTIFS(Productos!$A$6:$A$110,A79,Productos!$P$6:$P$110,"&gt;0")&gt;0,"Completa","Faltan datos"))</f>
        <v>No está</v>
      </c>
    </row>
    <row r="80" customFormat="false" ht="15" hidden="false" customHeight="false" outlineLevel="0" collapsed="false">
      <c r="A80" s="7" t="s">
        <v>228</v>
      </c>
      <c r="B80" s="7" t="s">
        <v>229</v>
      </c>
      <c r="C80" s="7" t="s">
        <v>621</v>
      </c>
      <c r="D80" s="51" t="n">
        <v>19</v>
      </c>
      <c r="E80" s="50" t="n">
        <v>15882</v>
      </c>
      <c r="F80" s="49" t="str">
        <f aca="false">IF(COUNTIF(Productos!$A$6:$A$110,A80)=0,IF(C80="KIT/DÚO","Kit (después)","No está"),IF(COUNTIFS(Productos!$A$6:$A$110,A80,Productos!$P$6:$P$110,"&gt;0")&gt;0,"Completa","Faltan datos"))</f>
        <v>Faltan datos</v>
      </c>
    </row>
    <row r="81" customFormat="false" ht="15" hidden="false" customHeight="false" outlineLevel="0" collapsed="false">
      <c r="A81" s="7" t="s">
        <v>671</v>
      </c>
      <c r="B81" s="7" t="s">
        <v>672</v>
      </c>
      <c r="C81" s="7" t="s">
        <v>608</v>
      </c>
      <c r="D81" s="51" t="n">
        <v>19</v>
      </c>
      <c r="E81" s="50" t="n">
        <v>34370</v>
      </c>
      <c r="F81" s="49" t="str">
        <f aca="false">IF(COUNTIF(Productos!$A$6:$A$110,A81)=0,IF(C81="KIT/DÚO","Kit (después)","No está"),IF(COUNTIFS(Productos!$A$6:$A$110,A81,Productos!$P$6:$P$110,"&gt;0")&gt;0,"Completa","Faltan datos"))</f>
        <v>Kit (después)</v>
      </c>
    </row>
    <row r="82" customFormat="false" ht="15" hidden="false" customHeight="false" outlineLevel="0" collapsed="false">
      <c r="A82" s="7" t="s">
        <v>230</v>
      </c>
      <c r="B82" s="7" t="s">
        <v>231</v>
      </c>
      <c r="C82" s="7" t="s">
        <v>630</v>
      </c>
      <c r="D82" s="51" t="n">
        <v>19</v>
      </c>
      <c r="E82" s="50" t="n">
        <v>15042</v>
      </c>
      <c r="F82" s="49" t="str">
        <f aca="false">IF(COUNTIF(Productos!$A$6:$A$110,A82)=0,IF(C82="KIT/DÚO","Kit (después)","No está"),IF(COUNTIFS(Productos!$A$6:$A$110,A82,Productos!$P$6:$P$110,"&gt;0")&gt;0,"Completa","Faltan datos"))</f>
        <v>Faltan datos</v>
      </c>
    </row>
    <row r="83" customFormat="false" ht="15" hidden="false" customHeight="false" outlineLevel="0" collapsed="false">
      <c r="A83" s="7" t="s">
        <v>673</v>
      </c>
      <c r="B83" s="7" t="s">
        <v>674</v>
      </c>
      <c r="C83" s="7" t="s">
        <v>608</v>
      </c>
      <c r="D83" s="51" t="n">
        <v>19</v>
      </c>
      <c r="E83" s="50" t="n">
        <v>25126</v>
      </c>
      <c r="F83" s="49" t="str">
        <f aca="false">IF(COUNTIF(Productos!$A$6:$A$110,A83)=0,IF(C83="KIT/DÚO","Kit (después)","No está"),IF(COUNTIFS(Productos!$A$6:$A$110,A83,Productos!$P$6:$P$110,"&gt;0")&gt;0,"Completa","Faltan datos"))</f>
        <v>Kit (después)</v>
      </c>
    </row>
    <row r="84" customFormat="false" ht="15" hidden="false" customHeight="false" outlineLevel="0" collapsed="false">
      <c r="A84" s="7" t="s">
        <v>675</v>
      </c>
      <c r="B84" s="7" t="s">
        <v>676</v>
      </c>
      <c r="C84" s="7" t="s">
        <v>608</v>
      </c>
      <c r="D84" s="51" t="n">
        <v>18</v>
      </c>
      <c r="E84" s="50" t="n">
        <v>26218</v>
      </c>
      <c r="F84" s="49" t="str">
        <f aca="false">IF(COUNTIF(Productos!$A$6:$A$110,A84)=0,IF(C84="KIT/DÚO","Kit (después)","No está"),IF(COUNTIFS(Productos!$A$6:$A$110,A84,Productos!$P$6:$P$110,"&gt;0")&gt;0,"Completa","Faltan datos"))</f>
        <v>Kit (después)</v>
      </c>
    </row>
    <row r="85" customFormat="false" ht="15" hidden="false" customHeight="false" outlineLevel="0" collapsed="false">
      <c r="A85" s="7" t="s">
        <v>677</v>
      </c>
      <c r="B85" s="7" t="s">
        <v>678</v>
      </c>
      <c r="C85" s="7" t="s">
        <v>608</v>
      </c>
      <c r="D85" s="51" t="n">
        <v>17</v>
      </c>
      <c r="E85" s="50" t="n">
        <v>27059</v>
      </c>
      <c r="F85" s="49" t="str">
        <f aca="false">IF(COUNTIF(Productos!$A$6:$A$110,A85)=0,IF(C85="KIT/DÚO","Kit (después)","No está"),IF(COUNTIFS(Productos!$A$6:$A$110,A85,Productos!$P$6:$P$110,"&gt;0")&gt;0,"Completa","Faltan datos"))</f>
        <v>Kit (después)</v>
      </c>
    </row>
    <row r="86" customFormat="false" ht="15" hidden="false" customHeight="false" outlineLevel="0" collapsed="false">
      <c r="A86" s="7" t="s">
        <v>232</v>
      </c>
      <c r="B86" s="7" t="s">
        <v>233</v>
      </c>
      <c r="C86" s="7" t="s">
        <v>630</v>
      </c>
      <c r="D86" s="51" t="n">
        <v>17</v>
      </c>
      <c r="E86" s="50" t="n">
        <v>24328</v>
      </c>
      <c r="F86" s="49" t="str">
        <f aca="false">IF(COUNTIF(Productos!$A$6:$A$110,A86)=0,IF(C86="KIT/DÚO","Kit (después)","No está"),IF(COUNTIFS(Productos!$A$6:$A$110,A86,Productos!$P$6:$P$110,"&gt;0")&gt;0,"Completa","Faltan datos"))</f>
        <v>Faltan datos</v>
      </c>
    </row>
    <row r="87" customFormat="false" ht="15" hidden="false" customHeight="false" outlineLevel="0" collapsed="false">
      <c r="A87" s="7" t="s">
        <v>679</v>
      </c>
      <c r="B87" s="7" t="s">
        <v>680</v>
      </c>
      <c r="C87" s="7" t="s">
        <v>611</v>
      </c>
      <c r="D87" s="51" t="n">
        <v>16</v>
      </c>
      <c r="E87" s="50" t="n">
        <v>5042</v>
      </c>
      <c r="F87" s="49" t="str">
        <f aca="false">IF(COUNTIF(Productos!$A$6:$A$110,A87)=0,IF(C87="KIT/DÚO","Kit (después)","No está"),IF(COUNTIFS(Productos!$A$6:$A$110,A87,Productos!$P$6:$P$110,"&gt;0")&gt;0,"Completa","Faltan datos"))</f>
        <v>No está</v>
      </c>
    </row>
    <row r="88" customFormat="false" ht="15" hidden="false" customHeight="false" outlineLevel="0" collapsed="false">
      <c r="A88" s="7" t="s">
        <v>234</v>
      </c>
      <c r="B88" s="7" t="s">
        <v>235</v>
      </c>
      <c r="C88" s="7" t="s">
        <v>621</v>
      </c>
      <c r="D88" s="51" t="n">
        <v>16</v>
      </c>
      <c r="E88" s="50" t="n">
        <v>15882</v>
      </c>
      <c r="F88" s="49" t="str">
        <f aca="false">IF(COUNTIF(Productos!$A$6:$A$110,A88)=0,IF(C88="KIT/DÚO","Kit (después)","No está"),IF(COUNTIFS(Productos!$A$6:$A$110,A88,Productos!$P$6:$P$110,"&gt;0")&gt;0,"Completa","Faltan datos"))</f>
        <v>Faltan datos</v>
      </c>
    </row>
    <row r="89" customFormat="false" ht="15" hidden="false" customHeight="false" outlineLevel="0" collapsed="false">
      <c r="A89" s="7" t="s">
        <v>681</v>
      </c>
      <c r="B89" s="7" t="s">
        <v>682</v>
      </c>
      <c r="C89" s="7" t="s">
        <v>608</v>
      </c>
      <c r="D89" s="51" t="n">
        <v>15</v>
      </c>
      <c r="E89" s="50" t="n">
        <v>23697</v>
      </c>
      <c r="F89" s="49" t="str">
        <f aca="false">IF(COUNTIF(Productos!$A$6:$A$110,A89)=0,IF(C89="KIT/DÚO","Kit (después)","No está"),IF(COUNTIFS(Productos!$A$6:$A$110,A89,Productos!$P$6:$P$110,"&gt;0")&gt;0,"Completa","Faltan datos"))</f>
        <v>Kit (después)</v>
      </c>
    </row>
    <row r="90" customFormat="false" ht="15" hidden="false" customHeight="false" outlineLevel="0" collapsed="false">
      <c r="A90" s="7" t="s">
        <v>683</v>
      </c>
      <c r="B90" s="7" t="s">
        <v>684</v>
      </c>
      <c r="C90" s="7" t="s">
        <v>608</v>
      </c>
      <c r="D90" s="51" t="n">
        <v>15</v>
      </c>
      <c r="E90" s="50" t="n">
        <v>40252</v>
      </c>
      <c r="F90" s="49" t="str">
        <f aca="false">IF(COUNTIF(Productos!$A$6:$A$110,A90)=0,IF(C90="KIT/DÚO","Kit (después)","No está"),IF(COUNTIFS(Productos!$A$6:$A$110,A90,Productos!$P$6:$P$110,"&gt;0")&gt;0,"Completa","Faltan datos"))</f>
        <v>Kit (después)</v>
      </c>
    </row>
    <row r="91" customFormat="false" ht="15" hidden="false" customHeight="false" outlineLevel="0" collapsed="false">
      <c r="A91" s="7" t="s">
        <v>236</v>
      </c>
      <c r="B91" s="7" t="s">
        <v>237</v>
      </c>
      <c r="C91" s="7" t="s">
        <v>621</v>
      </c>
      <c r="D91" s="51" t="n">
        <v>15</v>
      </c>
      <c r="E91" s="50" t="n">
        <v>17563</v>
      </c>
      <c r="F91" s="49" t="str">
        <f aca="false">IF(COUNTIF(Productos!$A$6:$A$110,A91)=0,IF(C91="KIT/DÚO","Kit (después)","No está"),IF(COUNTIFS(Productos!$A$6:$A$110,A91,Productos!$P$6:$P$110,"&gt;0")&gt;0,"Completa","Faltan datos"))</f>
        <v>Faltan datos</v>
      </c>
    </row>
    <row r="92" customFormat="false" ht="15" hidden="false" customHeight="false" outlineLevel="0" collapsed="false">
      <c r="A92" s="7" t="s">
        <v>238</v>
      </c>
      <c r="B92" s="7" t="s">
        <v>239</v>
      </c>
      <c r="C92" s="7" t="s">
        <v>621</v>
      </c>
      <c r="D92" s="51" t="n">
        <v>15</v>
      </c>
      <c r="E92" s="50" t="n">
        <v>14202</v>
      </c>
      <c r="F92" s="49" t="str">
        <f aca="false">IF(COUNTIF(Productos!$A$6:$A$110,A92)=0,IF(C92="KIT/DÚO","Kit (después)","No está"),IF(COUNTIFS(Productos!$A$6:$A$110,A92,Productos!$P$6:$P$110,"&gt;0")&gt;0,"Completa","Faltan datos"))</f>
        <v>Faltan datos</v>
      </c>
    </row>
    <row r="93" customFormat="false" ht="15" hidden="false" customHeight="false" outlineLevel="0" collapsed="false">
      <c r="A93" s="7" t="s">
        <v>240</v>
      </c>
      <c r="B93" s="7" t="s">
        <v>241</v>
      </c>
      <c r="C93" s="7" t="s">
        <v>621</v>
      </c>
      <c r="D93" s="51" t="n">
        <v>14</v>
      </c>
      <c r="E93" s="50" t="n">
        <v>11681</v>
      </c>
      <c r="F93" s="49" t="str">
        <f aca="false">IF(COUNTIF(Productos!$A$6:$A$110,A93)=0,IF(C93="KIT/DÚO","Kit (después)","No está"),IF(COUNTIFS(Productos!$A$6:$A$110,A93,Productos!$P$6:$P$110,"&gt;0")&gt;0,"Completa","Faltan datos"))</f>
        <v>Faltan datos</v>
      </c>
    </row>
    <row r="94" customFormat="false" ht="15" hidden="false" customHeight="false" outlineLevel="0" collapsed="false">
      <c r="A94" s="7" t="s">
        <v>242</v>
      </c>
      <c r="B94" s="7" t="s">
        <v>243</v>
      </c>
      <c r="C94" s="7" t="s">
        <v>630</v>
      </c>
      <c r="D94" s="51" t="n">
        <v>14</v>
      </c>
      <c r="E94" s="50" t="n">
        <v>31092</v>
      </c>
      <c r="F94" s="49" t="str">
        <f aca="false">IF(COUNTIF(Productos!$A$6:$A$110,A94)=0,IF(C94="KIT/DÚO","Kit (después)","No está"),IF(COUNTIFS(Productos!$A$6:$A$110,A94,Productos!$P$6:$P$110,"&gt;0")&gt;0,"Completa","Faltan datos"))</f>
        <v>Faltan datos</v>
      </c>
    </row>
    <row r="95" customFormat="false" ht="15" hidden="false" customHeight="false" outlineLevel="0" collapsed="false">
      <c r="A95" s="7" t="s">
        <v>244</v>
      </c>
      <c r="B95" s="7" t="s">
        <v>245</v>
      </c>
      <c r="C95" s="7" t="s">
        <v>630</v>
      </c>
      <c r="D95" s="51" t="n">
        <v>13</v>
      </c>
      <c r="E95" s="50" t="n">
        <v>17646</v>
      </c>
      <c r="F95" s="49" t="str">
        <f aca="false">IF(COUNTIF(Productos!$A$6:$A$110,A95)=0,IF(C95="KIT/DÚO","Kit (después)","No está"),IF(COUNTIFS(Productos!$A$6:$A$110,A95,Productos!$P$6:$P$110,"&gt;0")&gt;0,"Completa","Faltan datos"))</f>
        <v>Faltan datos</v>
      </c>
    </row>
    <row r="96" customFormat="false" ht="15" hidden="false" customHeight="false" outlineLevel="0" collapsed="false">
      <c r="A96" s="7" t="s">
        <v>685</v>
      </c>
      <c r="B96" s="7" t="s">
        <v>686</v>
      </c>
      <c r="C96" s="7" t="s">
        <v>608</v>
      </c>
      <c r="D96" s="51" t="n">
        <v>13</v>
      </c>
      <c r="E96" s="50" t="n">
        <v>27647</v>
      </c>
      <c r="F96" s="49" t="str">
        <f aca="false">IF(COUNTIF(Productos!$A$6:$A$110,A96)=0,IF(C96="KIT/DÚO","Kit (después)","No está"),IF(COUNTIFS(Productos!$A$6:$A$110,A96,Productos!$P$6:$P$110,"&gt;0")&gt;0,"Completa","Faltan datos"))</f>
        <v>Kit (después)</v>
      </c>
    </row>
    <row r="97" customFormat="false" ht="15" hidden="false" customHeight="false" outlineLevel="0" collapsed="false">
      <c r="A97" s="7" t="s">
        <v>246</v>
      </c>
      <c r="B97" s="7" t="s">
        <v>247</v>
      </c>
      <c r="C97" s="7" t="s">
        <v>621</v>
      </c>
      <c r="D97" s="51" t="n">
        <v>13</v>
      </c>
      <c r="E97" s="50" t="n">
        <v>16723</v>
      </c>
      <c r="F97" s="49" t="str">
        <f aca="false">IF(COUNTIF(Productos!$A$6:$A$110,A97)=0,IF(C97="KIT/DÚO","Kit (después)","No está"),IF(COUNTIFS(Productos!$A$6:$A$110,A97,Productos!$P$6:$P$110,"&gt;0")&gt;0,"Completa","Faltan datos"))</f>
        <v>Faltan datos</v>
      </c>
    </row>
    <row r="98" customFormat="false" ht="15" hidden="false" customHeight="false" outlineLevel="0" collapsed="false">
      <c r="A98" s="7" t="s">
        <v>248</v>
      </c>
      <c r="B98" s="7" t="s">
        <v>249</v>
      </c>
      <c r="C98" s="7" t="s">
        <v>630</v>
      </c>
      <c r="D98" s="51" t="n">
        <v>13</v>
      </c>
      <c r="E98" s="50" t="n">
        <v>17563</v>
      </c>
      <c r="F98" s="49" t="str">
        <f aca="false">IF(COUNTIF(Productos!$A$6:$A$110,A98)=0,IF(C98="KIT/DÚO","Kit (después)","No está"),IF(COUNTIFS(Productos!$A$6:$A$110,A98,Productos!$P$6:$P$110,"&gt;0")&gt;0,"Completa","Faltan datos"))</f>
        <v>Faltan datos</v>
      </c>
    </row>
    <row r="99" customFormat="false" ht="15" hidden="false" customHeight="false" outlineLevel="0" collapsed="false">
      <c r="A99" s="7" t="s">
        <v>687</v>
      </c>
      <c r="B99" s="7" t="s">
        <v>688</v>
      </c>
      <c r="C99" s="7" t="s">
        <v>621</v>
      </c>
      <c r="D99" s="51" t="n">
        <v>13</v>
      </c>
      <c r="E99" s="50" t="n">
        <v>130000</v>
      </c>
      <c r="F99" s="49" t="str">
        <f aca="false">IF(COUNTIF(Productos!$A$6:$A$110,A99)=0,IF(C99="KIT/DÚO","Kit (después)","No está"),IF(COUNTIFS(Productos!$A$6:$A$110,A99,Productos!$P$6:$P$110,"&gt;0")&gt;0,"Completa","Faltan datos"))</f>
        <v>No está</v>
      </c>
    </row>
    <row r="100" customFormat="false" ht="15" hidden="false" customHeight="false" outlineLevel="0" collapsed="false">
      <c r="A100" s="7" t="s">
        <v>689</v>
      </c>
      <c r="B100" s="7" t="s">
        <v>690</v>
      </c>
      <c r="C100" s="7" t="s">
        <v>608</v>
      </c>
      <c r="D100" s="51" t="n">
        <v>12</v>
      </c>
      <c r="E100" s="50" t="n">
        <v>25966</v>
      </c>
      <c r="F100" s="49" t="str">
        <f aca="false">IF(COUNTIF(Productos!$A$6:$A$110,A100)=0,IF(C100="KIT/DÚO","Kit (después)","No está"),IF(COUNTIFS(Productos!$A$6:$A$110,A100,Productos!$P$6:$P$110,"&gt;0")&gt;0,"Completa","Faltan datos"))</f>
        <v>Kit (después)</v>
      </c>
    </row>
    <row r="101" customFormat="false" ht="15" hidden="false" customHeight="false" outlineLevel="0" collapsed="false">
      <c r="A101" s="7" t="s">
        <v>250</v>
      </c>
      <c r="B101" s="7" t="s">
        <v>251</v>
      </c>
      <c r="C101" s="7" t="s">
        <v>621</v>
      </c>
      <c r="D101" s="51" t="n">
        <v>12</v>
      </c>
      <c r="E101" s="50" t="n">
        <v>16554</v>
      </c>
      <c r="F101" s="49" t="str">
        <f aca="false">IF(COUNTIF(Productos!$A$6:$A$110,A101)=0,IF(C101="KIT/DÚO","Kit (después)","No está"),IF(COUNTIFS(Productos!$A$6:$A$110,A101,Productos!$P$6:$P$110,"&gt;0")&gt;0,"Completa","Faltan datos"))</f>
        <v>Faltan datos</v>
      </c>
    </row>
    <row r="102" customFormat="false" ht="15" hidden="false" customHeight="false" outlineLevel="0" collapsed="false">
      <c r="A102" s="7" t="s">
        <v>691</v>
      </c>
      <c r="B102" s="7" t="s">
        <v>692</v>
      </c>
      <c r="C102" s="7" t="s">
        <v>608</v>
      </c>
      <c r="D102" s="51" t="n">
        <v>12</v>
      </c>
      <c r="E102" s="50" t="n">
        <v>36050</v>
      </c>
      <c r="F102" s="49" t="str">
        <f aca="false">IF(COUNTIF(Productos!$A$6:$A$110,A102)=0,IF(C102="KIT/DÚO","Kit (después)","No está"),IF(COUNTIFS(Productos!$A$6:$A$110,A102,Productos!$P$6:$P$110,"&gt;0")&gt;0,"Completa","Faltan datos"))</f>
        <v>Kit (después)</v>
      </c>
    </row>
    <row r="103" customFormat="false" ht="15" hidden="false" customHeight="false" outlineLevel="0" collapsed="false">
      <c r="A103" s="7" t="s">
        <v>693</v>
      </c>
      <c r="B103" s="7" t="s">
        <v>694</v>
      </c>
      <c r="C103" s="7" t="s">
        <v>608</v>
      </c>
      <c r="D103" s="51" t="n">
        <v>12</v>
      </c>
      <c r="E103" s="50" t="n">
        <v>23445</v>
      </c>
      <c r="F103" s="49" t="str">
        <f aca="false">IF(COUNTIF(Productos!$A$6:$A$110,A103)=0,IF(C103="KIT/DÚO","Kit (después)","No está"),IF(COUNTIFS(Productos!$A$6:$A$110,A103,Productos!$P$6:$P$110,"&gt;0")&gt;0,"Completa","Faltan datos"))</f>
        <v>Kit (después)</v>
      </c>
    </row>
    <row r="104" customFormat="false" ht="15" hidden="false" customHeight="false" outlineLevel="0" collapsed="false">
      <c r="A104" s="7" t="s">
        <v>695</v>
      </c>
      <c r="B104" s="7" t="s">
        <v>696</v>
      </c>
      <c r="C104" s="7" t="s">
        <v>608</v>
      </c>
      <c r="D104" s="51" t="n">
        <v>12</v>
      </c>
      <c r="E104" s="50" t="n">
        <v>23445</v>
      </c>
      <c r="F104" s="49" t="str">
        <f aca="false">IF(COUNTIF(Productos!$A$6:$A$110,A104)=0,IF(C104="KIT/DÚO","Kit (después)","No está"),IF(COUNTIFS(Productos!$A$6:$A$110,A104,Productos!$P$6:$P$110,"&gt;0")&gt;0,"Completa","Faltan datos"))</f>
        <v>Kit (después)</v>
      </c>
    </row>
    <row r="105" customFormat="false" ht="15" hidden="false" customHeight="false" outlineLevel="0" collapsed="false">
      <c r="A105" s="7" t="s">
        <v>252</v>
      </c>
      <c r="B105" s="7" t="s">
        <v>253</v>
      </c>
      <c r="C105" s="7" t="s">
        <v>630</v>
      </c>
      <c r="D105" s="51" t="n">
        <v>12</v>
      </c>
      <c r="E105" s="50" t="n">
        <v>30168</v>
      </c>
      <c r="F105" s="49" t="str">
        <f aca="false">IF(COUNTIF(Productos!$A$6:$A$110,A105)=0,IF(C105="KIT/DÚO","Kit (después)","No está"),IF(COUNTIFS(Productos!$A$6:$A$110,A105,Productos!$P$6:$P$110,"&gt;0")&gt;0,"Completa","Faltan datos"))</f>
        <v>Faltan datos</v>
      </c>
    </row>
    <row r="106" customFormat="false" ht="15" hidden="false" customHeight="false" outlineLevel="0" collapsed="false">
      <c r="A106" s="7" t="s">
        <v>697</v>
      </c>
      <c r="B106" s="7" t="s">
        <v>698</v>
      </c>
      <c r="C106" s="7" t="s">
        <v>611</v>
      </c>
      <c r="D106" s="51" t="n">
        <v>12</v>
      </c>
      <c r="E106" s="50" t="n">
        <v>4118</v>
      </c>
      <c r="F106" s="49" t="str">
        <f aca="false">IF(COUNTIF(Productos!$A$6:$A$110,A106)=0,IF(C106="KIT/DÚO","Kit (después)","No está"),IF(COUNTIFS(Productos!$A$6:$A$110,A106,Productos!$P$6:$P$110,"&gt;0")&gt;0,"Completa","Faltan datos"))</f>
        <v>No está</v>
      </c>
    </row>
    <row r="107" customFormat="false" ht="15" hidden="false" customHeight="false" outlineLevel="0" collapsed="false">
      <c r="A107" s="7" t="s">
        <v>699</v>
      </c>
      <c r="B107" s="7" t="s">
        <v>700</v>
      </c>
      <c r="C107" s="7" t="s">
        <v>608</v>
      </c>
      <c r="D107" s="51" t="n">
        <v>12</v>
      </c>
      <c r="E107" s="50" t="n">
        <v>24286</v>
      </c>
      <c r="F107" s="49" t="str">
        <f aca="false">IF(COUNTIF(Productos!$A$6:$A$110,A107)=0,IF(C107="KIT/DÚO","Kit (después)","No está"),IF(COUNTIFS(Productos!$A$6:$A$110,A107,Productos!$P$6:$P$110,"&gt;0")&gt;0,"Completa","Faltan datos"))</f>
        <v>Kit (después)</v>
      </c>
    </row>
    <row r="108" customFormat="false" ht="15" hidden="false" customHeight="false" outlineLevel="0" collapsed="false">
      <c r="A108" s="7" t="s">
        <v>254</v>
      </c>
      <c r="B108" s="7" t="s">
        <v>255</v>
      </c>
      <c r="C108" s="7" t="s">
        <v>621</v>
      </c>
      <c r="D108" s="51" t="n">
        <v>12</v>
      </c>
      <c r="E108" s="50" t="n">
        <v>17563</v>
      </c>
      <c r="F108" s="49" t="str">
        <f aca="false">IF(COUNTIF(Productos!$A$6:$A$110,A108)=0,IF(C108="KIT/DÚO","Kit (después)","No está"),IF(COUNTIFS(Productos!$A$6:$A$110,A108,Productos!$P$6:$P$110,"&gt;0")&gt;0,"Completa","Faltan datos"))</f>
        <v>Faltan datos</v>
      </c>
    </row>
    <row r="109" customFormat="false" ht="15" hidden="false" customHeight="false" outlineLevel="0" collapsed="false">
      <c r="A109" s="7" t="s">
        <v>256</v>
      </c>
      <c r="B109" s="7" t="s">
        <v>257</v>
      </c>
      <c r="C109" s="7" t="s">
        <v>621</v>
      </c>
      <c r="D109" s="51" t="n">
        <v>12</v>
      </c>
      <c r="E109" s="50" t="n">
        <v>19244</v>
      </c>
      <c r="F109" s="49" t="str">
        <f aca="false">IF(COUNTIF(Productos!$A$6:$A$110,A109)=0,IF(C109="KIT/DÚO","Kit (después)","No está"),IF(COUNTIFS(Productos!$A$6:$A$110,A109,Productos!$P$6:$P$110,"&gt;0")&gt;0,"Completa","Faltan datos"))</f>
        <v>Faltan datos</v>
      </c>
    </row>
    <row r="110" customFormat="false" ht="15" hidden="false" customHeight="false" outlineLevel="0" collapsed="false">
      <c r="A110" s="7" t="s">
        <v>701</v>
      </c>
      <c r="B110" s="7" t="s">
        <v>702</v>
      </c>
      <c r="C110" s="7" t="s">
        <v>608</v>
      </c>
      <c r="D110" s="51" t="n">
        <v>11</v>
      </c>
      <c r="E110" s="50" t="n">
        <v>26891</v>
      </c>
      <c r="F110" s="49" t="str">
        <f aca="false">IF(COUNTIF(Productos!$A$6:$A$110,A110)=0,IF(C110="KIT/DÚO","Kit (después)","No está"),IF(COUNTIFS(Productos!$A$6:$A$110,A110,Productos!$P$6:$P$110,"&gt;0")&gt;0,"Completa","Faltan datos"))</f>
        <v>Kit (después)</v>
      </c>
    </row>
    <row r="111" customFormat="false" ht="15" hidden="false" customHeight="false" outlineLevel="0" collapsed="false">
      <c r="A111" s="7" t="s">
        <v>258</v>
      </c>
      <c r="B111" s="7" t="s">
        <v>259</v>
      </c>
      <c r="C111" s="7" t="s">
        <v>630</v>
      </c>
      <c r="D111" s="51" t="n">
        <v>11</v>
      </c>
      <c r="E111" s="50" t="n">
        <v>20084</v>
      </c>
      <c r="F111" s="49" t="str">
        <f aca="false">IF(COUNTIF(Productos!$A$6:$A$110,A111)=0,IF(C111="KIT/DÚO","Kit (después)","No está"),IF(COUNTIFS(Productos!$A$6:$A$110,A111,Productos!$P$6:$P$110,"&gt;0")&gt;0,"Completa","Faltan datos"))</f>
        <v>Faltan datos</v>
      </c>
    </row>
    <row r="112" customFormat="false" ht="15" hidden="false" customHeight="false" outlineLevel="0" collapsed="false">
      <c r="A112" s="7" t="s">
        <v>703</v>
      </c>
      <c r="B112" s="7" t="s">
        <v>704</v>
      </c>
      <c r="C112" s="7" t="s">
        <v>608</v>
      </c>
      <c r="D112" s="51" t="n">
        <v>10</v>
      </c>
      <c r="E112" s="50" t="n">
        <v>29266</v>
      </c>
      <c r="F112" s="49" t="str">
        <f aca="false">IF(COUNTIF(Productos!$A$6:$A$110,A112)=0,IF(C112="KIT/DÚO","Kit (después)","No está"),IF(COUNTIFS(Productos!$A$6:$A$110,A112,Productos!$P$6:$P$110,"&gt;0")&gt;0,"Completa","Faltan datos"))</f>
        <v>Kit (después)</v>
      </c>
    </row>
    <row r="113" customFormat="false" ht="15" hidden="false" customHeight="false" outlineLevel="0" collapsed="false">
      <c r="A113" s="7" t="s">
        <v>260</v>
      </c>
      <c r="B113" s="7" t="s">
        <v>261</v>
      </c>
      <c r="C113" s="7" t="s">
        <v>621</v>
      </c>
      <c r="D113" s="51" t="n">
        <v>9</v>
      </c>
      <c r="E113" s="50" t="n">
        <v>17143</v>
      </c>
      <c r="F113" s="49" t="str">
        <f aca="false">IF(COUNTIF(Productos!$A$6:$A$110,A113)=0,IF(C113="KIT/DÚO","Kit (después)","No está"),IF(COUNTIFS(Productos!$A$6:$A$110,A113,Productos!$P$6:$P$110,"&gt;0")&gt;0,"Completa","Faltan datos"))</f>
        <v>Faltan datos</v>
      </c>
    </row>
    <row r="114" customFormat="false" ht="15" hidden="false" customHeight="false" outlineLevel="0" collapsed="false">
      <c r="A114" s="7" t="s">
        <v>705</v>
      </c>
      <c r="B114" s="7" t="s">
        <v>706</v>
      </c>
      <c r="C114" s="7" t="s">
        <v>618</v>
      </c>
      <c r="D114" s="51" t="n">
        <v>8</v>
      </c>
      <c r="E114" s="50"/>
      <c r="F114" s="49" t="str">
        <f aca="false">IF(COUNTIF(Productos!$A$6:$A$110,A114)=0,IF(C114="KIT/DÚO","Kit (después)","No está"),IF(COUNTIFS(Productos!$A$6:$A$110,A114,Productos!$P$6:$P$110,"&gt;0")&gt;0,"Completa","Faltan datos"))</f>
        <v>No está</v>
      </c>
    </row>
    <row r="115" customFormat="false" ht="15" hidden="false" customHeight="false" outlineLevel="0" collapsed="false">
      <c r="A115" s="7" t="s">
        <v>707</v>
      </c>
      <c r="B115" s="7" t="s">
        <v>708</v>
      </c>
      <c r="C115" s="7" t="s">
        <v>611</v>
      </c>
      <c r="D115" s="51" t="n">
        <v>8</v>
      </c>
      <c r="E115" s="50" t="n">
        <v>1260</v>
      </c>
      <c r="F115" s="49" t="str">
        <f aca="false">IF(COUNTIF(Productos!$A$6:$A$110,A115)=0,IF(C115="KIT/DÚO","Kit (después)","No está"),IF(COUNTIFS(Productos!$A$6:$A$110,A115,Productos!$P$6:$P$110,"&gt;0")&gt;0,"Completa","Faltan datos"))</f>
        <v>No está</v>
      </c>
    </row>
    <row r="116" customFormat="false" ht="15" hidden="false" customHeight="false" outlineLevel="0" collapsed="false">
      <c r="A116" s="7" t="s">
        <v>262</v>
      </c>
      <c r="B116" s="7" t="s">
        <v>263</v>
      </c>
      <c r="C116" s="7" t="s">
        <v>630</v>
      </c>
      <c r="D116" s="51" t="n">
        <v>6</v>
      </c>
      <c r="E116" s="50" t="n">
        <v>32731</v>
      </c>
      <c r="F116" s="49" t="str">
        <f aca="false">IF(COUNTIF(Productos!$A$6:$A$110,A116)=0,IF(C116="KIT/DÚO","Kit (después)","No está"),IF(COUNTIFS(Productos!$A$6:$A$110,A116,Productos!$P$6:$P$110,"&gt;0")&gt;0,"Completa","Faltan datos"))</f>
        <v>Faltan datos</v>
      </c>
    </row>
    <row r="117" customFormat="false" ht="15" hidden="false" customHeight="false" outlineLevel="0" collapsed="false">
      <c r="A117" s="7" t="s">
        <v>264</v>
      </c>
      <c r="B117" s="7" t="s">
        <v>265</v>
      </c>
      <c r="C117" s="7" t="s">
        <v>621</v>
      </c>
      <c r="D117" s="51" t="n">
        <v>6</v>
      </c>
      <c r="E117" s="50" t="n">
        <v>16723</v>
      </c>
      <c r="F117" s="49" t="str">
        <f aca="false">IF(COUNTIF(Productos!$A$6:$A$110,A117)=0,IF(C117="KIT/DÚO","Kit (después)","No está"),IF(COUNTIFS(Productos!$A$6:$A$110,A117,Productos!$P$6:$P$110,"&gt;0")&gt;0,"Completa","Faltan datos"))</f>
        <v>Faltan datos</v>
      </c>
    </row>
    <row r="118" customFormat="false" ht="15" hidden="false" customHeight="false" outlineLevel="0" collapsed="false">
      <c r="A118" s="7" t="s">
        <v>266</v>
      </c>
      <c r="B118" s="7" t="s">
        <v>267</v>
      </c>
      <c r="C118" s="7" t="s">
        <v>621</v>
      </c>
      <c r="D118" s="51" t="n">
        <v>5</v>
      </c>
      <c r="E118" s="50" t="n">
        <v>15882</v>
      </c>
      <c r="F118" s="49" t="str">
        <f aca="false">IF(COUNTIF(Productos!$A$6:$A$110,A118)=0,IF(C118="KIT/DÚO","Kit (después)","No está"),IF(COUNTIFS(Productos!$A$6:$A$110,A118,Productos!$P$6:$P$110,"&gt;0")&gt;0,"Completa","Faltan datos"))</f>
        <v>Faltan datos</v>
      </c>
    </row>
    <row r="119" customFormat="false" ht="15" hidden="false" customHeight="false" outlineLevel="0" collapsed="false">
      <c r="A119" s="7" t="s">
        <v>709</v>
      </c>
      <c r="B119" s="7" t="s">
        <v>710</v>
      </c>
      <c r="C119" s="7" t="s">
        <v>621</v>
      </c>
      <c r="D119" s="51" t="n">
        <v>5</v>
      </c>
      <c r="E119" s="50" t="n">
        <v>13622</v>
      </c>
      <c r="F119" s="49" t="str">
        <f aca="false">IF(COUNTIF(Productos!$A$6:$A$110,A119)=0,IF(C119="KIT/DÚO","Kit (después)","No está"),IF(COUNTIFS(Productos!$A$6:$A$110,A119,Productos!$P$6:$P$110,"&gt;0")&gt;0,"Completa","Faltan datos"))</f>
        <v>No está</v>
      </c>
    </row>
    <row r="120" customFormat="false" ht="15" hidden="false" customHeight="false" outlineLevel="0" collapsed="false">
      <c r="A120" s="7" t="s">
        <v>711</v>
      </c>
      <c r="B120" s="7" t="s">
        <v>712</v>
      </c>
      <c r="C120" s="7" t="s">
        <v>618</v>
      </c>
      <c r="D120" s="51" t="n">
        <v>5</v>
      </c>
      <c r="E120" s="50" t="n">
        <v>29412</v>
      </c>
      <c r="F120" s="49" t="str">
        <f aca="false">IF(COUNTIF(Productos!$A$6:$A$110,A120)=0,IF(C120="KIT/DÚO","Kit (después)","No está"),IF(COUNTIFS(Productos!$A$6:$A$110,A120,Productos!$P$6:$P$110,"&gt;0")&gt;0,"Completa","Faltan datos"))</f>
        <v>No está</v>
      </c>
    </row>
    <row r="121" customFormat="false" ht="15" hidden="false" customHeight="false" outlineLevel="0" collapsed="false">
      <c r="A121" s="7" t="s">
        <v>268</v>
      </c>
      <c r="B121" s="7" t="s">
        <v>269</v>
      </c>
      <c r="C121" s="7" t="s">
        <v>621</v>
      </c>
      <c r="D121" s="51" t="n">
        <v>4</v>
      </c>
      <c r="E121" s="50" t="n">
        <v>12689</v>
      </c>
      <c r="F121" s="49" t="str">
        <f aca="false">IF(COUNTIF(Productos!$A$6:$A$110,A121)=0,IF(C121="KIT/DÚO","Kit (después)","No está"),IF(COUNTIFS(Productos!$A$6:$A$110,A121,Productos!$P$6:$P$110,"&gt;0")&gt;0,"Completa","Faltan datos"))</f>
        <v>Faltan datos</v>
      </c>
    </row>
    <row r="122" customFormat="false" ht="15" hidden="false" customHeight="false" outlineLevel="0" collapsed="false">
      <c r="A122" s="7" t="s">
        <v>272</v>
      </c>
      <c r="B122" s="7" t="s">
        <v>273</v>
      </c>
      <c r="C122" s="7" t="s">
        <v>630</v>
      </c>
      <c r="D122" s="51" t="n">
        <v>4</v>
      </c>
      <c r="E122" s="50" t="n">
        <v>13445</v>
      </c>
      <c r="F122" s="49" t="str">
        <f aca="false">IF(COUNTIF(Productos!$A$6:$A$110,A122)=0,IF(C122="KIT/DÚO","Kit (después)","No está"),IF(COUNTIFS(Productos!$A$6:$A$110,A122,Productos!$P$6:$P$110,"&gt;0")&gt;0,"Completa","Faltan datos"))</f>
        <v>Faltan datos</v>
      </c>
    </row>
    <row r="123" customFormat="false" ht="15" hidden="false" customHeight="false" outlineLevel="0" collapsed="false">
      <c r="A123" s="7" t="s">
        <v>274</v>
      </c>
      <c r="B123" s="7" t="s">
        <v>275</v>
      </c>
      <c r="C123" s="7" t="s">
        <v>630</v>
      </c>
      <c r="D123" s="51" t="n">
        <v>4</v>
      </c>
      <c r="E123" s="50" t="n">
        <v>30168</v>
      </c>
      <c r="F123" s="49" t="str">
        <f aca="false">IF(COUNTIF(Productos!$A$6:$A$110,A123)=0,IF(C123="KIT/DÚO","Kit (después)","No está"),IF(COUNTIFS(Productos!$A$6:$A$110,A123,Productos!$P$6:$P$110,"&gt;0")&gt;0,"Completa","Faltan datos"))</f>
        <v>Faltan datos</v>
      </c>
    </row>
    <row r="124" customFormat="false" ht="15" hidden="false" customHeight="false" outlineLevel="0" collapsed="false">
      <c r="A124" s="7" t="s">
        <v>713</v>
      </c>
      <c r="B124" s="7" t="s">
        <v>714</v>
      </c>
      <c r="C124" s="7" t="s">
        <v>618</v>
      </c>
      <c r="D124" s="51" t="n">
        <v>3</v>
      </c>
      <c r="E124" s="50" t="n">
        <v>21008</v>
      </c>
      <c r="F124" s="49" t="str">
        <f aca="false">IF(COUNTIF(Productos!$A$6:$A$110,A124)=0,IF(C124="KIT/DÚO","Kit (después)","No está"),IF(COUNTIFS(Productos!$A$6:$A$110,A124,Productos!$P$6:$P$110,"&gt;0")&gt;0,"Completa","Faltan datos"))</f>
        <v>No está</v>
      </c>
    </row>
    <row r="125" customFormat="false" ht="15" hidden="false" customHeight="false" outlineLevel="0" collapsed="false">
      <c r="A125" s="7" t="s">
        <v>276</v>
      </c>
      <c r="B125" s="7" t="s">
        <v>277</v>
      </c>
      <c r="C125" s="7" t="s">
        <v>621</v>
      </c>
      <c r="D125" s="51" t="n">
        <v>3</v>
      </c>
      <c r="E125" s="50" t="n">
        <v>16723</v>
      </c>
      <c r="F125" s="49" t="str">
        <f aca="false">IF(COUNTIF(Productos!$A$6:$A$110,A125)=0,IF(C125="KIT/DÚO","Kit (después)","No está"),IF(COUNTIFS(Productos!$A$6:$A$110,A125,Productos!$P$6:$P$110,"&gt;0")&gt;0,"Completa","Faltan datos"))</f>
        <v>Faltan datos</v>
      </c>
    </row>
    <row r="126" customFormat="false" ht="15" hidden="false" customHeight="false" outlineLevel="0" collapsed="false">
      <c r="A126" s="7" t="s">
        <v>278</v>
      </c>
      <c r="B126" s="7" t="s">
        <v>279</v>
      </c>
      <c r="C126" s="7" t="s">
        <v>630</v>
      </c>
      <c r="D126" s="51" t="n">
        <v>2</v>
      </c>
      <c r="E126" s="50" t="n">
        <v>27647</v>
      </c>
      <c r="F126" s="49" t="str">
        <f aca="false">IF(COUNTIF(Productos!$A$6:$A$110,A126)=0,IF(C126="KIT/DÚO","Kit (después)","No está"),IF(COUNTIFS(Productos!$A$6:$A$110,A126,Productos!$P$6:$P$110,"&gt;0")&gt;0,"Completa","Faltan datos"))</f>
        <v>Faltan datos</v>
      </c>
    </row>
    <row r="127" customFormat="false" ht="15" hidden="false" customHeight="false" outlineLevel="0" collapsed="false">
      <c r="A127" s="7" t="s">
        <v>715</v>
      </c>
      <c r="B127" s="7" t="s">
        <v>716</v>
      </c>
      <c r="C127" s="7" t="s">
        <v>608</v>
      </c>
      <c r="D127" s="51" t="n">
        <v>2</v>
      </c>
      <c r="E127" s="50" t="n">
        <v>45294</v>
      </c>
      <c r="F127" s="49" t="str">
        <f aca="false">IF(COUNTIF(Productos!$A$6:$A$110,A127)=0,IF(C127="KIT/DÚO","Kit (después)","No está"),IF(COUNTIFS(Productos!$A$6:$A$110,A127,Productos!$P$6:$P$110,"&gt;0")&gt;0,"Completa","Faltan datos"))</f>
        <v>Kit (después)</v>
      </c>
    </row>
    <row r="128" customFormat="false" ht="15" hidden="false" customHeight="false" outlineLevel="0" collapsed="false">
      <c r="A128" s="7" t="s">
        <v>717</v>
      </c>
      <c r="B128" s="7" t="s">
        <v>718</v>
      </c>
      <c r="C128" s="7" t="s">
        <v>608</v>
      </c>
      <c r="D128" s="51" t="n">
        <v>2</v>
      </c>
      <c r="E128" s="50" t="n">
        <v>26387</v>
      </c>
      <c r="F128" s="49" t="str">
        <f aca="false">IF(COUNTIF(Productos!$A$6:$A$110,A128)=0,IF(C128="KIT/DÚO","Kit (después)","No está"),IF(COUNTIFS(Productos!$A$6:$A$110,A128,Productos!$P$6:$P$110,"&gt;0")&gt;0,"Completa","Faltan datos"))</f>
        <v>Kit (después)</v>
      </c>
    </row>
    <row r="129" customFormat="false" ht="15" hidden="false" customHeight="false" outlineLevel="0" collapsed="false">
      <c r="A129" s="7" t="s">
        <v>719</v>
      </c>
      <c r="B129" s="7" t="s">
        <v>720</v>
      </c>
      <c r="C129" s="7" t="s">
        <v>618</v>
      </c>
      <c r="D129" s="51" t="n">
        <v>2</v>
      </c>
      <c r="E129" s="50" t="n">
        <v>11093</v>
      </c>
      <c r="F129" s="49" t="str">
        <f aca="false">IF(COUNTIF(Productos!$A$6:$A$110,A129)=0,IF(C129="KIT/DÚO","Kit (después)","No está"),IF(COUNTIFS(Productos!$A$6:$A$110,A129,Productos!$P$6:$P$110,"&gt;0")&gt;0,"Completa","Faltan datos"))</f>
        <v>No está</v>
      </c>
    </row>
    <row r="130" customFormat="false" ht="15" hidden="false" customHeight="false" outlineLevel="0" collapsed="false">
      <c r="A130" s="7" t="s">
        <v>721</v>
      </c>
      <c r="B130" s="7" t="s">
        <v>722</v>
      </c>
      <c r="C130" s="7" t="s">
        <v>621</v>
      </c>
      <c r="D130" s="51" t="n">
        <v>2</v>
      </c>
      <c r="E130" s="50" t="n">
        <v>1681</v>
      </c>
      <c r="F130" s="49" t="str">
        <f aca="false">IF(COUNTIF(Productos!$A$6:$A$110,A130)=0,IF(C130="KIT/DÚO","Kit (después)","No está"),IF(COUNTIFS(Productos!$A$6:$A$110,A130,Productos!$P$6:$P$110,"&gt;0")&gt;0,"Completa","Faltan datos"))</f>
        <v>No está</v>
      </c>
    </row>
    <row r="131" customFormat="false" ht="15" hidden="false" customHeight="false" outlineLevel="0" collapsed="false">
      <c r="A131" s="7" t="s">
        <v>723</v>
      </c>
      <c r="B131" s="7" t="s">
        <v>724</v>
      </c>
      <c r="C131" s="7" t="s">
        <v>621</v>
      </c>
      <c r="D131" s="51" t="n">
        <v>1</v>
      </c>
      <c r="E131" s="50"/>
      <c r="F131" s="49" t="str">
        <f aca="false">IF(COUNTIF(Productos!$A$6:$A$110,A131)=0,IF(C131="KIT/DÚO","Kit (después)","No está"),IF(COUNTIFS(Productos!$A$6:$A$110,A131,Productos!$P$6:$P$110,"&gt;0")&gt;0,"Completa","Faltan datos"))</f>
        <v>No está</v>
      </c>
    </row>
    <row r="132" customFormat="false" ht="15" hidden="false" customHeight="false" outlineLevel="0" collapsed="false">
      <c r="A132" s="7" t="s">
        <v>280</v>
      </c>
      <c r="B132" s="7" t="s">
        <v>281</v>
      </c>
      <c r="C132" s="7" t="s">
        <v>621</v>
      </c>
      <c r="D132" s="51" t="n">
        <v>1</v>
      </c>
      <c r="E132" s="50" t="n">
        <v>19244</v>
      </c>
      <c r="F132" s="49" t="str">
        <f aca="false">IF(COUNTIF(Productos!$A$6:$A$110,A132)=0,IF(C132="KIT/DÚO","Kit (después)","No está"),IF(COUNTIFS(Productos!$A$6:$A$110,A132,Productos!$P$6:$P$110,"&gt;0")&gt;0,"Completa","Faltan datos"))</f>
        <v>Faltan datos</v>
      </c>
    </row>
    <row r="133" customFormat="false" ht="15" hidden="false" customHeight="false" outlineLevel="0" collapsed="false">
      <c r="A133" s="7" t="s">
        <v>282</v>
      </c>
      <c r="B133" s="7" t="s">
        <v>283</v>
      </c>
      <c r="C133" s="7" t="s">
        <v>621</v>
      </c>
      <c r="D133" s="51" t="n">
        <v>1</v>
      </c>
      <c r="E133" s="50" t="n">
        <v>20084</v>
      </c>
      <c r="F133" s="49" t="str">
        <f aca="false">IF(COUNTIF(Productos!$A$6:$A$110,A133)=0,IF(C133="KIT/DÚO","Kit (después)","No está"),IF(COUNTIFS(Productos!$A$6:$A$110,A133,Productos!$P$6:$P$110,"&gt;0")&gt;0,"Completa","Faltan datos"))</f>
        <v>Faltan datos</v>
      </c>
    </row>
    <row r="134" customFormat="false" ht="15" hidden="false" customHeight="false" outlineLevel="0" collapsed="false">
      <c r="A134" s="7" t="s">
        <v>284</v>
      </c>
      <c r="B134" s="7" t="s">
        <v>285</v>
      </c>
      <c r="C134" s="7" t="s">
        <v>621</v>
      </c>
      <c r="D134" s="51" t="n">
        <v>1</v>
      </c>
      <c r="E134" s="50" t="n">
        <v>21765</v>
      </c>
      <c r="F134" s="49" t="str">
        <f aca="false">IF(COUNTIF(Productos!$A$6:$A$110,A134)=0,IF(C134="KIT/DÚO","Kit (después)","No está"),IF(COUNTIFS(Productos!$A$6:$A$110,A134,Productos!$P$6:$P$110,"&gt;0")&gt;0,"Completa","Faltan datos"))</f>
        <v>Faltan datos</v>
      </c>
    </row>
    <row r="135" customFormat="false" ht="15" hidden="false" customHeight="false" outlineLevel="0" collapsed="false">
      <c r="A135" s="7" t="s">
        <v>286</v>
      </c>
      <c r="B135" s="7" t="s">
        <v>287</v>
      </c>
      <c r="C135" s="7" t="s">
        <v>621</v>
      </c>
      <c r="D135" s="51" t="n">
        <v>1</v>
      </c>
      <c r="E135" s="50" t="n">
        <v>11681</v>
      </c>
      <c r="F135" s="49" t="str">
        <f aca="false">IF(COUNTIF(Productos!$A$6:$A$110,A135)=0,IF(C135="KIT/DÚO","Kit (después)","No está"),IF(COUNTIFS(Productos!$A$6:$A$110,A135,Productos!$P$6:$P$110,"&gt;0")&gt;0,"Completa","Faltan datos"))</f>
        <v>Faltan datos</v>
      </c>
    </row>
    <row r="136" customFormat="false" ht="15" hidden="false" customHeight="false" outlineLevel="0" collapsed="false">
      <c r="A136" s="7" t="s">
        <v>288</v>
      </c>
      <c r="B136" s="7" t="s">
        <v>289</v>
      </c>
      <c r="C136" s="7" t="s">
        <v>630</v>
      </c>
      <c r="D136" s="51" t="n">
        <v>1</v>
      </c>
      <c r="E136" s="50" t="n">
        <v>21765</v>
      </c>
      <c r="F136" s="49" t="str">
        <f aca="false">IF(COUNTIF(Productos!$A$6:$A$110,A136)=0,IF(C136="KIT/DÚO","Kit (después)","No está"),IF(COUNTIFS(Productos!$A$6:$A$110,A136,Productos!$P$6:$P$110,"&gt;0")&gt;0,"Completa","Faltan datos"))</f>
        <v>Faltan datos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2026-10-07T18:45:51Z</dcterms:created>
  <dc:creator>openpyxl</dc:creator>
  <dc:description/>
  <dc:language>en-US</dc:language>
  <cp:lastModifiedBy/>
  <dcterms:modified xsi:type="dcterms:W3CDTF">2026-10-07T18:45:53Z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