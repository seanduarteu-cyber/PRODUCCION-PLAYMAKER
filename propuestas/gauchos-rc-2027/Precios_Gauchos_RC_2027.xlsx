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</sheets>
  <definedNames>
    <definedName function="false" hidden="false" localSheetId="0" name="_xlnm.Print_Titles" vbProcedure="false">Precios!$8:$8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Fila de referencia: muestra el formato esperado. No se carga en la propuesta.</t>
        </r>
      </text>
    </comment>
    <comment ref="D4" authorId="0">
      <text>
        <r>
          <rPr>
            <sz val="10"/>
            <rFont val="Arial"/>
            <family val="2"/>
          </rPr>
          <t xml:space="preserve">Elige 'Neto (sin IVA)' o 'Con IVA'. Si eliges 'Con IVA', la planilla calcula el neto dividiendo por (1 + IVA).</t>
        </r>
      </text>
    </comment>
    <comment ref="D5" authorId="0">
      <text>
        <r>
          <rPr>
            <sz val="10"/>
            <rFont val="Arial"/>
            <family val="2"/>
          </rPr>
          <t xml:space="preserve">El royalty va de 11% a 15% según las unidades vendidas a socios en la temporada. Las columnas L y M usan este tramo base; la columna O revisa el tramo máximo.</t>
        </r>
      </text>
    </comment>
    <comment ref="D6" authorId="0">
      <text>
        <r>
          <rPr>
            <sz val="10"/>
            <rFont val="Arial"/>
            <family val="2"/>
          </rPr>
          <t xml:space="preserve">IVA vigente en Chile (19%).</t>
        </r>
      </text>
    </comment>
    <comment ref="D7" authorId="0">
      <text>
        <r>
          <rPr>
            <sz val="10"/>
            <rFont val="Arial"/>
            <family val="2"/>
          </rPr>
          <t xml:space="preserve">Tramo más alto de la tabla de royalty (más de 500 unidades en la temporada).</t>
        </r>
      </text>
    </comment>
    <comment ref="O9" authorId="0">
      <text>
        <r>
          <rPr>
            <sz val="10"/>
            <rFont val="Arial"/>
            <family val="2"/>
          </rPr>
          <t xml:space="preserve">Sí = el precio de venta neto, descontado el royalty máximo, sigue siendo igual o mayor que el precio preferencial. Así el royalty nunca sale del margen base.</t>
        </r>
      </text>
    </comment>
  </commentList>
</comments>
</file>

<file path=xl/sharedStrings.xml><?xml version="1.0" encoding="utf-8"?>
<sst xmlns="http://schemas.openxmlformats.org/spreadsheetml/2006/main" count="121" uniqueCount="82">
  <si>
    <t xml:space="preserve">GAUCHOS RUGBY CLUB 2027 — LISTA DE PRECIOS</t>
  </si>
  <si>
    <t xml:space="preserve">Completa solo las celdas amarillas. Valores en pesos chilenos. Las columnas grises se calculan solas. La fila EJEMPLO es solo de referencia y no se carga en la propuesta.</t>
  </si>
  <si>
    <t xml:space="preserve">Los precios que ingreso son</t>
  </si>
  <si>
    <t xml:space="preserve">Neto (sin IVA)</t>
  </si>
  <si>
    <t xml:space="preserve">Royalty tramo base (sobre precio de venta neto)</t>
  </si>
  <si>
    <t xml:space="preserve">IVA</t>
  </si>
  <si>
    <t xml:space="preserve">Royalty tramo máximo</t>
  </si>
  <si>
    <t xml:space="preserve">Código</t>
  </si>
  <si>
    <t xml:space="preserve">Categoría</t>
  </si>
  <si>
    <t xml:space="preserve">Producto</t>
  </si>
  <si>
    <t xml:space="preserve">Tallas</t>
  </si>
  <si>
    <t xml:space="preserve">Cantidad
(opcional)</t>
  </si>
  <si>
    <t xml:space="preserve">Precio
preferencial club</t>
  </si>
  <si>
    <t xml:space="preserve">Precio
de venta</t>
  </si>
  <si>
    <t xml:space="preserve">Royalty propio
(solo si es distinto)</t>
  </si>
  <si>
    <t xml:space="preserve">Preferencial
neto</t>
  </si>
  <si>
    <t xml:space="preserve">Venta
neto</t>
  </si>
  <si>
    <t xml:space="preserve">Venta
con IVA</t>
  </si>
  <si>
    <t xml:space="preserve">Royalty %
aplicado</t>
  </si>
  <si>
    <t xml:space="preserve">Royalty por
unidad (CLP)</t>
  </si>
  <si>
    <t xml:space="preserve">Notas</t>
  </si>
  <si>
    <t xml:space="preserve">¿Cubre el royalty
máximo?</t>
  </si>
  <si>
    <t xml:space="preserve">EJEMPLO</t>
  </si>
  <si>
    <t xml:space="preserve">—</t>
  </si>
  <si>
    <t xml:space="preserve">Ejemplo: camiseta de juego</t>
  </si>
  <si>
    <t xml:space="preserve">XS a 5XL</t>
  </si>
  <si>
    <t xml:space="preserve">Precio preferencial = lo que paga el club</t>
  </si>
  <si>
    <t xml:space="preserve">GAU-01</t>
  </si>
  <si>
    <t xml:space="preserve">Línea de juego</t>
  </si>
  <si>
    <t xml:space="preserve">Camiseta de juego — Local OP1</t>
  </si>
  <si>
    <t xml:space="preserve">GAU-02</t>
  </si>
  <si>
    <t xml:space="preserve">Camiseta de juego — Local 02</t>
  </si>
  <si>
    <t xml:space="preserve">GAU-03</t>
  </si>
  <si>
    <t xml:space="preserve">Camiseta de juego — Visita 01</t>
  </si>
  <si>
    <t xml:space="preserve">GAU-04</t>
  </si>
  <si>
    <t xml:space="preserve">Camiseta de juego — Visita 02</t>
  </si>
  <si>
    <t xml:space="preserve">GAU-05</t>
  </si>
  <si>
    <t xml:space="preserve">Short de juego</t>
  </si>
  <si>
    <t xml:space="preserve">5XS a 5XL</t>
  </si>
  <si>
    <t xml:space="preserve">GAU-06</t>
  </si>
  <si>
    <t xml:space="preserve">Medias de juego</t>
  </si>
  <si>
    <t xml:space="preserve">Curva infantil y adulta</t>
  </si>
  <si>
    <t xml:space="preserve">GAU-07</t>
  </si>
  <si>
    <t xml:space="preserve">Línea de entrenamiento</t>
  </si>
  <si>
    <t xml:space="preserve">Match Day Shirt</t>
  </si>
  <si>
    <t xml:space="preserve">GAU-08</t>
  </si>
  <si>
    <t xml:space="preserve">Camiseta de entrenamiento</t>
  </si>
  <si>
    <t xml:space="preserve">GAU-09</t>
  </si>
  <si>
    <t xml:space="preserve">Polerón medio cierre</t>
  </si>
  <si>
    <t xml:space="preserve">GAU-10</t>
  </si>
  <si>
    <t xml:space="preserve">Buzo de contacto manga larga</t>
  </si>
  <si>
    <t xml:space="preserve">GAU-11</t>
  </si>
  <si>
    <t xml:space="preserve">Camiseta sin mangas</t>
  </si>
  <si>
    <t xml:space="preserve">GAU-12</t>
  </si>
  <si>
    <t xml:space="preserve">Short tipo básquet</t>
  </si>
  <si>
    <t xml:space="preserve">GAU-13</t>
  </si>
  <si>
    <t xml:space="preserve">Presentación y abrigo</t>
  </si>
  <si>
    <t xml:space="preserve">Polo piqué</t>
  </si>
  <si>
    <t xml:space="preserve">GAU-14</t>
  </si>
  <si>
    <t xml:space="preserve">Chaqueta cierre completo</t>
  </si>
  <si>
    <t xml:space="preserve">GAU-15</t>
  </si>
  <si>
    <t xml:space="preserve">Cortaviento con capucha</t>
  </si>
  <si>
    <t xml:space="preserve">GAU-16</t>
  </si>
  <si>
    <t xml:space="preserve">Polerón cuello redondo</t>
  </si>
  <si>
    <t xml:space="preserve">GAU-17</t>
  </si>
  <si>
    <t xml:space="preserve">Hoodie</t>
  </si>
  <si>
    <t xml:space="preserve">GAU-18</t>
  </si>
  <si>
    <t xml:space="preserve">Chaqueta varsity</t>
  </si>
  <si>
    <t xml:space="preserve">GAU-19</t>
  </si>
  <si>
    <t xml:space="preserve">Polera de algodón</t>
  </si>
  <si>
    <t xml:space="preserve">GAU-20</t>
  </si>
  <si>
    <t xml:space="preserve">Bermuda deportiva</t>
  </si>
  <si>
    <t xml:space="preserve">GAU-21</t>
  </si>
  <si>
    <t xml:space="preserve">Pantalón pitillo</t>
  </si>
  <si>
    <t xml:space="preserve">GAU-22</t>
  </si>
  <si>
    <t xml:space="preserve">Parka larga</t>
  </si>
  <si>
    <t xml:space="preserve">Cómo completar:</t>
  </si>
  <si>
    <t xml:space="preserve">1. Elige en D4 si los precios que escribes son netos o con IVA (por defecto: netos).</t>
  </si>
  <si>
    <t xml:space="preserve">2. Escribe el precio preferencial (lo que paga el club) y el precio de venta de cada producto.</t>
  </si>
  <si>
    <t xml:space="preserve">3. El royalty va de 11% a 15% por tramos (D5 y D7). Si algún producto tiene un royalty distinto, ponlo en la columna H.</t>
  </si>
  <si>
    <t xml:space="preserve">4. Cantidad es opcional: si la completas, se carga también en el cuadro de valores de la propuesta.</t>
  </si>
  <si>
    <t xml:space="preserve">Royalty por unidad = precio de venta neto × tramo base. La columna O avisa si el precio de venta no alcanza a cubrir el royalty máximo sobre el precio preferencial.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</si>
</sst>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-0.0%;\-"/>
    <numFmt numFmtId="166" formatCode="#,##0;\-#,##0;\-"/>
    <numFmt numFmtId="167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E3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A8"/>
        <bgColor rgb="FFFAFAF0"/>
      </patternFill>
    </fill>
    <fill>
      <patternFill patternType="solid">
        <fgColor rgb="FF141E3C"/>
        <bgColor rgb="FF333333"/>
      </patternFill>
    </fill>
    <fill>
      <patternFill patternType="solid">
        <fgColor rgb="FFFAFAF0"/>
        <bgColor rgb="FFFFFFFF"/>
      </patternFill>
    </fill>
    <fill>
      <patternFill patternType="solid">
        <fgColor rgb="FFF2F2F2"/>
        <bgColor rgb="FFFAFA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0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1E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20"/>
    <col collapsed="false" customWidth="true" hidden="false" outlineLevel="0" max="5" min="5" style="1" width="11"/>
    <col collapsed="false" customWidth="true" hidden="false" outlineLevel="0" max="7" min="6" style="1" width="15"/>
    <col collapsed="false" customWidth="true" hidden="false" outlineLevel="0" max="8" min="8" style="1" width="17"/>
    <col collapsed="false" customWidth="true" hidden="false" outlineLevel="0" max="11" min="9" style="1" width="14"/>
    <col collapsed="false" customWidth="true" hidden="false" outlineLevel="0" max="12" min="12" style="1" width="12"/>
    <col collapsed="false" customWidth="true" hidden="false" outlineLevel="0" max="13" min="13" style="1" width="15"/>
    <col collapsed="false" customWidth="true" hidden="false" outlineLevel="0" max="14" min="14" style="1" width="30"/>
    <col collapsed="false" customWidth="true" hidden="false" outlineLevel="0" max="15" min="15" style="0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5" t="s">
        <v>3</v>
      </c>
    </row>
    <row r="5" customFormat="false" ht="15" hidden="false" customHeight="true" outlineLevel="0" collapsed="false">
      <c r="A5" s="4" t="s">
        <v>4</v>
      </c>
      <c r="B5" s="4"/>
      <c r="C5" s="4"/>
      <c r="D5" s="6" t="n">
        <v>0.11</v>
      </c>
    </row>
    <row r="6" customFormat="false" ht="15" hidden="false" customHeight="true" outlineLevel="0" collapsed="false">
      <c r="A6" s="4" t="s">
        <v>5</v>
      </c>
      <c r="B6" s="4"/>
      <c r="C6" s="4"/>
      <c r="D6" s="7" t="n">
        <v>0.19</v>
      </c>
    </row>
    <row r="7" customFormat="false" ht="15" hidden="false" customHeight="false" outlineLevel="0" collapsed="false">
      <c r="A7" s="8" t="s">
        <v>6</v>
      </c>
      <c r="B7" s="8"/>
      <c r="C7" s="8"/>
      <c r="D7" s="6" t="n">
        <v>0.15</v>
      </c>
    </row>
    <row r="8" customFormat="false" ht="31.5" hidden="false" customHeight="true" outlineLevel="0" collapsed="false">
      <c r="A8" s="9" t="s">
        <v>7</v>
      </c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  <c r="J8" s="9" t="s">
        <v>16</v>
      </c>
      <c r="K8" s="9" t="s">
        <v>17</v>
      </c>
      <c r="L8" s="9" t="s">
        <v>18</v>
      </c>
      <c r="M8" s="9" t="s">
        <v>19</v>
      </c>
      <c r="N8" s="9" t="s">
        <v>20</v>
      </c>
      <c r="O8" s="9" t="s">
        <v>21</v>
      </c>
    </row>
    <row r="9" customFormat="false" ht="21.75" hidden="false" customHeight="true" outlineLevel="0" collapsed="false">
      <c r="A9" s="10" t="s">
        <v>22</v>
      </c>
      <c r="B9" s="10" t="s">
        <v>23</v>
      </c>
      <c r="C9" s="10" t="s">
        <v>24</v>
      </c>
      <c r="D9" s="10" t="s">
        <v>25</v>
      </c>
      <c r="E9" s="11" t="n">
        <v>40</v>
      </c>
      <c r="F9" s="12" t="n">
        <v>22990</v>
      </c>
      <c r="G9" s="12" t="n">
        <v>27990</v>
      </c>
      <c r="H9" s="13"/>
      <c r="I9" s="14" t="n">
        <f aca="false">IF(F9="","",IF($D$4="Con IVA",ROUND(F9/(1+$D$6),0),F9))</f>
        <v>22990</v>
      </c>
      <c r="J9" s="14" t="n">
        <f aca="false">IF(G9="","",IF($D$4="Con IVA",ROUND(G9/(1+$D$6),0),G9))</f>
        <v>27990</v>
      </c>
      <c r="K9" s="14" t="n">
        <f aca="false">IF(J9="","",ROUND(J9*(1+$D$6),0))</f>
        <v>33308</v>
      </c>
      <c r="L9" s="15" t="n">
        <f aca="false">IF(G9="","",IF(H9&lt;&gt;"",H9,IF($D$5="","",$D$5)))</f>
        <v>0.11</v>
      </c>
      <c r="M9" s="14" t="n">
        <f aca="false">IF(OR(J9="",L9=""),"",ROUND(J9*L9,0))</f>
        <v>3079</v>
      </c>
      <c r="N9" s="16" t="s">
        <v>26</v>
      </c>
      <c r="O9" s="17" t="str">
        <f aca="false">IF(OR(I9="",J9=""),"",IF(J9*(1-IF(H9&lt;&gt;"",MAX(H9,$D$7),$D$7))&gt;=I9,"Sí","No: subir precio de venta"))</f>
        <v>Sí</v>
      </c>
    </row>
    <row r="10" customFormat="false" ht="18" hidden="false" customHeight="true" outlineLevel="0" collapsed="false">
      <c r="A10" s="18" t="s">
        <v>27</v>
      </c>
      <c r="B10" s="18" t="s">
        <v>28</v>
      </c>
      <c r="C10" s="18" t="s">
        <v>29</v>
      </c>
      <c r="D10" s="18" t="s">
        <v>25</v>
      </c>
      <c r="E10" s="19"/>
      <c r="F10" s="20"/>
      <c r="G10" s="20"/>
      <c r="H10" s="21"/>
      <c r="I10" s="22" t="str">
        <f aca="false">IF(F10="","",IF($D$4="Con IVA",ROUND(F10/(1+$D$6),0),F10))</f>
        <v/>
      </c>
      <c r="J10" s="22" t="str">
        <f aca="false">IF(G10="","",IF($D$4="Con IVA",ROUND(G10/(1+$D$6),0),G10))</f>
        <v/>
      </c>
      <c r="K10" s="22" t="str">
        <f aca="false">IF(J10="","",ROUND(J10*(1+$D$6),0))</f>
        <v/>
      </c>
      <c r="L10" s="23" t="str">
        <f aca="false">IF(G10="","",IF(H10&lt;&gt;"",H10,IF($D$5="","",$D$5)))</f>
        <v/>
      </c>
      <c r="M10" s="22" t="str">
        <f aca="false">IF(OR(J10="",L10=""),"",ROUND(J10*L10,0))</f>
        <v/>
      </c>
      <c r="N10" s="24"/>
      <c r="O10" s="25" t="str">
        <f aca="false">IF(OR(I10="",J10=""),"",IF(J10*(1-IF(H10&lt;&gt;"",MAX(H10,$D$7),$D$7))&gt;=I10,"Sí","No: subir precio de venta"))</f>
        <v/>
      </c>
    </row>
    <row r="11" customFormat="false" ht="18" hidden="false" customHeight="true" outlineLevel="0" collapsed="false">
      <c r="A11" s="18" t="s">
        <v>30</v>
      </c>
      <c r="B11" s="18" t="s">
        <v>28</v>
      </c>
      <c r="C11" s="18" t="s">
        <v>31</v>
      </c>
      <c r="D11" s="18" t="s">
        <v>25</v>
      </c>
      <c r="E11" s="19"/>
      <c r="F11" s="20"/>
      <c r="G11" s="20"/>
      <c r="H11" s="21"/>
      <c r="I11" s="22" t="str">
        <f aca="false">IF(F11="","",IF($D$4="Con IVA",ROUND(F11/(1+$D$6),0),F11))</f>
        <v/>
      </c>
      <c r="J11" s="22" t="str">
        <f aca="false">IF(G11="","",IF($D$4="Con IVA",ROUND(G11/(1+$D$6),0),G11))</f>
        <v/>
      </c>
      <c r="K11" s="22" t="str">
        <f aca="false">IF(J11="","",ROUND(J11*(1+$D$6),0))</f>
        <v/>
      </c>
      <c r="L11" s="23" t="str">
        <f aca="false">IF(G11="","",IF(H11&lt;&gt;"",H11,IF($D$5="","",$D$5)))</f>
        <v/>
      </c>
      <c r="M11" s="22" t="str">
        <f aca="false">IF(OR(J11="",L11=""),"",ROUND(J11*L11,0))</f>
        <v/>
      </c>
      <c r="N11" s="24"/>
      <c r="O11" s="25" t="str">
        <f aca="false">IF(OR(I11="",J11=""),"",IF(J11*(1-IF(H11&lt;&gt;"",MAX(H11,$D$7),$D$7))&gt;=I11,"Sí","No: subir precio de venta"))</f>
        <v/>
      </c>
    </row>
    <row r="12" customFormat="false" ht="18" hidden="false" customHeight="true" outlineLevel="0" collapsed="false">
      <c r="A12" s="18" t="s">
        <v>32</v>
      </c>
      <c r="B12" s="18" t="s">
        <v>28</v>
      </c>
      <c r="C12" s="18" t="s">
        <v>33</v>
      </c>
      <c r="D12" s="18" t="s">
        <v>25</v>
      </c>
      <c r="E12" s="19"/>
      <c r="F12" s="20"/>
      <c r="G12" s="20"/>
      <c r="H12" s="21"/>
      <c r="I12" s="22" t="str">
        <f aca="false">IF(F12="","",IF($D$4="Con IVA",ROUND(F12/(1+$D$6),0),F12))</f>
        <v/>
      </c>
      <c r="J12" s="22" t="str">
        <f aca="false">IF(G12="","",IF($D$4="Con IVA",ROUND(G12/(1+$D$6),0),G12))</f>
        <v/>
      </c>
      <c r="K12" s="22" t="str">
        <f aca="false">IF(J12="","",ROUND(J12*(1+$D$6),0))</f>
        <v/>
      </c>
      <c r="L12" s="23" t="str">
        <f aca="false">IF(G12="","",IF(H12&lt;&gt;"",H12,IF($D$5="","",$D$5)))</f>
        <v/>
      </c>
      <c r="M12" s="22" t="str">
        <f aca="false">IF(OR(J12="",L12=""),"",ROUND(J12*L12,0))</f>
        <v/>
      </c>
      <c r="N12" s="24"/>
      <c r="O12" s="25" t="str">
        <f aca="false">IF(OR(I12="",J12=""),"",IF(J12*(1-IF(H12&lt;&gt;"",MAX(H12,$D$7),$D$7))&gt;=I12,"Sí","No: subir precio de venta"))</f>
        <v/>
      </c>
    </row>
    <row r="13" customFormat="false" ht="18" hidden="false" customHeight="true" outlineLevel="0" collapsed="false">
      <c r="A13" s="18" t="s">
        <v>34</v>
      </c>
      <c r="B13" s="18" t="s">
        <v>28</v>
      </c>
      <c r="C13" s="18" t="s">
        <v>35</v>
      </c>
      <c r="D13" s="18" t="s">
        <v>25</v>
      </c>
      <c r="E13" s="19"/>
      <c r="F13" s="20"/>
      <c r="G13" s="20"/>
      <c r="H13" s="21"/>
      <c r="I13" s="22" t="str">
        <f aca="false">IF(F13="","",IF($D$4="Con IVA",ROUND(F13/(1+$D$6),0),F13))</f>
        <v/>
      </c>
      <c r="J13" s="22" t="str">
        <f aca="false">IF(G13="","",IF($D$4="Con IVA",ROUND(G13/(1+$D$6),0),G13))</f>
        <v/>
      </c>
      <c r="K13" s="22" t="str">
        <f aca="false">IF(J13="","",ROUND(J13*(1+$D$6),0))</f>
        <v/>
      </c>
      <c r="L13" s="23" t="str">
        <f aca="false">IF(G13="","",IF(H13&lt;&gt;"",H13,IF($D$5="","",$D$5)))</f>
        <v/>
      </c>
      <c r="M13" s="22" t="str">
        <f aca="false">IF(OR(J13="",L13=""),"",ROUND(J13*L13,0))</f>
        <v/>
      </c>
      <c r="N13" s="24"/>
      <c r="O13" s="25" t="str">
        <f aca="false">IF(OR(I13="",J13=""),"",IF(J13*(1-IF(H13&lt;&gt;"",MAX(H13,$D$7),$D$7))&gt;=I13,"Sí","No: subir precio de venta"))</f>
        <v/>
      </c>
    </row>
    <row r="14" customFormat="false" ht="18" hidden="false" customHeight="true" outlineLevel="0" collapsed="false">
      <c r="A14" s="18" t="s">
        <v>36</v>
      </c>
      <c r="B14" s="18" t="s">
        <v>28</v>
      </c>
      <c r="C14" s="18" t="s">
        <v>37</v>
      </c>
      <c r="D14" s="18" t="s">
        <v>38</v>
      </c>
      <c r="E14" s="19"/>
      <c r="F14" s="20"/>
      <c r="G14" s="20"/>
      <c r="H14" s="21"/>
      <c r="I14" s="22" t="str">
        <f aca="false">IF(F14="","",IF($D$4="Con IVA",ROUND(F14/(1+$D$6),0),F14))</f>
        <v/>
      </c>
      <c r="J14" s="22" t="str">
        <f aca="false">IF(G14="","",IF($D$4="Con IVA",ROUND(G14/(1+$D$6),0),G14))</f>
        <v/>
      </c>
      <c r="K14" s="22" t="str">
        <f aca="false">IF(J14="","",ROUND(J14*(1+$D$6),0))</f>
        <v/>
      </c>
      <c r="L14" s="23" t="str">
        <f aca="false">IF(G14="","",IF(H14&lt;&gt;"",H14,IF($D$5="","",$D$5)))</f>
        <v/>
      </c>
      <c r="M14" s="22" t="str">
        <f aca="false">IF(OR(J14="",L14=""),"",ROUND(J14*L14,0))</f>
        <v/>
      </c>
      <c r="N14" s="24"/>
      <c r="O14" s="25" t="str">
        <f aca="false">IF(OR(I14="",J14=""),"",IF(J14*(1-IF(H14&lt;&gt;"",MAX(H14,$D$7),$D$7))&gt;=I14,"Sí","No: subir precio de venta"))</f>
        <v/>
      </c>
    </row>
    <row r="15" customFormat="false" ht="18" hidden="false" customHeight="true" outlineLevel="0" collapsed="false">
      <c r="A15" s="18" t="s">
        <v>39</v>
      </c>
      <c r="B15" s="18" t="s">
        <v>28</v>
      </c>
      <c r="C15" s="18" t="s">
        <v>40</v>
      </c>
      <c r="D15" s="18" t="s">
        <v>41</v>
      </c>
      <c r="E15" s="19"/>
      <c r="F15" s="20"/>
      <c r="G15" s="20"/>
      <c r="H15" s="21"/>
      <c r="I15" s="22" t="str">
        <f aca="false">IF(F15="","",IF($D$4="Con IVA",ROUND(F15/(1+$D$6),0),F15))</f>
        <v/>
      </c>
      <c r="J15" s="22" t="str">
        <f aca="false">IF(G15="","",IF($D$4="Con IVA",ROUND(G15/(1+$D$6),0),G15))</f>
        <v/>
      </c>
      <c r="K15" s="22" t="str">
        <f aca="false">IF(J15="","",ROUND(J15*(1+$D$6),0))</f>
        <v/>
      </c>
      <c r="L15" s="23" t="str">
        <f aca="false">IF(G15="","",IF(H15&lt;&gt;"",H15,IF($D$5="","",$D$5)))</f>
        <v/>
      </c>
      <c r="M15" s="22" t="str">
        <f aca="false">IF(OR(J15="",L15=""),"",ROUND(J15*L15,0))</f>
        <v/>
      </c>
      <c r="N15" s="24"/>
      <c r="O15" s="25" t="str">
        <f aca="false">IF(OR(I15="",J15=""),"",IF(J15*(1-IF(H15&lt;&gt;"",MAX(H15,$D$7),$D$7))&gt;=I15,"Sí","No: subir precio de venta"))</f>
        <v/>
      </c>
    </row>
    <row r="16" customFormat="false" ht="18" hidden="false" customHeight="true" outlineLevel="0" collapsed="false">
      <c r="A16" s="18" t="s">
        <v>42</v>
      </c>
      <c r="B16" s="18" t="s">
        <v>43</v>
      </c>
      <c r="C16" s="18" t="s">
        <v>44</v>
      </c>
      <c r="D16" s="18" t="s">
        <v>38</v>
      </c>
      <c r="E16" s="19"/>
      <c r="F16" s="20"/>
      <c r="G16" s="20"/>
      <c r="H16" s="21"/>
      <c r="I16" s="22" t="str">
        <f aca="false">IF(F16="","",IF($D$4="Con IVA",ROUND(F16/(1+$D$6),0),F16))</f>
        <v/>
      </c>
      <c r="J16" s="22" t="str">
        <f aca="false">IF(G16="","",IF($D$4="Con IVA",ROUND(G16/(1+$D$6),0),G16))</f>
        <v/>
      </c>
      <c r="K16" s="22" t="str">
        <f aca="false">IF(J16="","",ROUND(J16*(1+$D$6),0))</f>
        <v/>
      </c>
      <c r="L16" s="23" t="str">
        <f aca="false">IF(G16="","",IF(H16&lt;&gt;"",H16,IF($D$5="","",$D$5)))</f>
        <v/>
      </c>
      <c r="M16" s="22" t="str">
        <f aca="false">IF(OR(J16="",L16=""),"",ROUND(J16*L16,0))</f>
        <v/>
      </c>
      <c r="N16" s="24"/>
      <c r="O16" s="25" t="str">
        <f aca="false">IF(OR(I16="",J16=""),"",IF(J16*(1-IF(H16&lt;&gt;"",MAX(H16,$D$7),$D$7))&gt;=I16,"Sí","No: subir precio de venta"))</f>
        <v/>
      </c>
    </row>
    <row r="17" customFormat="false" ht="18" hidden="false" customHeight="true" outlineLevel="0" collapsed="false">
      <c r="A17" s="18" t="s">
        <v>45</v>
      </c>
      <c r="B17" s="18" t="s">
        <v>43</v>
      </c>
      <c r="C17" s="18" t="s">
        <v>46</v>
      </c>
      <c r="D17" s="18" t="s">
        <v>38</v>
      </c>
      <c r="E17" s="19"/>
      <c r="F17" s="20"/>
      <c r="G17" s="20"/>
      <c r="H17" s="21"/>
      <c r="I17" s="22" t="str">
        <f aca="false">IF(F17="","",IF($D$4="Con IVA",ROUND(F17/(1+$D$6),0),F17))</f>
        <v/>
      </c>
      <c r="J17" s="22" t="str">
        <f aca="false">IF(G17="","",IF($D$4="Con IVA",ROUND(G17/(1+$D$6),0),G17))</f>
        <v/>
      </c>
      <c r="K17" s="22" t="str">
        <f aca="false">IF(J17="","",ROUND(J17*(1+$D$6),0))</f>
        <v/>
      </c>
      <c r="L17" s="23" t="str">
        <f aca="false">IF(G17="","",IF(H17&lt;&gt;"",H17,IF($D$5="","",$D$5)))</f>
        <v/>
      </c>
      <c r="M17" s="22" t="str">
        <f aca="false">IF(OR(J17="",L17=""),"",ROUND(J17*L17,0))</f>
        <v/>
      </c>
      <c r="N17" s="24"/>
      <c r="O17" s="25" t="str">
        <f aca="false">IF(OR(I17="",J17=""),"",IF(J17*(1-IF(H17&lt;&gt;"",MAX(H17,$D$7),$D$7))&gt;=I17,"Sí","No: subir precio de venta"))</f>
        <v/>
      </c>
    </row>
    <row r="18" customFormat="false" ht="18" hidden="false" customHeight="true" outlineLevel="0" collapsed="false">
      <c r="A18" s="18" t="s">
        <v>47</v>
      </c>
      <c r="B18" s="18" t="s">
        <v>43</v>
      </c>
      <c r="C18" s="18" t="s">
        <v>48</v>
      </c>
      <c r="D18" s="18" t="s">
        <v>38</v>
      </c>
      <c r="E18" s="19"/>
      <c r="F18" s="20"/>
      <c r="G18" s="20"/>
      <c r="H18" s="21"/>
      <c r="I18" s="22" t="str">
        <f aca="false">IF(F18="","",IF($D$4="Con IVA",ROUND(F18/(1+$D$6),0),F18))</f>
        <v/>
      </c>
      <c r="J18" s="22" t="str">
        <f aca="false">IF(G18="","",IF($D$4="Con IVA",ROUND(G18/(1+$D$6),0),G18))</f>
        <v/>
      </c>
      <c r="K18" s="22" t="str">
        <f aca="false">IF(J18="","",ROUND(J18*(1+$D$6),0))</f>
        <v/>
      </c>
      <c r="L18" s="23" t="str">
        <f aca="false">IF(G18="","",IF(H18&lt;&gt;"",H18,IF($D$5="","",$D$5)))</f>
        <v/>
      </c>
      <c r="M18" s="22" t="str">
        <f aca="false">IF(OR(J18="",L18=""),"",ROUND(J18*L18,0))</f>
        <v/>
      </c>
      <c r="N18" s="24"/>
      <c r="O18" s="25" t="str">
        <f aca="false">IF(OR(I18="",J18=""),"",IF(J18*(1-IF(H18&lt;&gt;"",MAX(H18,$D$7),$D$7))&gt;=I18,"Sí","No: subir precio de venta"))</f>
        <v/>
      </c>
    </row>
    <row r="19" customFormat="false" ht="18" hidden="false" customHeight="true" outlineLevel="0" collapsed="false">
      <c r="A19" s="18" t="s">
        <v>49</v>
      </c>
      <c r="B19" s="18" t="s">
        <v>43</v>
      </c>
      <c r="C19" s="18" t="s">
        <v>50</v>
      </c>
      <c r="D19" s="18" t="s">
        <v>38</v>
      </c>
      <c r="E19" s="19"/>
      <c r="F19" s="20"/>
      <c r="G19" s="20"/>
      <c r="H19" s="21"/>
      <c r="I19" s="22" t="str">
        <f aca="false">IF(F19="","",IF($D$4="Con IVA",ROUND(F19/(1+$D$6),0),F19))</f>
        <v/>
      </c>
      <c r="J19" s="22" t="str">
        <f aca="false">IF(G19="","",IF($D$4="Con IVA",ROUND(G19/(1+$D$6),0),G19))</f>
        <v/>
      </c>
      <c r="K19" s="22" t="str">
        <f aca="false">IF(J19="","",ROUND(J19*(1+$D$6),0))</f>
        <v/>
      </c>
      <c r="L19" s="23" t="str">
        <f aca="false">IF(G19="","",IF(H19&lt;&gt;"",H19,IF($D$5="","",$D$5)))</f>
        <v/>
      </c>
      <c r="M19" s="22" t="str">
        <f aca="false">IF(OR(J19="",L19=""),"",ROUND(J19*L19,0))</f>
        <v/>
      </c>
      <c r="N19" s="24"/>
      <c r="O19" s="25" t="str">
        <f aca="false">IF(OR(I19="",J19=""),"",IF(J19*(1-IF(H19&lt;&gt;"",MAX(H19,$D$7),$D$7))&gt;=I19,"Sí","No: subir precio de venta"))</f>
        <v/>
      </c>
    </row>
    <row r="20" customFormat="false" ht="18" hidden="false" customHeight="true" outlineLevel="0" collapsed="false">
      <c r="A20" s="18" t="s">
        <v>51</v>
      </c>
      <c r="B20" s="18" t="s">
        <v>43</v>
      </c>
      <c r="C20" s="18" t="s">
        <v>52</v>
      </c>
      <c r="D20" s="18" t="s">
        <v>38</v>
      </c>
      <c r="E20" s="19"/>
      <c r="F20" s="20"/>
      <c r="G20" s="20"/>
      <c r="H20" s="21"/>
      <c r="I20" s="22" t="str">
        <f aca="false">IF(F20="","",IF($D$4="Con IVA",ROUND(F20/(1+$D$6),0),F20))</f>
        <v/>
      </c>
      <c r="J20" s="22" t="str">
        <f aca="false">IF(G20="","",IF($D$4="Con IVA",ROUND(G20/(1+$D$6),0),G20))</f>
        <v/>
      </c>
      <c r="K20" s="22" t="str">
        <f aca="false">IF(J20="","",ROUND(J20*(1+$D$6),0))</f>
        <v/>
      </c>
      <c r="L20" s="23" t="str">
        <f aca="false">IF(G20="","",IF(H20&lt;&gt;"",H20,IF($D$5="","",$D$5)))</f>
        <v/>
      </c>
      <c r="M20" s="22" t="str">
        <f aca="false">IF(OR(J20="",L20=""),"",ROUND(J20*L20,0))</f>
        <v/>
      </c>
      <c r="N20" s="24"/>
      <c r="O20" s="25" t="str">
        <f aca="false">IF(OR(I20="",J20=""),"",IF(J20*(1-IF(H20&lt;&gt;"",MAX(H20,$D$7),$D$7))&gt;=I20,"Sí","No: subir precio de venta"))</f>
        <v/>
      </c>
    </row>
    <row r="21" customFormat="false" ht="18" hidden="false" customHeight="true" outlineLevel="0" collapsed="false">
      <c r="A21" s="18" t="s">
        <v>53</v>
      </c>
      <c r="B21" s="18" t="s">
        <v>43</v>
      </c>
      <c r="C21" s="18" t="s">
        <v>54</v>
      </c>
      <c r="D21" s="18" t="s">
        <v>38</v>
      </c>
      <c r="E21" s="19"/>
      <c r="F21" s="20"/>
      <c r="G21" s="20"/>
      <c r="H21" s="21"/>
      <c r="I21" s="22" t="str">
        <f aca="false">IF(F21="","",IF($D$4="Con IVA",ROUND(F21/(1+$D$6),0),F21))</f>
        <v/>
      </c>
      <c r="J21" s="22" t="str">
        <f aca="false">IF(G21="","",IF($D$4="Con IVA",ROUND(G21/(1+$D$6),0),G21))</f>
        <v/>
      </c>
      <c r="K21" s="22" t="str">
        <f aca="false">IF(J21="","",ROUND(J21*(1+$D$6),0))</f>
        <v/>
      </c>
      <c r="L21" s="23" t="str">
        <f aca="false">IF(G21="","",IF(H21&lt;&gt;"",H21,IF($D$5="","",$D$5)))</f>
        <v/>
      </c>
      <c r="M21" s="22" t="str">
        <f aca="false">IF(OR(J21="",L21=""),"",ROUND(J21*L21,0))</f>
        <v/>
      </c>
      <c r="N21" s="24"/>
      <c r="O21" s="25" t="str">
        <f aca="false">IF(OR(I21="",J21=""),"",IF(J21*(1-IF(H21&lt;&gt;"",MAX(H21,$D$7),$D$7))&gt;=I21,"Sí","No: subir precio de venta"))</f>
        <v/>
      </c>
    </row>
    <row r="22" customFormat="false" ht="18" hidden="false" customHeight="true" outlineLevel="0" collapsed="false">
      <c r="A22" s="18" t="s">
        <v>55</v>
      </c>
      <c r="B22" s="18" t="s">
        <v>56</v>
      </c>
      <c r="C22" s="18" t="s">
        <v>57</v>
      </c>
      <c r="D22" s="18" t="s">
        <v>38</v>
      </c>
      <c r="E22" s="19"/>
      <c r="F22" s="20"/>
      <c r="G22" s="20"/>
      <c r="H22" s="21"/>
      <c r="I22" s="22" t="str">
        <f aca="false">IF(F22="","",IF($D$4="Con IVA",ROUND(F22/(1+$D$6),0),F22))</f>
        <v/>
      </c>
      <c r="J22" s="22" t="str">
        <f aca="false">IF(G22="","",IF($D$4="Con IVA",ROUND(G22/(1+$D$6),0),G22))</f>
        <v/>
      </c>
      <c r="K22" s="22" t="str">
        <f aca="false">IF(J22="","",ROUND(J22*(1+$D$6),0))</f>
        <v/>
      </c>
      <c r="L22" s="23" t="str">
        <f aca="false">IF(G22="","",IF(H22&lt;&gt;"",H22,IF($D$5="","",$D$5)))</f>
        <v/>
      </c>
      <c r="M22" s="22" t="str">
        <f aca="false">IF(OR(J22="",L22=""),"",ROUND(J22*L22,0))</f>
        <v/>
      </c>
      <c r="N22" s="24"/>
      <c r="O22" s="25" t="str">
        <f aca="false">IF(OR(I22="",J22=""),"",IF(J22*(1-IF(H22&lt;&gt;"",MAX(H22,$D$7),$D$7))&gt;=I22,"Sí","No: subir precio de venta"))</f>
        <v/>
      </c>
    </row>
    <row r="23" customFormat="false" ht="18" hidden="false" customHeight="true" outlineLevel="0" collapsed="false">
      <c r="A23" s="18" t="s">
        <v>58</v>
      </c>
      <c r="B23" s="18" t="s">
        <v>56</v>
      </c>
      <c r="C23" s="18" t="s">
        <v>59</v>
      </c>
      <c r="D23" s="18" t="s">
        <v>38</v>
      </c>
      <c r="E23" s="19"/>
      <c r="F23" s="20"/>
      <c r="G23" s="20"/>
      <c r="H23" s="21"/>
      <c r="I23" s="22" t="str">
        <f aca="false">IF(F23="","",IF($D$4="Con IVA",ROUND(F23/(1+$D$6),0),F23))</f>
        <v/>
      </c>
      <c r="J23" s="22" t="str">
        <f aca="false">IF(G23="","",IF($D$4="Con IVA",ROUND(G23/(1+$D$6),0),G23))</f>
        <v/>
      </c>
      <c r="K23" s="22" t="str">
        <f aca="false">IF(J23="","",ROUND(J23*(1+$D$6),0))</f>
        <v/>
      </c>
      <c r="L23" s="23" t="str">
        <f aca="false">IF(G23="","",IF(H23&lt;&gt;"",H23,IF($D$5="","",$D$5)))</f>
        <v/>
      </c>
      <c r="M23" s="22" t="str">
        <f aca="false">IF(OR(J23="",L23=""),"",ROUND(J23*L23,0))</f>
        <v/>
      </c>
      <c r="N23" s="24"/>
      <c r="O23" s="25" t="str">
        <f aca="false">IF(OR(I23="",J23=""),"",IF(J23*(1-IF(H23&lt;&gt;"",MAX(H23,$D$7),$D$7))&gt;=I23,"Sí","No: subir precio de venta"))</f>
        <v/>
      </c>
    </row>
    <row r="24" customFormat="false" ht="18" hidden="false" customHeight="true" outlineLevel="0" collapsed="false">
      <c r="A24" s="18" t="s">
        <v>60</v>
      </c>
      <c r="B24" s="18" t="s">
        <v>56</v>
      </c>
      <c r="C24" s="18" t="s">
        <v>61</v>
      </c>
      <c r="D24" s="18" t="s">
        <v>38</v>
      </c>
      <c r="E24" s="19"/>
      <c r="F24" s="20"/>
      <c r="G24" s="20"/>
      <c r="H24" s="21"/>
      <c r="I24" s="22" t="str">
        <f aca="false">IF(F24="","",IF($D$4="Con IVA",ROUND(F24/(1+$D$6),0),F24))</f>
        <v/>
      </c>
      <c r="J24" s="22" t="str">
        <f aca="false">IF(G24="","",IF($D$4="Con IVA",ROUND(G24/(1+$D$6),0),G24))</f>
        <v/>
      </c>
      <c r="K24" s="22" t="str">
        <f aca="false">IF(J24="","",ROUND(J24*(1+$D$6),0))</f>
        <v/>
      </c>
      <c r="L24" s="23" t="str">
        <f aca="false">IF(G24="","",IF(H24&lt;&gt;"",H24,IF($D$5="","",$D$5)))</f>
        <v/>
      </c>
      <c r="M24" s="22" t="str">
        <f aca="false">IF(OR(J24="",L24=""),"",ROUND(J24*L24,0))</f>
        <v/>
      </c>
      <c r="N24" s="24"/>
      <c r="O24" s="25" t="str">
        <f aca="false">IF(OR(I24="",J24=""),"",IF(J24*(1-IF(H24&lt;&gt;"",MAX(H24,$D$7),$D$7))&gt;=I24,"Sí","No: subir precio de venta"))</f>
        <v/>
      </c>
    </row>
    <row r="25" customFormat="false" ht="18" hidden="false" customHeight="true" outlineLevel="0" collapsed="false">
      <c r="A25" s="18" t="s">
        <v>62</v>
      </c>
      <c r="B25" s="18" t="s">
        <v>56</v>
      </c>
      <c r="C25" s="18" t="s">
        <v>63</v>
      </c>
      <c r="D25" s="18" t="s">
        <v>38</v>
      </c>
      <c r="E25" s="19"/>
      <c r="F25" s="20"/>
      <c r="G25" s="20"/>
      <c r="H25" s="21"/>
      <c r="I25" s="22" t="str">
        <f aca="false">IF(F25="","",IF($D$4="Con IVA",ROUND(F25/(1+$D$6),0),F25))</f>
        <v/>
      </c>
      <c r="J25" s="22" t="str">
        <f aca="false">IF(G25="","",IF($D$4="Con IVA",ROUND(G25/(1+$D$6),0),G25))</f>
        <v/>
      </c>
      <c r="K25" s="22" t="str">
        <f aca="false">IF(J25="","",ROUND(J25*(1+$D$6),0))</f>
        <v/>
      </c>
      <c r="L25" s="23" t="str">
        <f aca="false">IF(G25="","",IF(H25&lt;&gt;"",H25,IF($D$5="","",$D$5)))</f>
        <v/>
      </c>
      <c r="M25" s="22" t="str">
        <f aca="false">IF(OR(J25="",L25=""),"",ROUND(J25*L25,0))</f>
        <v/>
      </c>
      <c r="N25" s="24"/>
      <c r="O25" s="25" t="str">
        <f aca="false">IF(OR(I25="",J25=""),"",IF(J25*(1-IF(H25&lt;&gt;"",MAX(H25,$D$7),$D$7))&gt;=I25,"Sí","No: subir precio de venta"))</f>
        <v/>
      </c>
    </row>
    <row r="26" customFormat="false" ht="18" hidden="false" customHeight="true" outlineLevel="0" collapsed="false">
      <c r="A26" s="18" t="s">
        <v>64</v>
      </c>
      <c r="B26" s="18" t="s">
        <v>56</v>
      </c>
      <c r="C26" s="18" t="s">
        <v>65</v>
      </c>
      <c r="D26" s="18" t="s">
        <v>38</v>
      </c>
      <c r="E26" s="19"/>
      <c r="F26" s="20"/>
      <c r="G26" s="20"/>
      <c r="H26" s="21"/>
      <c r="I26" s="22" t="str">
        <f aca="false">IF(F26="","",IF($D$4="Con IVA",ROUND(F26/(1+$D$6),0),F26))</f>
        <v/>
      </c>
      <c r="J26" s="22" t="str">
        <f aca="false">IF(G26="","",IF($D$4="Con IVA",ROUND(G26/(1+$D$6),0),G26))</f>
        <v/>
      </c>
      <c r="K26" s="22" t="str">
        <f aca="false">IF(J26="","",ROUND(J26*(1+$D$6),0))</f>
        <v/>
      </c>
      <c r="L26" s="23" t="str">
        <f aca="false">IF(G26="","",IF(H26&lt;&gt;"",H26,IF($D$5="","",$D$5)))</f>
        <v/>
      </c>
      <c r="M26" s="22" t="str">
        <f aca="false">IF(OR(J26="",L26=""),"",ROUND(J26*L26,0))</f>
        <v/>
      </c>
      <c r="N26" s="24"/>
      <c r="O26" s="25" t="str">
        <f aca="false">IF(OR(I26="",J26=""),"",IF(J26*(1-IF(H26&lt;&gt;"",MAX(H26,$D$7),$D$7))&gt;=I26,"Sí","No: subir precio de venta"))</f>
        <v/>
      </c>
    </row>
    <row r="27" customFormat="false" ht="18" hidden="false" customHeight="true" outlineLevel="0" collapsed="false">
      <c r="A27" s="18" t="s">
        <v>66</v>
      </c>
      <c r="B27" s="18" t="s">
        <v>56</v>
      </c>
      <c r="C27" s="18" t="s">
        <v>67</v>
      </c>
      <c r="D27" s="18" t="s">
        <v>38</v>
      </c>
      <c r="E27" s="19"/>
      <c r="F27" s="20"/>
      <c r="G27" s="20"/>
      <c r="H27" s="21"/>
      <c r="I27" s="22" t="str">
        <f aca="false">IF(F27="","",IF($D$4="Con IVA",ROUND(F27/(1+$D$6),0),F27))</f>
        <v/>
      </c>
      <c r="J27" s="22" t="str">
        <f aca="false">IF(G27="","",IF($D$4="Con IVA",ROUND(G27/(1+$D$6),0),G27))</f>
        <v/>
      </c>
      <c r="K27" s="22" t="str">
        <f aca="false">IF(J27="","",ROUND(J27*(1+$D$6),0))</f>
        <v/>
      </c>
      <c r="L27" s="23" t="str">
        <f aca="false">IF(G27="","",IF(H27&lt;&gt;"",H27,IF($D$5="","",$D$5)))</f>
        <v/>
      </c>
      <c r="M27" s="22" t="str">
        <f aca="false">IF(OR(J27="",L27=""),"",ROUND(J27*L27,0))</f>
        <v/>
      </c>
      <c r="N27" s="24"/>
      <c r="O27" s="25" t="str">
        <f aca="false">IF(OR(I27="",J27=""),"",IF(J27*(1-IF(H27&lt;&gt;"",MAX(H27,$D$7),$D$7))&gt;=I27,"Sí","No: subir precio de venta"))</f>
        <v/>
      </c>
    </row>
    <row r="28" customFormat="false" ht="18" hidden="false" customHeight="true" outlineLevel="0" collapsed="false">
      <c r="A28" s="18" t="s">
        <v>68</v>
      </c>
      <c r="B28" s="18" t="s">
        <v>56</v>
      </c>
      <c r="C28" s="18" t="s">
        <v>69</v>
      </c>
      <c r="D28" s="18" t="s">
        <v>38</v>
      </c>
      <c r="E28" s="19"/>
      <c r="F28" s="20"/>
      <c r="G28" s="20"/>
      <c r="H28" s="21"/>
      <c r="I28" s="22" t="str">
        <f aca="false">IF(F28="","",IF($D$4="Con IVA",ROUND(F28/(1+$D$6),0),F28))</f>
        <v/>
      </c>
      <c r="J28" s="22" t="str">
        <f aca="false">IF(G28="","",IF($D$4="Con IVA",ROUND(G28/(1+$D$6),0),G28))</f>
        <v/>
      </c>
      <c r="K28" s="22" t="str">
        <f aca="false">IF(J28="","",ROUND(J28*(1+$D$6),0))</f>
        <v/>
      </c>
      <c r="L28" s="23" t="str">
        <f aca="false">IF(G28="","",IF(H28&lt;&gt;"",H28,IF($D$5="","",$D$5)))</f>
        <v/>
      </c>
      <c r="M28" s="22" t="str">
        <f aca="false">IF(OR(J28="",L28=""),"",ROUND(J28*L28,0))</f>
        <v/>
      </c>
      <c r="N28" s="24"/>
      <c r="O28" s="25" t="str">
        <f aca="false">IF(OR(I28="",J28=""),"",IF(J28*(1-IF(H28&lt;&gt;"",MAX(H28,$D$7),$D$7))&gt;=I28,"Sí","No: subir precio de venta"))</f>
        <v/>
      </c>
    </row>
    <row r="29" customFormat="false" ht="18" hidden="false" customHeight="true" outlineLevel="0" collapsed="false">
      <c r="A29" s="18" t="s">
        <v>70</v>
      </c>
      <c r="B29" s="18" t="s">
        <v>56</v>
      </c>
      <c r="C29" s="18" t="s">
        <v>71</v>
      </c>
      <c r="D29" s="18" t="s">
        <v>38</v>
      </c>
      <c r="E29" s="19"/>
      <c r="F29" s="20"/>
      <c r="G29" s="20"/>
      <c r="H29" s="21"/>
      <c r="I29" s="22" t="str">
        <f aca="false">IF(F29="","",IF($D$4="Con IVA",ROUND(F29/(1+$D$6),0),F29))</f>
        <v/>
      </c>
      <c r="J29" s="22" t="str">
        <f aca="false">IF(G29="","",IF($D$4="Con IVA",ROUND(G29/(1+$D$6),0),G29))</f>
        <v/>
      </c>
      <c r="K29" s="22" t="str">
        <f aca="false">IF(J29="","",ROUND(J29*(1+$D$6),0))</f>
        <v/>
      </c>
      <c r="L29" s="23" t="str">
        <f aca="false">IF(G29="","",IF(H29&lt;&gt;"",H29,IF($D$5="","",$D$5)))</f>
        <v/>
      </c>
      <c r="M29" s="22" t="str">
        <f aca="false">IF(OR(J29="",L29=""),"",ROUND(J29*L29,0))</f>
        <v/>
      </c>
      <c r="N29" s="24"/>
      <c r="O29" s="25" t="str">
        <f aca="false">IF(OR(I29="",J29=""),"",IF(J29*(1-IF(H29&lt;&gt;"",MAX(H29,$D$7),$D$7))&gt;=I29,"Sí","No: subir precio de venta"))</f>
        <v/>
      </c>
    </row>
    <row r="30" customFormat="false" ht="18" hidden="false" customHeight="true" outlineLevel="0" collapsed="false">
      <c r="A30" s="18" t="s">
        <v>72</v>
      </c>
      <c r="B30" s="18" t="s">
        <v>56</v>
      </c>
      <c r="C30" s="18" t="s">
        <v>73</v>
      </c>
      <c r="D30" s="18" t="s">
        <v>38</v>
      </c>
      <c r="E30" s="19"/>
      <c r="F30" s="20"/>
      <c r="G30" s="20"/>
      <c r="H30" s="21"/>
      <c r="I30" s="22" t="str">
        <f aca="false">IF(F30="","",IF($D$4="Con IVA",ROUND(F30/(1+$D$6),0),F30))</f>
        <v/>
      </c>
      <c r="J30" s="22" t="str">
        <f aca="false">IF(G30="","",IF($D$4="Con IVA",ROUND(G30/(1+$D$6),0),G30))</f>
        <v/>
      </c>
      <c r="K30" s="22" t="str">
        <f aca="false">IF(J30="","",ROUND(J30*(1+$D$6),0))</f>
        <v/>
      </c>
      <c r="L30" s="23" t="str">
        <f aca="false">IF(G30="","",IF(H30&lt;&gt;"",H30,IF($D$5="","",$D$5)))</f>
        <v/>
      </c>
      <c r="M30" s="22" t="str">
        <f aca="false">IF(OR(J30="",L30=""),"",ROUND(J30*L30,0))</f>
        <v/>
      </c>
      <c r="N30" s="24"/>
      <c r="O30" s="25" t="str">
        <f aca="false">IF(OR(I30="",J30=""),"",IF(J30*(1-IF(H30&lt;&gt;"",MAX(H30,$D$7),$D$7))&gt;=I30,"Sí","No: subir precio de venta"))</f>
        <v/>
      </c>
    </row>
    <row r="31" customFormat="false" ht="18" hidden="false" customHeight="true" outlineLevel="0" collapsed="false">
      <c r="A31" s="18" t="s">
        <v>74</v>
      </c>
      <c r="B31" s="18" t="s">
        <v>56</v>
      </c>
      <c r="C31" s="18" t="s">
        <v>75</v>
      </c>
      <c r="D31" s="18" t="s">
        <v>38</v>
      </c>
      <c r="E31" s="19"/>
      <c r="F31" s="20"/>
      <c r="G31" s="20"/>
      <c r="H31" s="21"/>
      <c r="I31" s="22" t="str">
        <f aca="false">IF(F31="","",IF($D$4="Con IVA",ROUND(F31/(1+$D$6),0),F31))</f>
        <v/>
      </c>
      <c r="J31" s="22" t="str">
        <f aca="false">IF(G31="","",IF($D$4="Con IVA",ROUND(G31/(1+$D$6),0),G31))</f>
        <v/>
      </c>
      <c r="K31" s="22" t="str">
        <f aca="false">IF(J31="","",ROUND(J31*(1+$D$6),0))</f>
        <v/>
      </c>
      <c r="L31" s="23" t="str">
        <f aca="false">IF(G31="","",IF(H31&lt;&gt;"",H31,IF($D$5="","",$D$5)))</f>
        <v/>
      </c>
      <c r="M31" s="22" t="str">
        <f aca="false">IF(OR(J31="",L31=""),"",ROUND(J31*L31,0))</f>
        <v/>
      </c>
      <c r="N31" s="24"/>
      <c r="O31" s="25" t="str">
        <f aca="false">IF(OR(I31="",J31=""),"",IF(J31*(1-IF(H31&lt;&gt;"",MAX(H31,$D$7),$D$7))&gt;=I31,"Sí","No: subir precio de venta"))</f>
        <v/>
      </c>
    </row>
    <row r="33" customFormat="false" ht="15" hidden="false" customHeight="true" outlineLevel="0" collapsed="false">
      <c r="A33" s="26" t="s">
        <v>76</v>
      </c>
    </row>
    <row r="34" customFormat="false" ht="15" hidden="false" customHeight="true" outlineLevel="0" collapsed="false">
      <c r="A34" s="27" t="s">
        <v>77</v>
      </c>
    </row>
    <row r="35" customFormat="false" ht="15" hidden="false" customHeight="true" outlineLevel="0" collapsed="false">
      <c r="A35" s="27" t="s">
        <v>78</v>
      </c>
    </row>
    <row r="36" customFormat="false" ht="15" hidden="false" customHeight="true" outlineLevel="0" collapsed="false">
      <c r="A36" s="27" t="s">
        <v>79</v>
      </c>
    </row>
    <row r="37" customFormat="false" ht="15" hidden="false" customHeight="true" outlineLevel="0" collapsed="false">
      <c r="A37" s="27" t="s">
        <v>80</v>
      </c>
    </row>
    <row r="38" customFormat="false" ht="15" hidden="false" customHeight="true" outlineLevel="0" collapsed="false">
      <c r="A38" s="27" t="s">
        <v>81</v>
      </c>
    </row>
  </sheetData>
  <mergeCells count="4">
    <mergeCell ref="A4:C4"/>
    <mergeCell ref="A5:C5"/>
    <mergeCell ref="A6:C6"/>
    <mergeCell ref="A7:C7"/>
  </mergeCells>
  <dataValidations count="2">
    <dataValidation allowBlank="false" errorStyle="stop" operator="between" showDropDown="false" showErrorMessage="false" showInputMessage="false" sqref="D4" type="list">
      <formula1>"Neto (sin IVA),Con IVA"</formula1>
      <formula2>0</formula2>
    </dataValidation>
    <dataValidation allowBlank="true" error="Ingresa un porcentaje entre 0% y 100% (por ejemplo 10%)." errorStyle="stop" operator="between" showDropDown="false" showErrorMessage="true" showInputMessage="false" sqref="D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2026-10-09T16:01:56Z</dcterms:created>
  <dc:creator>openpyxl</dc:creator>
  <dc:description/>
  <dc:language>en-US</dc:language>
  <cp:lastModifiedBy/>
  <dcterms:modified xsi:type="dcterms:W3CDTF">2026-10-09T20:14:15Z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