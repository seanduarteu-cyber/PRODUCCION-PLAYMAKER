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Ventas" sheetId="2" state="visible" r:id="rId4"/>
    <sheet name="Product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Ej.: Preventa 1 · Inicio de temporada 2027</t>
        </r>
      </text>
    </comment>
    <comment ref="B8" authorId="0">
      <text>
        <r>
          <rPr>
            <sz val="10"/>
            <rFont val="Arial"/>
            <family val="2"/>
          </rPr>
          <t xml:space="preserve">Transferencia o Crédito en productos (con bono).</t>
        </r>
      </text>
    </comment>
    <comment ref="B11" authorId="0">
      <text>
        <r>
          <rPr>
            <sz val="10"/>
            <rFont val="Arial"/>
            <family val="2"/>
          </rPr>
          <t xml:space="preserve">Unidades válidas ya liquidadas en esta temporada. En la primera preventa: 0.</t>
        </r>
      </text>
    </comment>
    <comment ref="B21" authorId="0">
      <text>
        <r>
          <rPr>
            <sz val="10"/>
            <rFont val="Arial"/>
            <family val="2"/>
          </rPr>
          <t xml:space="preserve">Si en esta preventa la temporada sube de tramo, el nuevo porcentaje se aplica también a lo vendido antes: se paga la diferencia.</t>
        </r>
      </text>
    </comment>
    <comment ref="B27" authorId="0">
      <text>
        <r>
          <rPr>
            <sz val="10"/>
            <rFont val="Arial"/>
            <family val="2"/>
          </rPr>
          <t xml:space="preserve">La completa el club al recibir los pedidos consolidados.</t>
        </r>
      </text>
    </comment>
  </commentList>
</comments>
</file>

<file path=xl/sharedStrings.xml><?xml version="1.0" encoding="utf-8"?>
<sst xmlns="http://schemas.openxmlformats.org/spreadsheetml/2006/main" count="96" uniqueCount="92">
  <si>
    <t xml:space="preserve">PREVENTA OFICIAL GAUCHOS — LIQUIDACIÓN DE ROYALTY</t>
  </si>
  <si>
    <t xml:space="preserve">Playmaker completa las celdas amarillas al cierre de cada preventa (las ventas, en la hoja Ventas) y envía este archivo al club con la exportación de la plataforma de pago. Las celdas grises se calculan solas.</t>
  </si>
  <si>
    <t xml:space="preserve">DATOS DE LA PREVENTA</t>
  </si>
  <si>
    <t xml:space="preserve">TRAMOS DE ROYALTY</t>
  </si>
  <si>
    <t xml:space="preserve">Preventa</t>
  </si>
  <si>
    <t xml:space="preserve">Desde (unidades)</t>
  </si>
  <si>
    <t xml:space="preserve">Royalty</t>
  </si>
  <si>
    <t xml:space="preserve">Fecha de cierre</t>
  </si>
  <si>
    <t xml:space="preserve">Fecha de pago (15 días desde el cierre)</t>
  </si>
  <si>
    <t xml:space="preserve">Forma de pago</t>
  </si>
  <si>
    <t xml:space="preserve">Transferencia</t>
  </si>
  <si>
    <t xml:space="preserve">IVA</t>
  </si>
  <si>
    <t xml:space="preserve">Bono si el pago es en crédito en productos</t>
  </si>
  <si>
    <t xml:space="preserve">Unidades vendidas en preventas anteriores de la temporada</t>
  </si>
  <si>
    <t xml:space="preserve">El tramo alcanzado se aplica a todas las unidades de la temporada.</t>
  </si>
  <si>
    <t xml:space="preserve">Venta neta de preventas anteriores de la temporada</t>
  </si>
  <si>
    <t xml:space="preserve">Royalty ya liquidado en la temporada (sin bono)</t>
  </si>
  <si>
    <t xml:space="preserve">LIQUIDACIÓN</t>
  </si>
  <si>
    <t xml:space="preserve">Unidades válidas de esta preventa</t>
  </si>
  <si>
    <t xml:space="preserve">Venta neta de esta preventa</t>
  </si>
  <si>
    <t xml:space="preserve">Unidades acumuladas en la temporada</t>
  </si>
  <si>
    <t xml:space="preserve">Royalty del tramo alcanzado</t>
  </si>
  <si>
    <t xml:space="preserve">Royalty de esta preventa</t>
  </si>
  <si>
    <t xml:space="preserve">Ajuste por cambio de tramo (preventas anteriores)</t>
  </si>
  <si>
    <t xml:space="preserve">Royalty total a liquidar</t>
  </si>
  <si>
    <t xml:space="preserve">Bono por crédito en productos</t>
  </si>
  <si>
    <t xml:space="preserve">TOTAL A RECIBIR POR EL CLUB</t>
  </si>
  <si>
    <t xml:space="preserve">CONTROL EN LA ENTREGA</t>
  </si>
  <si>
    <t xml:space="preserve">Unidades recibidas y contadas por el club (guía de entrega)</t>
  </si>
  <si>
    <t xml:space="preserve">¿Coincide con la liquidación?</t>
  </si>
  <si>
    <t xml:space="preserve">Recibido conforme por el club (nombre, cargo y firma): ______________________________</t>
  </si>
  <si>
    <t xml:space="preserve">DETALLE DE VENTAS DE LA PREVENTA  ·  una fila por venta, tal como figura en la boleta y en la plataforma de pago</t>
  </si>
  <si>
    <t xml:space="preserve">EJEMPLO</t>
  </si>
  <si>
    <t xml:space="preserve">15-03-2027</t>
  </si>
  <si>
    <t xml:space="preserve">Juan Pérez (no se suma)</t>
  </si>
  <si>
    <t xml:space="preserve">GAU-09</t>
  </si>
  <si>
    <t xml:space="preserve">Polerón medio cierre</t>
  </si>
  <si>
    <t xml:space="preserve">M</t>
  </si>
  <si>
    <t xml:space="preserve">No</t>
  </si>
  <si>
    <t xml:space="preserve">N° boleta</t>
  </si>
  <si>
    <t xml:space="preserve">Fecha</t>
  </si>
  <si>
    <t xml:space="preserve">Comprador</t>
  </si>
  <si>
    <t xml:space="preserve">Código</t>
  </si>
  <si>
    <t xml:space="preserve">Producto</t>
  </si>
  <si>
    <t xml:space="preserve">Talla</t>
  </si>
  <si>
    <t xml:space="preserve">Cantidad</t>
  </si>
  <si>
    <t xml:space="preserve">Total pagado
(con IVA)</t>
  </si>
  <si>
    <t xml:space="preserve">Devuelto
(Sí/No)</t>
  </si>
  <si>
    <t xml:space="preserve">Unidades
válidas</t>
  </si>
  <si>
    <t xml:space="preserve">Venta neta
válida</t>
  </si>
  <si>
    <t xml:space="preserve">GAU-01</t>
  </si>
  <si>
    <t xml:space="preserve">Camiseta de juego — Local OP1</t>
  </si>
  <si>
    <t xml:space="preserve">GAU-02</t>
  </si>
  <si>
    <t xml:space="preserve">Camiseta de juego — Local 02</t>
  </si>
  <si>
    <t xml:space="preserve">GAU-03</t>
  </si>
  <si>
    <t xml:space="preserve">Camiseta de juego — Visita 01</t>
  </si>
  <si>
    <t xml:space="preserve">GAU-04</t>
  </si>
  <si>
    <t xml:space="preserve">Camiseta de juego — Visita 02</t>
  </si>
  <si>
    <t xml:space="preserve">GAU-05</t>
  </si>
  <si>
    <t xml:space="preserve">Short de juego</t>
  </si>
  <si>
    <t xml:space="preserve">GAU-06</t>
  </si>
  <si>
    <t xml:space="preserve">Medias de juego</t>
  </si>
  <si>
    <t xml:space="preserve">GAU-07</t>
  </si>
  <si>
    <t xml:space="preserve">Match Day Shirt</t>
  </si>
  <si>
    <t xml:space="preserve">GAU-08</t>
  </si>
  <si>
    <t xml:space="preserve">Camiseta de entrenamiento</t>
  </si>
  <si>
    <t xml:space="preserve">GAU-10</t>
  </si>
  <si>
    <t xml:space="preserve">Buzo de contacto manga larga</t>
  </si>
  <si>
    <t xml:space="preserve">GAU-11</t>
  </si>
  <si>
    <t xml:space="preserve">Camiseta sin mangas</t>
  </si>
  <si>
    <t xml:space="preserve">GAU-12</t>
  </si>
  <si>
    <t xml:space="preserve">Short tipo básquet</t>
  </si>
  <si>
    <t xml:space="preserve">GAU-13</t>
  </si>
  <si>
    <t xml:space="preserve">Polo piqué</t>
  </si>
  <si>
    <t xml:space="preserve">GAU-14</t>
  </si>
  <si>
    <t xml:space="preserve">Polerón cierre completo</t>
  </si>
  <si>
    <t xml:space="preserve">GAU-15</t>
  </si>
  <si>
    <t xml:space="preserve">Cortaviento con capucha</t>
  </si>
  <si>
    <t xml:space="preserve">GAU-16</t>
  </si>
  <si>
    <t xml:space="preserve">Polerón cuello redondo</t>
  </si>
  <si>
    <t xml:space="preserve">GAU-17</t>
  </si>
  <si>
    <t xml:space="preserve">Hoodie</t>
  </si>
  <si>
    <t xml:space="preserve">GAU-18</t>
  </si>
  <si>
    <t xml:space="preserve">Chaqueta varsity</t>
  </si>
  <si>
    <t xml:space="preserve">GAU-19</t>
  </si>
  <si>
    <t xml:space="preserve">Polera de algodón</t>
  </si>
  <si>
    <t xml:space="preserve">GAU-20</t>
  </si>
  <si>
    <t xml:space="preserve">Bermuda deportiva</t>
  </si>
  <si>
    <t xml:space="preserve">GAU-21</t>
  </si>
  <si>
    <t xml:space="preserve">Pantalón pitillo</t>
  </si>
  <si>
    <t xml:space="preserve">GAU-22</t>
  </si>
  <si>
    <t xml:space="preserve">Parka larga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</si>
</sst>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-mm\-yyyy"/>
    <numFmt numFmtId="166" formatCode="#,##0;\-#,##0;\-"/>
    <numFmt numFmtId="167" formatCode="0.0%;\-0.0%;\-"/>
    <numFmt numFmtId="168" formatCode="\$#,##0;&quot;($&quot;#,##0\);\-"/>
    <numFmt numFmtId="169" formatCode="#,##0"/>
    <numFmt numFmtId="170" formatCode="\$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41E3C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8C7F1E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11"/>
      <color rgb="FF141E3C"/>
      <name val="Arial"/>
      <family val="0"/>
      <charset val="1"/>
    </font>
    <font>
      <sz val="9"/>
      <color rgb="FF333333"/>
      <name val="Arial"/>
      <family val="0"/>
      <charset val="1"/>
    </font>
    <font>
      <sz val="10"/>
      <name val="Arial"/>
      <family val="2"/>
    </font>
    <font>
      <b val="true"/>
      <sz val="12"/>
      <color rgb="FF141E3C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A8"/>
        <bgColor rgb="FFFAFAF0"/>
      </patternFill>
    </fill>
    <fill>
      <patternFill patternType="solid">
        <fgColor rgb="FF141E3C"/>
        <bgColor rgb="FF333333"/>
      </patternFill>
    </fill>
    <fill>
      <patternFill patternType="solid">
        <fgColor rgb="FFF2F2F2"/>
        <bgColor rgb="FFFAFAF0"/>
      </patternFill>
    </fill>
    <fill>
      <patternFill patternType="solid">
        <fgColor rgb="FFFAFAF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C7F1E"/>
      <rgbColor rgb="FF800080"/>
      <rgbColor rgb="FF008080"/>
      <rgbColor rgb="FFC0C0C0"/>
      <rgbColor rgb="FF808080"/>
      <rgbColor rgb="FF9999FF"/>
      <rgbColor rgb="FF993366"/>
      <rgbColor rgb="FFFAFAF0"/>
      <rgbColor rgb="FFF2F2F2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41E3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8"/>
    <col collapsed="false" customWidth="true" hidden="false" outlineLevel="0" max="3" min="3" style="1" width="4"/>
    <col collapsed="false" customWidth="true" hidden="false" outlineLevel="0" max="4" min="4" style="1" width="18"/>
    <col collapsed="false" customWidth="true" hidden="false" outlineLevel="0" max="5" min="5" style="1" width="12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D4" s="4" t="s">
        <v>3</v>
      </c>
    </row>
    <row r="5" customFormat="false" ht="15" hidden="false" customHeight="true" outlineLevel="0" collapsed="false">
      <c r="A5" s="5" t="s">
        <v>4</v>
      </c>
      <c r="B5" s="6"/>
      <c r="D5" s="7" t="s">
        <v>5</v>
      </c>
      <c r="E5" s="7" t="s">
        <v>6</v>
      </c>
    </row>
    <row r="6" customFormat="false" ht="15" hidden="false" customHeight="true" outlineLevel="0" collapsed="false">
      <c r="A6" s="5" t="s">
        <v>7</v>
      </c>
      <c r="B6" s="8"/>
      <c r="D6" s="9" t="n">
        <v>0</v>
      </c>
      <c r="E6" s="10" t="n">
        <v>0.11</v>
      </c>
    </row>
    <row r="7" customFormat="false" ht="15" hidden="false" customHeight="true" outlineLevel="0" collapsed="false">
      <c r="A7" s="5" t="s">
        <v>8</v>
      </c>
      <c r="B7" s="11" t="str">
        <f aca="false">IF(B6="","",B6+15)</f>
        <v/>
      </c>
      <c r="D7" s="9" t="n">
        <v>101</v>
      </c>
      <c r="E7" s="10" t="n">
        <v>0.12</v>
      </c>
    </row>
    <row r="8" customFormat="false" ht="15" hidden="false" customHeight="true" outlineLevel="0" collapsed="false">
      <c r="A8" s="5" t="s">
        <v>9</v>
      </c>
      <c r="B8" s="12" t="s">
        <v>10</v>
      </c>
      <c r="D8" s="9" t="n">
        <v>201</v>
      </c>
      <c r="E8" s="10" t="n">
        <v>0.13</v>
      </c>
    </row>
    <row r="9" customFormat="false" ht="15" hidden="false" customHeight="true" outlineLevel="0" collapsed="false">
      <c r="A9" s="5" t="s">
        <v>11</v>
      </c>
      <c r="B9" s="13" t="n">
        <v>0.19</v>
      </c>
      <c r="D9" s="9" t="n">
        <v>351</v>
      </c>
      <c r="E9" s="10" t="n">
        <v>0.14</v>
      </c>
    </row>
    <row r="10" customFormat="false" ht="15" hidden="false" customHeight="true" outlineLevel="0" collapsed="false">
      <c r="A10" s="5" t="s">
        <v>12</v>
      </c>
      <c r="B10" s="13" t="n">
        <v>0.3</v>
      </c>
      <c r="D10" s="9" t="n">
        <v>501</v>
      </c>
      <c r="E10" s="10" t="n">
        <v>0.15</v>
      </c>
    </row>
    <row r="11" customFormat="false" ht="15" hidden="false" customHeight="true" outlineLevel="0" collapsed="false">
      <c r="A11" s="5" t="s">
        <v>13</v>
      </c>
      <c r="B11" s="14" t="n">
        <v>0</v>
      </c>
      <c r="D11" s="15" t="s">
        <v>14</v>
      </c>
    </row>
    <row r="12" customFormat="false" ht="15" hidden="false" customHeight="true" outlineLevel="0" collapsed="false">
      <c r="A12" s="5" t="s">
        <v>15</v>
      </c>
      <c r="B12" s="16" t="n">
        <v>0</v>
      </c>
    </row>
    <row r="13" customFormat="false" ht="15" hidden="false" customHeight="true" outlineLevel="0" collapsed="false">
      <c r="A13" s="5" t="s">
        <v>16</v>
      </c>
      <c r="B13" s="16" t="n">
        <v>0</v>
      </c>
    </row>
    <row r="15" customFormat="false" ht="15" hidden="false" customHeight="true" outlineLevel="0" collapsed="false">
      <c r="A15" s="4" t="s">
        <v>17</v>
      </c>
    </row>
    <row r="16" customFormat="false" ht="15" hidden="false" customHeight="true" outlineLevel="0" collapsed="false">
      <c r="A16" s="5" t="s">
        <v>18</v>
      </c>
      <c r="B16" s="17" t="n">
        <f aca="false">SUM(Ventas!J4:J303)</f>
        <v>0</v>
      </c>
    </row>
    <row r="17" customFormat="false" ht="15" hidden="false" customHeight="true" outlineLevel="0" collapsed="false">
      <c r="A17" s="5" t="s">
        <v>19</v>
      </c>
      <c r="B17" s="18" t="n">
        <f aca="false">SUM(Ventas!K4:K303)</f>
        <v>0</v>
      </c>
    </row>
    <row r="18" customFormat="false" ht="15" hidden="false" customHeight="true" outlineLevel="0" collapsed="false">
      <c r="A18" s="5" t="s">
        <v>20</v>
      </c>
      <c r="B18" s="17" t="n">
        <f aca="false">B11+B16</f>
        <v>0</v>
      </c>
    </row>
    <row r="19" customFormat="false" ht="15" hidden="false" customHeight="true" outlineLevel="0" collapsed="false">
      <c r="A19" s="5" t="s">
        <v>21</v>
      </c>
      <c r="B19" s="19" t="n">
        <f aca="false">INDEX($E$6:$E$10,MATCH(B18,$D$6:$D$10,1))</f>
        <v>0.11</v>
      </c>
    </row>
    <row r="20" customFormat="false" ht="15" hidden="false" customHeight="true" outlineLevel="0" collapsed="false">
      <c r="A20" s="5" t="s">
        <v>22</v>
      </c>
      <c r="B20" s="18" t="n">
        <f aca="false">ROUND(B17*B19,0)</f>
        <v>0</v>
      </c>
    </row>
    <row r="21" customFormat="false" ht="15" hidden="false" customHeight="true" outlineLevel="0" collapsed="false">
      <c r="A21" s="5" t="s">
        <v>23</v>
      </c>
      <c r="B21" s="18" t="n">
        <f aca="false">MAX(0,ROUND(B12*B19-B13,0))</f>
        <v>0</v>
      </c>
    </row>
    <row r="22" customFormat="false" ht="15" hidden="false" customHeight="true" outlineLevel="0" collapsed="false">
      <c r="A22" s="5" t="s">
        <v>24</v>
      </c>
      <c r="B22" s="18" t="n">
        <f aca="false">B20+B21</f>
        <v>0</v>
      </c>
    </row>
    <row r="23" customFormat="false" ht="15" hidden="false" customHeight="true" outlineLevel="0" collapsed="false">
      <c r="A23" s="5" t="s">
        <v>25</v>
      </c>
      <c r="B23" s="18" t="n">
        <f aca="false">IF(B8="Crédito en productos",ROUND(B22*B10,0),0)</f>
        <v>0</v>
      </c>
    </row>
    <row r="24" customFormat="false" ht="15" hidden="false" customHeight="true" outlineLevel="0" collapsed="false">
      <c r="A24" s="20" t="s">
        <v>26</v>
      </c>
      <c r="B24" s="21" t="n">
        <f aca="false">B22+B23</f>
        <v>0</v>
      </c>
    </row>
    <row r="26" customFormat="false" ht="15" hidden="false" customHeight="true" outlineLevel="0" collapsed="false">
      <c r="A26" s="4" t="s">
        <v>27</v>
      </c>
    </row>
    <row r="27" customFormat="false" ht="15" hidden="false" customHeight="true" outlineLevel="0" collapsed="false">
      <c r="A27" s="5" t="s">
        <v>28</v>
      </c>
      <c r="B27" s="14"/>
    </row>
    <row r="28" customFormat="false" ht="15" hidden="false" customHeight="true" outlineLevel="0" collapsed="false">
      <c r="A28" s="5" t="s">
        <v>29</v>
      </c>
      <c r="B28" s="22" t="str">
        <f aca="false">IF(B27="","Pendiente",IF(B27=B16,"Sí","No: revisar"))</f>
        <v>Pendiente</v>
      </c>
    </row>
    <row r="30" customFormat="false" ht="15" hidden="false" customHeight="true" outlineLevel="0" collapsed="false">
      <c r="A30" s="23" t="s">
        <v>30</v>
      </c>
    </row>
  </sheetData>
  <dataValidations count="1">
    <dataValidation allowBlank="false" errorStyle="stop" operator="between" showDropDown="false" showErrorMessage="false" showInputMessage="false" sqref="B8" type="list">
      <formula1>"Transferencia,Crédito en productos"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26"/>
    <col collapsed="false" customWidth="true" hidden="false" outlineLevel="0" max="4" min="4" style="1" width="10"/>
    <col collapsed="false" customWidth="true" hidden="false" outlineLevel="0" max="5" min="5" style="1" width="30"/>
    <col collapsed="false" customWidth="true" hidden="false" outlineLevel="0" max="6" min="6" style="1" width="8"/>
    <col collapsed="false" customWidth="true" hidden="false" outlineLevel="0" max="7" min="7" style="1" width="10"/>
    <col collapsed="false" customWidth="true" hidden="false" outlineLevel="0" max="8" min="8" style="1" width="15"/>
    <col collapsed="false" customWidth="true" hidden="false" outlineLevel="0" max="10" min="9" style="1" width="11"/>
    <col collapsed="false" customWidth="true" hidden="false" outlineLevel="0" max="11" min="11" style="1" width="15"/>
  </cols>
  <sheetData>
    <row r="1" customFormat="false" ht="15" hidden="false" customHeight="true" outlineLevel="0" collapsed="false">
      <c r="A1" s="24" t="s">
        <v>31</v>
      </c>
    </row>
    <row r="2" customFormat="false" ht="15" hidden="false" customHeight="true" outlineLevel="0" collapsed="false">
      <c r="A2" s="25" t="s">
        <v>32</v>
      </c>
      <c r="B2" s="25" t="s">
        <v>33</v>
      </c>
      <c r="C2" s="25" t="s">
        <v>34</v>
      </c>
      <c r="D2" s="25" t="s">
        <v>35</v>
      </c>
      <c r="E2" s="25" t="s">
        <v>36</v>
      </c>
      <c r="F2" s="25" t="s">
        <v>37</v>
      </c>
      <c r="G2" s="26" t="n">
        <v>1</v>
      </c>
      <c r="H2" s="27" t="n">
        <v>39258</v>
      </c>
      <c r="I2" s="25" t="s">
        <v>38</v>
      </c>
      <c r="J2" s="26" t="n">
        <v>1</v>
      </c>
      <c r="K2" s="27" t="n">
        <v>32990</v>
      </c>
    </row>
    <row r="3" customFormat="false" ht="30" hidden="false" customHeight="true" outlineLevel="0" collapsed="false">
      <c r="A3" s="28" t="s">
        <v>39</v>
      </c>
      <c r="B3" s="28" t="s">
        <v>40</v>
      </c>
      <c r="C3" s="28" t="s">
        <v>41</v>
      </c>
      <c r="D3" s="28" t="s">
        <v>42</v>
      </c>
      <c r="E3" s="28" t="s">
        <v>43</v>
      </c>
      <c r="F3" s="28" t="s">
        <v>44</v>
      </c>
      <c r="G3" s="28" t="s">
        <v>45</v>
      </c>
      <c r="H3" s="28" t="s">
        <v>46</v>
      </c>
      <c r="I3" s="28" t="s">
        <v>47</v>
      </c>
      <c r="J3" s="28" t="s">
        <v>48</v>
      </c>
      <c r="K3" s="28" t="s">
        <v>49</v>
      </c>
    </row>
    <row r="4" customFormat="false" ht="15" hidden="false" customHeight="true" outlineLevel="0" collapsed="false">
      <c r="A4" s="29"/>
      <c r="B4" s="30"/>
      <c r="C4" s="29"/>
      <c r="D4" s="29"/>
      <c r="E4" s="31" t="str">
        <f aca="false">IF(D4="","",IFERROR(INDEX(Productos!$B$2:$B$23,MATCH(D4,Productos!$A$2:$A$23,0)),"Código no existe"))</f>
        <v/>
      </c>
      <c r="F4" s="29"/>
      <c r="G4" s="9"/>
      <c r="H4" s="32"/>
      <c r="I4" s="29"/>
      <c r="J4" s="33" t="n">
        <f aca="false">IF(OR(G4="",I4="Sí"),0,G4)</f>
        <v>0</v>
      </c>
      <c r="K4" s="34" t="n">
        <f aca="false">IF(OR(H4="",I4="Sí"),0,ROUND(H4/(1+Resumen!$B$9),0))</f>
        <v>0</v>
      </c>
    </row>
    <row r="5" customFormat="false" ht="15" hidden="false" customHeight="true" outlineLevel="0" collapsed="false">
      <c r="A5" s="29"/>
      <c r="B5" s="30"/>
      <c r="C5" s="29"/>
      <c r="D5" s="29"/>
      <c r="E5" s="31" t="str">
        <f aca="false">IF(D5="","",IFERROR(INDEX(Productos!$B$2:$B$23,MATCH(D5,Productos!$A$2:$A$23,0)),"Código no existe"))</f>
        <v/>
      </c>
      <c r="F5" s="29"/>
      <c r="G5" s="9"/>
      <c r="H5" s="32"/>
      <c r="I5" s="29"/>
      <c r="J5" s="33" t="n">
        <f aca="false">IF(OR(G5="",I5="Sí"),0,G5)</f>
        <v>0</v>
      </c>
      <c r="K5" s="34" t="n">
        <f aca="false">IF(OR(H5="",I5="Sí"),0,ROUND(H5/(1+Resumen!$B$9),0))</f>
        <v>0</v>
      </c>
    </row>
    <row r="6" customFormat="false" ht="15" hidden="false" customHeight="true" outlineLevel="0" collapsed="false">
      <c r="A6" s="29"/>
      <c r="B6" s="30"/>
      <c r="C6" s="29"/>
      <c r="D6" s="29"/>
      <c r="E6" s="31" t="str">
        <f aca="false">IF(D6="","",IFERROR(INDEX(Productos!$B$2:$B$23,MATCH(D6,Productos!$A$2:$A$23,0)),"Código no existe"))</f>
        <v/>
      </c>
      <c r="F6" s="29"/>
      <c r="G6" s="9"/>
      <c r="H6" s="32"/>
      <c r="I6" s="29"/>
      <c r="J6" s="33" t="n">
        <f aca="false">IF(OR(G6="",I6="Sí"),0,G6)</f>
        <v>0</v>
      </c>
      <c r="K6" s="34" t="n">
        <f aca="false">IF(OR(H6="",I6="Sí"),0,ROUND(H6/(1+Resumen!$B$9),0))</f>
        <v>0</v>
      </c>
    </row>
    <row r="7" customFormat="false" ht="15" hidden="false" customHeight="true" outlineLevel="0" collapsed="false">
      <c r="A7" s="29"/>
      <c r="B7" s="30"/>
      <c r="C7" s="29"/>
      <c r="D7" s="29"/>
      <c r="E7" s="31" t="str">
        <f aca="false">IF(D7="","",IFERROR(INDEX(Productos!$B$2:$B$23,MATCH(D7,Productos!$A$2:$A$23,0)),"Código no existe"))</f>
        <v/>
      </c>
      <c r="F7" s="29"/>
      <c r="G7" s="9"/>
      <c r="H7" s="32"/>
      <c r="I7" s="29"/>
      <c r="J7" s="33" t="n">
        <f aca="false">IF(OR(G7="",I7="Sí"),0,G7)</f>
        <v>0</v>
      </c>
      <c r="K7" s="34" t="n">
        <f aca="false">IF(OR(H7="",I7="Sí"),0,ROUND(H7/(1+Resumen!$B$9),0))</f>
        <v>0</v>
      </c>
    </row>
    <row r="8" customFormat="false" ht="15" hidden="false" customHeight="true" outlineLevel="0" collapsed="false">
      <c r="A8" s="29"/>
      <c r="B8" s="30"/>
      <c r="C8" s="29"/>
      <c r="D8" s="29"/>
      <c r="E8" s="31" t="str">
        <f aca="false">IF(D8="","",IFERROR(INDEX(Productos!$B$2:$B$23,MATCH(D8,Productos!$A$2:$A$23,0)),"Código no existe"))</f>
        <v/>
      </c>
      <c r="F8" s="29"/>
      <c r="G8" s="9"/>
      <c r="H8" s="32"/>
      <c r="I8" s="29"/>
      <c r="J8" s="33" t="n">
        <f aca="false">IF(OR(G8="",I8="Sí"),0,G8)</f>
        <v>0</v>
      </c>
      <c r="K8" s="34" t="n">
        <f aca="false">IF(OR(H8="",I8="Sí"),0,ROUND(H8/(1+Resumen!$B$9),0))</f>
        <v>0</v>
      </c>
    </row>
    <row r="9" customFormat="false" ht="15" hidden="false" customHeight="true" outlineLevel="0" collapsed="false">
      <c r="A9" s="29"/>
      <c r="B9" s="30"/>
      <c r="C9" s="29"/>
      <c r="D9" s="29"/>
      <c r="E9" s="31" t="str">
        <f aca="false">IF(D9="","",IFERROR(INDEX(Productos!$B$2:$B$23,MATCH(D9,Productos!$A$2:$A$23,0)),"Código no existe"))</f>
        <v/>
      </c>
      <c r="F9" s="29"/>
      <c r="G9" s="9"/>
      <c r="H9" s="32"/>
      <c r="I9" s="29"/>
      <c r="J9" s="33" t="n">
        <f aca="false">IF(OR(G9="",I9="Sí"),0,G9)</f>
        <v>0</v>
      </c>
      <c r="K9" s="34" t="n">
        <f aca="false">IF(OR(H9="",I9="Sí"),0,ROUND(H9/(1+Resumen!$B$9),0))</f>
        <v>0</v>
      </c>
    </row>
    <row r="10" customFormat="false" ht="15" hidden="false" customHeight="true" outlineLevel="0" collapsed="false">
      <c r="A10" s="29"/>
      <c r="B10" s="30"/>
      <c r="C10" s="29"/>
      <c r="D10" s="29"/>
      <c r="E10" s="31" t="str">
        <f aca="false">IF(D10="","",IFERROR(INDEX(Productos!$B$2:$B$23,MATCH(D10,Productos!$A$2:$A$23,0)),"Código no existe"))</f>
        <v/>
      </c>
      <c r="F10" s="29"/>
      <c r="G10" s="9"/>
      <c r="H10" s="32"/>
      <c r="I10" s="29"/>
      <c r="J10" s="33" t="n">
        <f aca="false">IF(OR(G10="",I10="Sí"),0,G10)</f>
        <v>0</v>
      </c>
      <c r="K10" s="34" t="n">
        <f aca="false">IF(OR(H10="",I10="Sí"),0,ROUND(H10/(1+Resumen!$B$9),0))</f>
        <v>0</v>
      </c>
    </row>
    <row r="11" customFormat="false" ht="15" hidden="false" customHeight="true" outlineLevel="0" collapsed="false">
      <c r="A11" s="29"/>
      <c r="B11" s="30"/>
      <c r="C11" s="29"/>
      <c r="D11" s="29"/>
      <c r="E11" s="31" t="str">
        <f aca="false">IF(D11="","",IFERROR(INDEX(Productos!$B$2:$B$23,MATCH(D11,Productos!$A$2:$A$23,0)),"Código no existe"))</f>
        <v/>
      </c>
      <c r="F11" s="29"/>
      <c r="G11" s="9"/>
      <c r="H11" s="32"/>
      <c r="I11" s="29"/>
      <c r="J11" s="33" t="n">
        <f aca="false">IF(OR(G11="",I11="Sí"),0,G11)</f>
        <v>0</v>
      </c>
      <c r="K11" s="34" t="n">
        <f aca="false">IF(OR(H11="",I11="Sí"),0,ROUND(H11/(1+Resumen!$B$9),0))</f>
        <v>0</v>
      </c>
    </row>
    <row r="12" customFormat="false" ht="15" hidden="false" customHeight="true" outlineLevel="0" collapsed="false">
      <c r="A12" s="29"/>
      <c r="B12" s="30"/>
      <c r="C12" s="29"/>
      <c r="D12" s="29"/>
      <c r="E12" s="31" t="str">
        <f aca="false">IF(D12="","",IFERROR(INDEX(Productos!$B$2:$B$23,MATCH(D12,Productos!$A$2:$A$23,0)),"Código no existe"))</f>
        <v/>
      </c>
      <c r="F12" s="29"/>
      <c r="G12" s="9"/>
      <c r="H12" s="32"/>
      <c r="I12" s="29"/>
      <c r="J12" s="33" t="n">
        <f aca="false">IF(OR(G12="",I12="Sí"),0,G12)</f>
        <v>0</v>
      </c>
      <c r="K12" s="34" t="n">
        <f aca="false">IF(OR(H12="",I12="Sí"),0,ROUND(H12/(1+Resumen!$B$9),0))</f>
        <v>0</v>
      </c>
    </row>
    <row r="13" customFormat="false" ht="15" hidden="false" customHeight="true" outlineLevel="0" collapsed="false">
      <c r="A13" s="29"/>
      <c r="B13" s="30"/>
      <c r="C13" s="29"/>
      <c r="D13" s="29"/>
      <c r="E13" s="31" t="str">
        <f aca="false">IF(D13="","",IFERROR(INDEX(Productos!$B$2:$B$23,MATCH(D13,Productos!$A$2:$A$23,0)),"Código no existe"))</f>
        <v/>
      </c>
      <c r="F13" s="29"/>
      <c r="G13" s="9"/>
      <c r="H13" s="32"/>
      <c r="I13" s="29"/>
      <c r="J13" s="33" t="n">
        <f aca="false">IF(OR(G13="",I13="Sí"),0,G13)</f>
        <v>0</v>
      </c>
      <c r="K13" s="34" t="n">
        <f aca="false">IF(OR(H13="",I13="Sí"),0,ROUND(H13/(1+Resumen!$B$9),0))</f>
        <v>0</v>
      </c>
    </row>
    <row r="14" customFormat="false" ht="15" hidden="false" customHeight="true" outlineLevel="0" collapsed="false">
      <c r="A14" s="29"/>
      <c r="B14" s="30"/>
      <c r="C14" s="29"/>
      <c r="D14" s="29"/>
      <c r="E14" s="31" t="str">
        <f aca="false">IF(D14="","",IFERROR(INDEX(Productos!$B$2:$B$23,MATCH(D14,Productos!$A$2:$A$23,0)),"Código no existe"))</f>
        <v/>
      </c>
      <c r="F14" s="29"/>
      <c r="G14" s="9"/>
      <c r="H14" s="32"/>
      <c r="I14" s="29"/>
      <c r="J14" s="33" t="n">
        <f aca="false">IF(OR(G14="",I14="Sí"),0,G14)</f>
        <v>0</v>
      </c>
      <c r="K14" s="34" t="n">
        <f aca="false">IF(OR(H14="",I14="Sí"),0,ROUND(H14/(1+Resumen!$B$9),0))</f>
        <v>0</v>
      </c>
    </row>
    <row r="15" customFormat="false" ht="15" hidden="false" customHeight="true" outlineLevel="0" collapsed="false">
      <c r="A15" s="29"/>
      <c r="B15" s="30"/>
      <c r="C15" s="29"/>
      <c r="D15" s="29"/>
      <c r="E15" s="31" t="str">
        <f aca="false">IF(D15="","",IFERROR(INDEX(Productos!$B$2:$B$23,MATCH(D15,Productos!$A$2:$A$23,0)),"Código no existe"))</f>
        <v/>
      </c>
      <c r="F15" s="29"/>
      <c r="G15" s="9"/>
      <c r="H15" s="32"/>
      <c r="I15" s="29"/>
      <c r="J15" s="33" t="n">
        <f aca="false">IF(OR(G15="",I15="Sí"),0,G15)</f>
        <v>0</v>
      </c>
      <c r="K15" s="34" t="n">
        <f aca="false">IF(OR(H15="",I15="Sí"),0,ROUND(H15/(1+Resumen!$B$9),0))</f>
        <v>0</v>
      </c>
    </row>
    <row r="16" customFormat="false" ht="15" hidden="false" customHeight="true" outlineLevel="0" collapsed="false">
      <c r="A16" s="29"/>
      <c r="B16" s="30"/>
      <c r="C16" s="29"/>
      <c r="D16" s="29"/>
      <c r="E16" s="31" t="str">
        <f aca="false">IF(D16="","",IFERROR(INDEX(Productos!$B$2:$B$23,MATCH(D16,Productos!$A$2:$A$23,0)),"Código no existe"))</f>
        <v/>
      </c>
      <c r="F16" s="29"/>
      <c r="G16" s="9"/>
      <c r="H16" s="32"/>
      <c r="I16" s="29"/>
      <c r="J16" s="33" t="n">
        <f aca="false">IF(OR(G16="",I16="Sí"),0,G16)</f>
        <v>0</v>
      </c>
      <c r="K16" s="34" t="n">
        <f aca="false">IF(OR(H16="",I16="Sí"),0,ROUND(H16/(1+Resumen!$B$9),0))</f>
        <v>0</v>
      </c>
    </row>
    <row r="17" customFormat="false" ht="15" hidden="false" customHeight="true" outlineLevel="0" collapsed="false">
      <c r="A17" s="29"/>
      <c r="B17" s="30"/>
      <c r="C17" s="29"/>
      <c r="D17" s="29"/>
      <c r="E17" s="31" t="str">
        <f aca="false">IF(D17="","",IFERROR(INDEX(Productos!$B$2:$B$23,MATCH(D17,Productos!$A$2:$A$23,0)),"Código no existe"))</f>
        <v/>
      </c>
      <c r="F17" s="29"/>
      <c r="G17" s="9"/>
      <c r="H17" s="32"/>
      <c r="I17" s="29"/>
      <c r="J17" s="33" t="n">
        <f aca="false">IF(OR(G17="",I17="Sí"),0,G17)</f>
        <v>0</v>
      </c>
      <c r="K17" s="34" t="n">
        <f aca="false">IF(OR(H17="",I17="Sí"),0,ROUND(H17/(1+Resumen!$B$9),0))</f>
        <v>0</v>
      </c>
    </row>
    <row r="18" customFormat="false" ht="15" hidden="false" customHeight="true" outlineLevel="0" collapsed="false">
      <c r="A18" s="29"/>
      <c r="B18" s="30"/>
      <c r="C18" s="29"/>
      <c r="D18" s="29"/>
      <c r="E18" s="31" t="str">
        <f aca="false">IF(D18="","",IFERROR(INDEX(Productos!$B$2:$B$23,MATCH(D18,Productos!$A$2:$A$23,0)),"Código no existe"))</f>
        <v/>
      </c>
      <c r="F18" s="29"/>
      <c r="G18" s="9"/>
      <c r="H18" s="32"/>
      <c r="I18" s="29"/>
      <c r="J18" s="33" t="n">
        <f aca="false">IF(OR(G18="",I18="Sí"),0,G18)</f>
        <v>0</v>
      </c>
      <c r="K18" s="34" t="n">
        <f aca="false">IF(OR(H18="",I18="Sí"),0,ROUND(H18/(1+Resumen!$B$9),0))</f>
        <v>0</v>
      </c>
    </row>
    <row r="19" customFormat="false" ht="15" hidden="false" customHeight="true" outlineLevel="0" collapsed="false">
      <c r="A19" s="29"/>
      <c r="B19" s="30"/>
      <c r="C19" s="29"/>
      <c r="D19" s="29"/>
      <c r="E19" s="31" t="str">
        <f aca="false">IF(D19="","",IFERROR(INDEX(Productos!$B$2:$B$23,MATCH(D19,Productos!$A$2:$A$23,0)),"Código no existe"))</f>
        <v/>
      </c>
      <c r="F19" s="29"/>
      <c r="G19" s="9"/>
      <c r="H19" s="32"/>
      <c r="I19" s="29"/>
      <c r="J19" s="33" t="n">
        <f aca="false">IF(OR(G19="",I19="Sí"),0,G19)</f>
        <v>0</v>
      </c>
      <c r="K19" s="34" t="n">
        <f aca="false">IF(OR(H19="",I19="Sí"),0,ROUND(H19/(1+Resumen!$B$9),0))</f>
        <v>0</v>
      </c>
    </row>
    <row r="20" customFormat="false" ht="15" hidden="false" customHeight="true" outlineLevel="0" collapsed="false">
      <c r="A20" s="29"/>
      <c r="B20" s="30"/>
      <c r="C20" s="29"/>
      <c r="D20" s="29"/>
      <c r="E20" s="31" t="str">
        <f aca="false">IF(D20="","",IFERROR(INDEX(Productos!$B$2:$B$23,MATCH(D20,Productos!$A$2:$A$23,0)),"Código no existe"))</f>
        <v/>
      </c>
      <c r="F20" s="29"/>
      <c r="G20" s="9"/>
      <c r="H20" s="32"/>
      <c r="I20" s="29"/>
      <c r="J20" s="33" t="n">
        <f aca="false">IF(OR(G20="",I20="Sí"),0,G20)</f>
        <v>0</v>
      </c>
      <c r="K20" s="34" t="n">
        <f aca="false">IF(OR(H20="",I20="Sí"),0,ROUND(H20/(1+Resumen!$B$9),0))</f>
        <v>0</v>
      </c>
    </row>
    <row r="21" customFormat="false" ht="15" hidden="false" customHeight="true" outlineLevel="0" collapsed="false">
      <c r="A21" s="29"/>
      <c r="B21" s="30"/>
      <c r="C21" s="29"/>
      <c r="D21" s="29"/>
      <c r="E21" s="31" t="str">
        <f aca="false">IF(D21="","",IFERROR(INDEX(Productos!$B$2:$B$23,MATCH(D21,Productos!$A$2:$A$23,0)),"Código no existe"))</f>
        <v/>
      </c>
      <c r="F21" s="29"/>
      <c r="G21" s="9"/>
      <c r="H21" s="32"/>
      <c r="I21" s="29"/>
      <c r="J21" s="33" t="n">
        <f aca="false">IF(OR(G21="",I21="Sí"),0,G21)</f>
        <v>0</v>
      </c>
      <c r="K21" s="34" t="n">
        <f aca="false">IF(OR(H21="",I21="Sí"),0,ROUND(H21/(1+Resumen!$B$9),0))</f>
        <v>0</v>
      </c>
    </row>
    <row r="22" customFormat="false" ht="15" hidden="false" customHeight="true" outlineLevel="0" collapsed="false">
      <c r="A22" s="29"/>
      <c r="B22" s="30"/>
      <c r="C22" s="29"/>
      <c r="D22" s="29"/>
      <c r="E22" s="31" t="str">
        <f aca="false">IF(D22="","",IFERROR(INDEX(Productos!$B$2:$B$23,MATCH(D22,Productos!$A$2:$A$23,0)),"Código no existe"))</f>
        <v/>
      </c>
      <c r="F22" s="29"/>
      <c r="G22" s="9"/>
      <c r="H22" s="32"/>
      <c r="I22" s="29"/>
      <c r="J22" s="33" t="n">
        <f aca="false">IF(OR(G22="",I22="Sí"),0,G22)</f>
        <v>0</v>
      </c>
      <c r="K22" s="34" t="n">
        <f aca="false">IF(OR(H22="",I22="Sí"),0,ROUND(H22/(1+Resumen!$B$9),0))</f>
        <v>0</v>
      </c>
    </row>
    <row r="23" customFormat="false" ht="15" hidden="false" customHeight="true" outlineLevel="0" collapsed="false">
      <c r="A23" s="29"/>
      <c r="B23" s="30"/>
      <c r="C23" s="29"/>
      <c r="D23" s="29"/>
      <c r="E23" s="31" t="str">
        <f aca="false">IF(D23="","",IFERROR(INDEX(Productos!$B$2:$B$23,MATCH(D23,Productos!$A$2:$A$23,0)),"Código no existe"))</f>
        <v/>
      </c>
      <c r="F23" s="29"/>
      <c r="G23" s="9"/>
      <c r="H23" s="32"/>
      <c r="I23" s="29"/>
      <c r="J23" s="33" t="n">
        <f aca="false">IF(OR(G23="",I23="Sí"),0,G23)</f>
        <v>0</v>
      </c>
      <c r="K23" s="34" t="n">
        <f aca="false">IF(OR(H23="",I23="Sí"),0,ROUND(H23/(1+Resumen!$B$9),0))</f>
        <v>0</v>
      </c>
    </row>
    <row r="24" customFormat="false" ht="15" hidden="false" customHeight="true" outlineLevel="0" collapsed="false">
      <c r="A24" s="29"/>
      <c r="B24" s="30"/>
      <c r="C24" s="29"/>
      <c r="D24" s="29"/>
      <c r="E24" s="31" t="str">
        <f aca="false">IF(D24="","",IFERROR(INDEX(Productos!$B$2:$B$23,MATCH(D24,Productos!$A$2:$A$23,0)),"Código no existe"))</f>
        <v/>
      </c>
      <c r="F24" s="29"/>
      <c r="G24" s="9"/>
      <c r="H24" s="32"/>
      <c r="I24" s="29"/>
      <c r="J24" s="33" t="n">
        <f aca="false">IF(OR(G24="",I24="Sí"),0,G24)</f>
        <v>0</v>
      </c>
      <c r="K24" s="34" t="n">
        <f aca="false">IF(OR(H24="",I24="Sí"),0,ROUND(H24/(1+Resumen!$B$9),0))</f>
        <v>0</v>
      </c>
    </row>
    <row r="25" customFormat="false" ht="15" hidden="false" customHeight="true" outlineLevel="0" collapsed="false">
      <c r="A25" s="29"/>
      <c r="B25" s="30"/>
      <c r="C25" s="29"/>
      <c r="D25" s="29"/>
      <c r="E25" s="31" t="str">
        <f aca="false">IF(D25="","",IFERROR(INDEX(Productos!$B$2:$B$23,MATCH(D25,Productos!$A$2:$A$23,0)),"Código no existe"))</f>
        <v/>
      </c>
      <c r="F25" s="29"/>
      <c r="G25" s="9"/>
      <c r="H25" s="32"/>
      <c r="I25" s="29"/>
      <c r="J25" s="33" t="n">
        <f aca="false">IF(OR(G25="",I25="Sí"),0,G25)</f>
        <v>0</v>
      </c>
      <c r="K25" s="34" t="n">
        <f aca="false">IF(OR(H25="",I25="Sí"),0,ROUND(H25/(1+Resumen!$B$9),0))</f>
        <v>0</v>
      </c>
    </row>
    <row r="26" customFormat="false" ht="15" hidden="false" customHeight="true" outlineLevel="0" collapsed="false">
      <c r="A26" s="29"/>
      <c r="B26" s="30"/>
      <c r="C26" s="29"/>
      <c r="D26" s="29"/>
      <c r="E26" s="31" t="str">
        <f aca="false">IF(D26="","",IFERROR(INDEX(Productos!$B$2:$B$23,MATCH(D26,Productos!$A$2:$A$23,0)),"Código no existe"))</f>
        <v/>
      </c>
      <c r="F26" s="29"/>
      <c r="G26" s="9"/>
      <c r="H26" s="32"/>
      <c r="I26" s="29"/>
      <c r="J26" s="33" t="n">
        <f aca="false">IF(OR(G26="",I26="Sí"),0,G26)</f>
        <v>0</v>
      </c>
      <c r="K26" s="34" t="n">
        <f aca="false">IF(OR(H26="",I26="Sí"),0,ROUND(H26/(1+Resumen!$B$9),0))</f>
        <v>0</v>
      </c>
    </row>
    <row r="27" customFormat="false" ht="15" hidden="false" customHeight="true" outlineLevel="0" collapsed="false">
      <c r="A27" s="29"/>
      <c r="B27" s="30"/>
      <c r="C27" s="29"/>
      <c r="D27" s="29"/>
      <c r="E27" s="31" t="str">
        <f aca="false">IF(D27="","",IFERROR(INDEX(Productos!$B$2:$B$23,MATCH(D27,Productos!$A$2:$A$23,0)),"Código no existe"))</f>
        <v/>
      </c>
      <c r="F27" s="29"/>
      <c r="G27" s="9"/>
      <c r="H27" s="32"/>
      <c r="I27" s="29"/>
      <c r="J27" s="33" t="n">
        <f aca="false">IF(OR(G27="",I27="Sí"),0,G27)</f>
        <v>0</v>
      </c>
      <c r="K27" s="34" t="n">
        <f aca="false">IF(OR(H27="",I27="Sí"),0,ROUND(H27/(1+Resumen!$B$9),0))</f>
        <v>0</v>
      </c>
    </row>
    <row r="28" customFormat="false" ht="15" hidden="false" customHeight="true" outlineLevel="0" collapsed="false">
      <c r="A28" s="29"/>
      <c r="B28" s="30"/>
      <c r="C28" s="29"/>
      <c r="D28" s="29"/>
      <c r="E28" s="31" t="str">
        <f aca="false">IF(D28="","",IFERROR(INDEX(Productos!$B$2:$B$23,MATCH(D28,Productos!$A$2:$A$23,0)),"Código no existe"))</f>
        <v/>
      </c>
      <c r="F28" s="29"/>
      <c r="G28" s="9"/>
      <c r="H28" s="32"/>
      <c r="I28" s="29"/>
      <c r="J28" s="33" t="n">
        <f aca="false">IF(OR(G28="",I28="Sí"),0,G28)</f>
        <v>0</v>
      </c>
      <c r="K28" s="34" t="n">
        <f aca="false">IF(OR(H28="",I28="Sí"),0,ROUND(H28/(1+Resumen!$B$9),0))</f>
        <v>0</v>
      </c>
    </row>
    <row r="29" customFormat="false" ht="15" hidden="false" customHeight="true" outlineLevel="0" collapsed="false">
      <c r="A29" s="29"/>
      <c r="B29" s="30"/>
      <c r="C29" s="29"/>
      <c r="D29" s="29"/>
      <c r="E29" s="31" t="str">
        <f aca="false">IF(D29="","",IFERROR(INDEX(Productos!$B$2:$B$23,MATCH(D29,Productos!$A$2:$A$23,0)),"Código no existe"))</f>
        <v/>
      </c>
      <c r="F29" s="29"/>
      <c r="G29" s="9"/>
      <c r="H29" s="32"/>
      <c r="I29" s="29"/>
      <c r="J29" s="33" t="n">
        <f aca="false">IF(OR(G29="",I29="Sí"),0,G29)</f>
        <v>0</v>
      </c>
      <c r="K29" s="34" t="n">
        <f aca="false">IF(OR(H29="",I29="Sí"),0,ROUND(H29/(1+Resumen!$B$9),0))</f>
        <v>0</v>
      </c>
    </row>
    <row r="30" customFormat="false" ht="15" hidden="false" customHeight="true" outlineLevel="0" collapsed="false">
      <c r="A30" s="29"/>
      <c r="B30" s="30"/>
      <c r="C30" s="29"/>
      <c r="D30" s="29"/>
      <c r="E30" s="31" t="str">
        <f aca="false">IF(D30="","",IFERROR(INDEX(Productos!$B$2:$B$23,MATCH(D30,Productos!$A$2:$A$23,0)),"Código no existe"))</f>
        <v/>
      </c>
      <c r="F30" s="29"/>
      <c r="G30" s="9"/>
      <c r="H30" s="32"/>
      <c r="I30" s="29"/>
      <c r="J30" s="33" t="n">
        <f aca="false">IF(OR(G30="",I30="Sí"),0,G30)</f>
        <v>0</v>
      </c>
      <c r="K30" s="34" t="n">
        <f aca="false">IF(OR(H30="",I30="Sí"),0,ROUND(H30/(1+Resumen!$B$9),0))</f>
        <v>0</v>
      </c>
    </row>
    <row r="31" customFormat="false" ht="15" hidden="false" customHeight="true" outlineLevel="0" collapsed="false">
      <c r="A31" s="29"/>
      <c r="B31" s="30"/>
      <c r="C31" s="29"/>
      <c r="D31" s="29"/>
      <c r="E31" s="31" t="str">
        <f aca="false">IF(D31="","",IFERROR(INDEX(Productos!$B$2:$B$23,MATCH(D31,Productos!$A$2:$A$23,0)),"Código no existe"))</f>
        <v/>
      </c>
      <c r="F31" s="29"/>
      <c r="G31" s="9"/>
      <c r="H31" s="32"/>
      <c r="I31" s="29"/>
      <c r="J31" s="33" t="n">
        <f aca="false">IF(OR(G31="",I31="Sí"),0,G31)</f>
        <v>0</v>
      </c>
      <c r="K31" s="34" t="n">
        <f aca="false">IF(OR(H31="",I31="Sí"),0,ROUND(H31/(1+Resumen!$B$9),0))</f>
        <v>0</v>
      </c>
    </row>
    <row r="32" customFormat="false" ht="15" hidden="false" customHeight="true" outlineLevel="0" collapsed="false">
      <c r="A32" s="29"/>
      <c r="B32" s="30"/>
      <c r="C32" s="29"/>
      <c r="D32" s="29"/>
      <c r="E32" s="31" t="str">
        <f aca="false">IF(D32="","",IFERROR(INDEX(Productos!$B$2:$B$23,MATCH(D32,Productos!$A$2:$A$23,0)),"Código no existe"))</f>
        <v/>
      </c>
      <c r="F32" s="29"/>
      <c r="G32" s="9"/>
      <c r="H32" s="32"/>
      <c r="I32" s="29"/>
      <c r="J32" s="33" t="n">
        <f aca="false">IF(OR(G32="",I32="Sí"),0,G32)</f>
        <v>0</v>
      </c>
      <c r="K32" s="34" t="n">
        <f aca="false">IF(OR(H32="",I32="Sí"),0,ROUND(H32/(1+Resumen!$B$9),0))</f>
        <v>0</v>
      </c>
    </row>
    <row r="33" customFormat="false" ht="15" hidden="false" customHeight="true" outlineLevel="0" collapsed="false">
      <c r="A33" s="29"/>
      <c r="B33" s="30"/>
      <c r="C33" s="29"/>
      <c r="D33" s="29"/>
      <c r="E33" s="31" t="str">
        <f aca="false">IF(D33="","",IFERROR(INDEX(Productos!$B$2:$B$23,MATCH(D33,Productos!$A$2:$A$23,0)),"Código no existe"))</f>
        <v/>
      </c>
      <c r="F33" s="29"/>
      <c r="G33" s="9"/>
      <c r="H33" s="32"/>
      <c r="I33" s="29"/>
      <c r="J33" s="33" t="n">
        <f aca="false">IF(OR(G33="",I33="Sí"),0,G33)</f>
        <v>0</v>
      </c>
      <c r="K33" s="34" t="n">
        <f aca="false">IF(OR(H33="",I33="Sí"),0,ROUND(H33/(1+Resumen!$B$9),0))</f>
        <v>0</v>
      </c>
    </row>
    <row r="34" customFormat="false" ht="15" hidden="false" customHeight="true" outlineLevel="0" collapsed="false">
      <c r="A34" s="29"/>
      <c r="B34" s="30"/>
      <c r="C34" s="29"/>
      <c r="D34" s="29"/>
      <c r="E34" s="31" t="str">
        <f aca="false">IF(D34="","",IFERROR(INDEX(Productos!$B$2:$B$23,MATCH(D34,Productos!$A$2:$A$23,0)),"Código no existe"))</f>
        <v/>
      </c>
      <c r="F34" s="29"/>
      <c r="G34" s="9"/>
      <c r="H34" s="32"/>
      <c r="I34" s="29"/>
      <c r="J34" s="33" t="n">
        <f aca="false">IF(OR(G34="",I34="Sí"),0,G34)</f>
        <v>0</v>
      </c>
      <c r="K34" s="34" t="n">
        <f aca="false">IF(OR(H34="",I34="Sí"),0,ROUND(H34/(1+Resumen!$B$9),0))</f>
        <v>0</v>
      </c>
    </row>
    <row r="35" customFormat="false" ht="15" hidden="false" customHeight="true" outlineLevel="0" collapsed="false">
      <c r="A35" s="29"/>
      <c r="B35" s="30"/>
      <c r="C35" s="29"/>
      <c r="D35" s="29"/>
      <c r="E35" s="31" t="str">
        <f aca="false">IF(D35="","",IFERROR(INDEX(Productos!$B$2:$B$23,MATCH(D35,Productos!$A$2:$A$23,0)),"Código no existe"))</f>
        <v/>
      </c>
      <c r="F35" s="29"/>
      <c r="G35" s="9"/>
      <c r="H35" s="32"/>
      <c r="I35" s="29"/>
      <c r="J35" s="33" t="n">
        <f aca="false">IF(OR(G35="",I35="Sí"),0,G35)</f>
        <v>0</v>
      </c>
      <c r="K35" s="34" t="n">
        <f aca="false">IF(OR(H35="",I35="Sí"),0,ROUND(H35/(1+Resumen!$B$9),0))</f>
        <v>0</v>
      </c>
    </row>
    <row r="36" customFormat="false" ht="15" hidden="false" customHeight="true" outlineLevel="0" collapsed="false">
      <c r="A36" s="29"/>
      <c r="B36" s="30"/>
      <c r="C36" s="29"/>
      <c r="D36" s="29"/>
      <c r="E36" s="31" t="str">
        <f aca="false">IF(D36="","",IFERROR(INDEX(Productos!$B$2:$B$23,MATCH(D36,Productos!$A$2:$A$23,0)),"Código no existe"))</f>
        <v/>
      </c>
      <c r="F36" s="29"/>
      <c r="G36" s="9"/>
      <c r="H36" s="32"/>
      <c r="I36" s="29"/>
      <c r="J36" s="33" t="n">
        <f aca="false">IF(OR(G36="",I36="Sí"),0,G36)</f>
        <v>0</v>
      </c>
      <c r="K36" s="34" t="n">
        <f aca="false">IF(OR(H36="",I36="Sí"),0,ROUND(H36/(1+Resumen!$B$9),0))</f>
        <v>0</v>
      </c>
    </row>
    <row r="37" customFormat="false" ht="15" hidden="false" customHeight="true" outlineLevel="0" collapsed="false">
      <c r="A37" s="29"/>
      <c r="B37" s="30"/>
      <c r="C37" s="29"/>
      <c r="D37" s="29"/>
      <c r="E37" s="31" t="str">
        <f aca="false">IF(D37="","",IFERROR(INDEX(Productos!$B$2:$B$23,MATCH(D37,Productos!$A$2:$A$23,0)),"Código no existe"))</f>
        <v/>
      </c>
      <c r="F37" s="29"/>
      <c r="G37" s="9"/>
      <c r="H37" s="32"/>
      <c r="I37" s="29"/>
      <c r="J37" s="33" t="n">
        <f aca="false">IF(OR(G37="",I37="Sí"),0,G37)</f>
        <v>0</v>
      </c>
      <c r="K37" s="34" t="n">
        <f aca="false">IF(OR(H37="",I37="Sí"),0,ROUND(H37/(1+Resumen!$B$9),0))</f>
        <v>0</v>
      </c>
    </row>
    <row r="38" customFormat="false" ht="15" hidden="false" customHeight="true" outlineLevel="0" collapsed="false">
      <c r="A38" s="29"/>
      <c r="B38" s="30"/>
      <c r="C38" s="29"/>
      <c r="D38" s="29"/>
      <c r="E38" s="31" t="str">
        <f aca="false">IF(D38="","",IFERROR(INDEX(Productos!$B$2:$B$23,MATCH(D38,Productos!$A$2:$A$23,0)),"Código no existe"))</f>
        <v/>
      </c>
      <c r="F38" s="29"/>
      <c r="G38" s="9"/>
      <c r="H38" s="32"/>
      <c r="I38" s="29"/>
      <c r="J38" s="33" t="n">
        <f aca="false">IF(OR(G38="",I38="Sí"),0,G38)</f>
        <v>0</v>
      </c>
      <c r="K38" s="34" t="n">
        <f aca="false">IF(OR(H38="",I38="Sí"),0,ROUND(H38/(1+Resumen!$B$9),0))</f>
        <v>0</v>
      </c>
    </row>
    <row r="39" customFormat="false" ht="15" hidden="false" customHeight="true" outlineLevel="0" collapsed="false">
      <c r="A39" s="29"/>
      <c r="B39" s="30"/>
      <c r="C39" s="29"/>
      <c r="D39" s="29"/>
      <c r="E39" s="31" t="str">
        <f aca="false">IF(D39="","",IFERROR(INDEX(Productos!$B$2:$B$23,MATCH(D39,Productos!$A$2:$A$23,0)),"Código no existe"))</f>
        <v/>
      </c>
      <c r="F39" s="29"/>
      <c r="G39" s="9"/>
      <c r="H39" s="32"/>
      <c r="I39" s="29"/>
      <c r="J39" s="33" t="n">
        <f aca="false">IF(OR(G39="",I39="Sí"),0,G39)</f>
        <v>0</v>
      </c>
      <c r="K39" s="34" t="n">
        <f aca="false">IF(OR(H39="",I39="Sí"),0,ROUND(H39/(1+Resumen!$B$9),0))</f>
        <v>0</v>
      </c>
    </row>
    <row r="40" customFormat="false" ht="15" hidden="false" customHeight="true" outlineLevel="0" collapsed="false">
      <c r="A40" s="29"/>
      <c r="B40" s="30"/>
      <c r="C40" s="29"/>
      <c r="D40" s="29"/>
      <c r="E40" s="31" t="str">
        <f aca="false">IF(D40="","",IFERROR(INDEX(Productos!$B$2:$B$23,MATCH(D40,Productos!$A$2:$A$23,0)),"Código no existe"))</f>
        <v/>
      </c>
      <c r="F40" s="29"/>
      <c r="G40" s="9"/>
      <c r="H40" s="32"/>
      <c r="I40" s="29"/>
      <c r="J40" s="33" t="n">
        <f aca="false">IF(OR(G40="",I40="Sí"),0,G40)</f>
        <v>0</v>
      </c>
      <c r="K40" s="34" t="n">
        <f aca="false">IF(OR(H40="",I40="Sí"),0,ROUND(H40/(1+Resumen!$B$9),0))</f>
        <v>0</v>
      </c>
    </row>
    <row r="41" customFormat="false" ht="15" hidden="false" customHeight="true" outlineLevel="0" collapsed="false">
      <c r="A41" s="29"/>
      <c r="B41" s="30"/>
      <c r="C41" s="29"/>
      <c r="D41" s="29"/>
      <c r="E41" s="31" t="str">
        <f aca="false">IF(D41="","",IFERROR(INDEX(Productos!$B$2:$B$23,MATCH(D41,Productos!$A$2:$A$23,0)),"Código no existe"))</f>
        <v/>
      </c>
      <c r="F41" s="29"/>
      <c r="G41" s="9"/>
      <c r="H41" s="32"/>
      <c r="I41" s="29"/>
      <c r="J41" s="33" t="n">
        <f aca="false">IF(OR(G41="",I41="Sí"),0,G41)</f>
        <v>0</v>
      </c>
      <c r="K41" s="34" t="n">
        <f aca="false">IF(OR(H41="",I41="Sí"),0,ROUND(H41/(1+Resumen!$B$9),0))</f>
        <v>0</v>
      </c>
    </row>
    <row r="42" customFormat="false" ht="15" hidden="false" customHeight="true" outlineLevel="0" collapsed="false">
      <c r="A42" s="29"/>
      <c r="B42" s="30"/>
      <c r="C42" s="29"/>
      <c r="D42" s="29"/>
      <c r="E42" s="31" t="str">
        <f aca="false">IF(D42="","",IFERROR(INDEX(Productos!$B$2:$B$23,MATCH(D42,Productos!$A$2:$A$23,0)),"Código no existe"))</f>
        <v/>
      </c>
      <c r="F42" s="29"/>
      <c r="G42" s="9"/>
      <c r="H42" s="32"/>
      <c r="I42" s="29"/>
      <c r="J42" s="33" t="n">
        <f aca="false">IF(OR(G42="",I42="Sí"),0,G42)</f>
        <v>0</v>
      </c>
      <c r="K42" s="34" t="n">
        <f aca="false">IF(OR(H42="",I42="Sí"),0,ROUND(H42/(1+Resumen!$B$9),0))</f>
        <v>0</v>
      </c>
    </row>
    <row r="43" customFormat="false" ht="15" hidden="false" customHeight="true" outlineLevel="0" collapsed="false">
      <c r="A43" s="29"/>
      <c r="B43" s="30"/>
      <c r="C43" s="29"/>
      <c r="D43" s="29"/>
      <c r="E43" s="31" t="str">
        <f aca="false">IF(D43="","",IFERROR(INDEX(Productos!$B$2:$B$23,MATCH(D43,Productos!$A$2:$A$23,0)),"Código no existe"))</f>
        <v/>
      </c>
      <c r="F43" s="29"/>
      <c r="G43" s="9"/>
      <c r="H43" s="32"/>
      <c r="I43" s="29"/>
      <c r="J43" s="33" t="n">
        <f aca="false">IF(OR(G43="",I43="Sí"),0,G43)</f>
        <v>0</v>
      </c>
      <c r="K43" s="34" t="n">
        <f aca="false">IF(OR(H43="",I43="Sí"),0,ROUND(H43/(1+Resumen!$B$9),0))</f>
        <v>0</v>
      </c>
    </row>
    <row r="44" customFormat="false" ht="15" hidden="false" customHeight="true" outlineLevel="0" collapsed="false">
      <c r="A44" s="29"/>
      <c r="B44" s="30"/>
      <c r="C44" s="29"/>
      <c r="D44" s="29"/>
      <c r="E44" s="31" t="str">
        <f aca="false">IF(D44="","",IFERROR(INDEX(Productos!$B$2:$B$23,MATCH(D44,Productos!$A$2:$A$23,0)),"Código no existe"))</f>
        <v/>
      </c>
      <c r="F44" s="29"/>
      <c r="G44" s="9"/>
      <c r="H44" s="32"/>
      <c r="I44" s="29"/>
      <c r="J44" s="33" t="n">
        <f aca="false">IF(OR(G44="",I44="Sí"),0,G44)</f>
        <v>0</v>
      </c>
      <c r="K44" s="34" t="n">
        <f aca="false">IF(OR(H44="",I44="Sí"),0,ROUND(H44/(1+Resumen!$B$9),0))</f>
        <v>0</v>
      </c>
    </row>
    <row r="45" customFormat="false" ht="15" hidden="false" customHeight="true" outlineLevel="0" collapsed="false">
      <c r="A45" s="29"/>
      <c r="B45" s="30"/>
      <c r="C45" s="29"/>
      <c r="D45" s="29"/>
      <c r="E45" s="31" t="str">
        <f aca="false">IF(D45="","",IFERROR(INDEX(Productos!$B$2:$B$23,MATCH(D45,Productos!$A$2:$A$23,0)),"Código no existe"))</f>
        <v/>
      </c>
      <c r="F45" s="29"/>
      <c r="G45" s="9"/>
      <c r="H45" s="32"/>
      <c r="I45" s="29"/>
      <c r="J45" s="33" t="n">
        <f aca="false">IF(OR(G45="",I45="Sí"),0,G45)</f>
        <v>0</v>
      </c>
      <c r="K45" s="34" t="n">
        <f aca="false">IF(OR(H45="",I45="Sí"),0,ROUND(H45/(1+Resumen!$B$9),0))</f>
        <v>0</v>
      </c>
    </row>
    <row r="46" customFormat="false" ht="15" hidden="false" customHeight="true" outlineLevel="0" collapsed="false">
      <c r="A46" s="29"/>
      <c r="B46" s="30"/>
      <c r="C46" s="29"/>
      <c r="D46" s="29"/>
      <c r="E46" s="31" t="str">
        <f aca="false">IF(D46="","",IFERROR(INDEX(Productos!$B$2:$B$23,MATCH(D46,Productos!$A$2:$A$23,0)),"Código no existe"))</f>
        <v/>
      </c>
      <c r="F46" s="29"/>
      <c r="G46" s="9"/>
      <c r="H46" s="32"/>
      <c r="I46" s="29"/>
      <c r="J46" s="33" t="n">
        <f aca="false">IF(OR(G46="",I46="Sí"),0,G46)</f>
        <v>0</v>
      </c>
      <c r="K46" s="34" t="n">
        <f aca="false">IF(OR(H46="",I46="Sí"),0,ROUND(H46/(1+Resumen!$B$9),0))</f>
        <v>0</v>
      </c>
    </row>
    <row r="47" customFormat="false" ht="15" hidden="false" customHeight="true" outlineLevel="0" collapsed="false">
      <c r="A47" s="29"/>
      <c r="B47" s="30"/>
      <c r="C47" s="29"/>
      <c r="D47" s="29"/>
      <c r="E47" s="31" t="str">
        <f aca="false">IF(D47="","",IFERROR(INDEX(Productos!$B$2:$B$23,MATCH(D47,Productos!$A$2:$A$23,0)),"Código no existe"))</f>
        <v/>
      </c>
      <c r="F47" s="29"/>
      <c r="G47" s="9"/>
      <c r="H47" s="32"/>
      <c r="I47" s="29"/>
      <c r="J47" s="33" t="n">
        <f aca="false">IF(OR(G47="",I47="Sí"),0,G47)</f>
        <v>0</v>
      </c>
      <c r="K47" s="34" t="n">
        <f aca="false">IF(OR(H47="",I47="Sí"),0,ROUND(H47/(1+Resumen!$B$9),0))</f>
        <v>0</v>
      </c>
    </row>
    <row r="48" customFormat="false" ht="15" hidden="false" customHeight="true" outlineLevel="0" collapsed="false">
      <c r="A48" s="29"/>
      <c r="B48" s="30"/>
      <c r="C48" s="29"/>
      <c r="D48" s="29"/>
      <c r="E48" s="31" t="str">
        <f aca="false">IF(D48="","",IFERROR(INDEX(Productos!$B$2:$B$23,MATCH(D48,Productos!$A$2:$A$23,0)),"Código no existe"))</f>
        <v/>
      </c>
      <c r="F48" s="29"/>
      <c r="G48" s="9"/>
      <c r="H48" s="32"/>
      <c r="I48" s="29"/>
      <c r="J48" s="33" t="n">
        <f aca="false">IF(OR(G48="",I48="Sí"),0,G48)</f>
        <v>0</v>
      </c>
      <c r="K48" s="34" t="n">
        <f aca="false">IF(OR(H48="",I48="Sí"),0,ROUND(H48/(1+Resumen!$B$9),0))</f>
        <v>0</v>
      </c>
    </row>
    <row r="49" customFormat="false" ht="15" hidden="false" customHeight="true" outlineLevel="0" collapsed="false">
      <c r="A49" s="29"/>
      <c r="B49" s="30"/>
      <c r="C49" s="29"/>
      <c r="D49" s="29"/>
      <c r="E49" s="31" t="str">
        <f aca="false">IF(D49="","",IFERROR(INDEX(Productos!$B$2:$B$23,MATCH(D49,Productos!$A$2:$A$23,0)),"Código no existe"))</f>
        <v/>
      </c>
      <c r="F49" s="29"/>
      <c r="G49" s="9"/>
      <c r="H49" s="32"/>
      <c r="I49" s="29"/>
      <c r="J49" s="33" t="n">
        <f aca="false">IF(OR(G49="",I49="Sí"),0,G49)</f>
        <v>0</v>
      </c>
      <c r="K49" s="34" t="n">
        <f aca="false">IF(OR(H49="",I49="Sí"),0,ROUND(H49/(1+Resumen!$B$9),0))</f>
        <v>0</v>
      </c>
    </row>
    <row r="50" customFormat="false" ht="15" hidden="false" customHeight="true" outlineLevel="0" collapsed="false">
      <c r="A50" s="29"/>
      <c r="B50" s="30"/>
      <c r="C50" s="29"/>
      <c r="D50" s="29"/>
      <c r="E50" s="31" t="str">
        <f aca="false">IF(D50="","",IFERROR(INDEX(Productos!$B$2:$B$23,MATCH(D50,Productos!$A$2:$A$23,0)),"Código no existe"))</f>
        <v/>
      </c>
      <c r="F50" s="29"/>
      <c r="G50" s="9"/>
      <c r="H50" s="32"/>
      <c r="I50" s="29"/>
      <c r="J50" s="33" t="n">
        <f aca="false">IF(OR(G50="",I50="Sí"),0,G50)</f>
        <v>0</v>
      </c>
      <c r="K50" s="34" t="n">
        <f aca="false">IF(OR(H50="",I50="Sí"),0,ROUND(H50/(1+Resumen!$B$9),0))</f>
        <v>0</v>
      </c>
    </row>
    <row r="51" customFormat="false" ht="15" hidden="false" customHeight="true" outlineLevel="0" collapsed="false">
      <c r="A51" s="29"/>
      <c r="B51" s="30"/>
      <c r="C51" s="29"/>
      <c r="D51" s="29"/>
      <c r="E51" s="31" t="str">
        <f aca="false">IF(D51="","",IFERROR(INDEX(Productos!$B$2:$B$23,MATCH(D51,Productos!$A$2:$A$23,0)),"Código no existe"))</f>
        <v/>
      </c>
      <c r="F51" s="29"/>
      <c r="G51" s="9"/>
      <c r="H51" s="32"/>
      <c r="I51" s="29"/>
      <c r="J51" s="33" t="n">
        <f aca="false">IF(OR(G51="",I51="Sí"),0,G51)</f>
        <v>0</v>
      </c>
      <c r="K51" s="34" t="n">
        <f aca="false">IF(OR(H51="",I51="Sí"),0,ROUND(H51/(1+Resumen!$B$9),0))</f>
        <v>0</v>
      </c>
    </row>
    <row r="52" customFormat="false" ht="15" hidden="false" customHeight="true" outlineLevel="0" collapsed="false">
      <c r="A52" s="29"/>
      <c r="B52" s="30"/>
      <c r="C52" s="29"/>
      <c r="D52" s="29"/>
      <c r="E52" s="31" t="str">
        <f aca="false">IF(D52="","",IFERROR(INDEX(Productos!$B$2:$B$23,MATCH(D52,Productos!$A$2:$A$23,0)),"Código no existe"))</f>
        <v/>
      </c>
      <c r="F52" s="29"/>
      <c r="G52" s="9"/>
      <c r="H52" s="32"/>
      <c r="I52" s="29"/>
      <c r="J52" s="33" t="n">
        <f aca="false">IF(OR(G52="",I52="Sí"),0,G52)</f>
        <v>0</v>
      </c>
      <c r="K52" s="34" t="n">
        <f aca="false">IF(OR(H52="",I52="Sí"),0,ROUND(H52/(1+Resumen!$B$9),0))</f>
        <v>0</v>
      </c>
    </row>
    <row r="53" customFormat="false" ht="15" hidden="false" customHeight="true" outlineLevel="0" collapsed="false">
      <c r="A53" s="29"/>
      <c r="B53" s="30"/>
      <c r="C53" s="29"/>
      <c r="D53" s="29"/>
      <c r="E53" s="31" t="str">
        <f aca="false">IF(D53="","",IFERROR(INDEX(Productos!$B$2:$B$23,MATCH(D53,Productos!$A$2:$A$23,0)),"Código no existe"))</f>
        <v/>
      </c>
      <c r="F53" s="29"/>
      <c r="G53" s="9"/>
      <c r="H53" s="32"/>
      <c r="I53" s="29"/>
      <c r="J53" s="33" t="n">
        <f aca="false">IF(OR(G53="",I53="Sí"),0,G53)</f>
        <v>0</v>
      </c>
      <c r="K53" s="34" t="n">
        <f aca="false">IF(OR(H53="",I53="Sí"),0,ROUND(H53/(1+Resumen!$B$9),0))</f>
        <v>0</v>
      </c>
    </row>
    <row r="54" customFormat="false" ht="15" hidden="false" customHeight="true" outlineLevel="0" collapsed="false">
      <c r="A54" s="29"/>
      <c r="B54" s="30"/>
      <c r="C54" s="29"/>
      <c r="D54" s="29"/>
      <c r="E54" s="31" t="str">
        <f aca="false">IF(D54="","",IFERROR(INDEX(Productos!$B$2:$B$23,MATCH(D54,Productos!$A$2:$A$23,0)),"Código no existe"))</f>
        <v/>
      </c>
      <c r="F54" s="29"/>
      <c r="G54" s="9"/>
      <c r="H54" s="32"/>
      <c r="I54" s="29"/>
      <c r="J54" s="33" t="n">
        <f aca="false">IF(OR(G54="",I54="Sí"),0,G54)</f>
        <v>0</v>
      </c>
      <c r="K54" s="34" t="n">
        <f aca="false">IF(OR(H54="",I54="Sí"),0,ROUND(H54/(1+Resumen!$B$9),0))</f>
        <v>0</v>
      </c>
    </row>
    <row r="55" customFormat="false" ht="15" hidden="false" customHeight="true" outlineLevel="0" collapsed="false">
      <c r="A55" s="29"/>
      <c r="B55" s="30"/>
      <c r="C55" s="29"/>
      <c r="D55" s="29"/>
      <c r="E55" s="31" t="str">
        <f aca="false">IF(D55="","",IFERROR(INDEX(Productos!$B$2:$B$23,MATCH(D55,Productos!$A$2:$A$23,0)),"Código no existe"))</f>
        <v/>
      </c>
      <c r="F55" s="29"/>
      <c r="G55" s="9"/>
      <c r="H55" s="32"/>
      <c r="I55" s="29"/>
      <c r="J55" s="33" t="n">
        <f aca="false">IF(OR(G55="",I55="Sí"),0,G55)</f>
        <v>0</v>
      </c>
      <c r="K55" s="34" t="n">
        <f aca="false">IF(OR(H55="",I55="Sí"),0,ROUND(H55/(1+Resumen!$B$9),0))</f>
        <v>0</v>
      </c>
    </row>
    <row r="56" customFormat="false" ht="15" hidden="false" customHeight="true" outlineLevel="0" collapsed="false">
      <c r="A56" s="29"/>
      <c r="B56" s="30"/>
      <c r="C56" s="29"/>
      <c r="D56" s="29"/>
      <c r="E56" s="31" t="str">
        <f aca="false">IF(D56="","",IFERROR(INDEX(Productos!$B$2:$B$23,MATCH(D56,Productos!$A$2:$A$23,0)),"Código no existe"))</f>
        <v/>
      </c>
      <c r="F56" s="29"/>
      <c r="G56" s="9"/>
      <c r="H56" s="32"/>
      <c r="I56" s="29"/>
      <c r="J56" s="33" t="n">
        <f aca="false">IF(OR(G56="",I56="Sí"),0,G56)</f>
        <v>0</v>
      </c>
      <c r="K56" s="34" t="n">
        <f aca="false">IF(OR(H56="",I56="Sí"),0,ROUND(H56/(1+Resumen!$B$9),0))</f>
        <v>0</v>
      </c>
    </row>
    <row r="57" customFormat="false" ht="15" hidden="false" customHeight="true" outlineLevel="0" collapsed="false">
      <c r="A57" s="29"/>
      <c r="B57" s="30"/>
      <c r="C57" s="29"/>
      <c r="D57" s="29"/>
      <c r="E57" s="31" t="str">
        <f aca="false">IF(D57="","",IFERROR(INDEX(Productos!$B$2:$B$23,MATCH(D57,Productos!$A$2:$A$23,0)),"Código no existe"))</f>
        <v/>
      </c>
      <c r="F57" s="29"/>
      <c r="G57" s="9"/>
      <c r="H57" s="32"/>
      <c r="I57" s="29"/>
      <c r="J57" s="33" t="n">
        <f aca="false">IF(OR(G57="",I57="Sí"),0,G57)</f>
        <v>0</v>
      </c>
      <c r="K57" s="34" t="n">
        <f aca="false">IF(OR(H57="",I57="Sí"),0,ROUND(H57/(1+Resumen!$B$9),0))</f>
        <v>0</v>
      </c>
    </row>
    <row r="58" customFormat="false" ht="15" hidden="false" customHeight="true" outlineLevel="0" collapsed="false">
      <c r="A58" s="29"/>
      <c r="B58" s="30"/>
      <c r="C58" s="29"/>
      <c r="D58" s="29"/>
      <c r="E58" s="31" t="str">
        <f aca="false">IF(D58="","",IFERROR(INDEX(Productos!$B$2:$B$23,MATCH(D58,Productos!$A$2:$A$23,0)),"Código no existe"))</f>
        <v/>
      </c>
      <c r="F58" s="29"/>
      <c r="G58" s="9"/>
      <c r="H58" s="32"/>
      <c r="I58" s="29"/>
      <c r="J58" s="33" t="n">
        <f aca="false">IF(OR(G58="",I58="Sí"),0,G58)</f>
        <v>0</v>
      </c>
      <c r="K58" s="34" t="n">
        <f aca="false">IF(OR(H58="",I58="Sí"),0,ROUND(H58/(1+Resumen!$B$9),0))</f>
        <v>0</v>
      </c>
    </row>
    <row r="59" customFormat="false" ht="15" hidden="false" customHeight="true" outlineLevel="0" collapsed="false">
      <c r="A59" s="29"/>
      <c r="B59" s="30"/>
      <c r="C59" s="29"/>
      <c r="D59" s="29"/>
      <c r="E59" s="31" t="str">
        <f aca="false">IF(D59="","",IFERROR(INDEX(Productos!$B$2:$B$23,MATCH(D59,Productos!$A$2:$A$23,0)),"Código no existe"))</f>
        <v/>
      </c>
      <c r="F59" s="29"/>
      <c r="G59" s="9"/>
      <c r="H59" s="32"/>
      <c r="I59" s="29"/>
      <c r="J59" s="33" t="n">
        <f aca="false">IF(OR(G59="",I59="Sí"),0,G59)</f>
        <v>0</v>
      </c>
      <c r="K59" s="34" t="n">
        <f aca="false">IF(OR(H59="",I59="Sí"),0,ROUND(H59/(1+Resumen!$B$9),0))</f>
        <v>0</v>
      </c>
    </row>
    <row r="60" customFormat="false" ht="15" hidden="false" customHeight="true" outlineLevel="0" collapsed="false">
      <c r="A60" s="29"/>
      <c r="B60" s="30"/>
      <c r="C60" s="29"/>
      <c r="D60" s="29"/>
      <c r="E60" s="31" t="str">
        <f aca="false">IF(D60="","",IFERROR(INDEX(Productos!$B$2:$B$23,MATCH(D60,Productos!$A$2:$A$23,0)),"Código no existe"))</f>
        <v/>
      </c>
      <c r="F60" s="29"/>
      <c r="G60" s="9"/>
      <c r="H60" s="32"/>
      <c r="I60" s="29"/>
      <c r="J60" s="33" t="n">
        <f aca="false">IF(OR(G60="",I60="Sí"),0,G60)</f>
        <v>0</v>
      </c>
      <c r="K60" s="34" t="n">
        <f aca="false">IF(OR(H60="",I60="Sí"),0,ROUND(H60/(1+Resumen!$B$9),0))</f>
        <v>0</v>
      </c>
    </row>
    <row r="61" customFormat="false" ht="15" hidden="false" customHeight="true" outlineLevel="0" collapsed="false">
      <c r="A61" s="29"/>
      <c r="B61" s="30"/>
      <c r="C61" s="29"/>
      <c r="D61" s="29"/>
      <c r="E61" s="31" t="str">
        <f aca="false">IF(D61="","",IFERROR(INDEX(Productos!$B$2:$B$23,MATCH(D61,Productos!$A$2:$A$23,0)),"Código no existe"))</f>
        <v/>
      </c>
      <c r="F61" s="29"/>
      <c r="G61" s="9"/>
      <c r="H61" s="32"/>
      <c r="I61" s="29"/>
      <c r="J61" s="33" t="n">
        <f aca="false">IF(OR(G61="",I61="Sí"),0,G61)</f>
        <v>0</v>
      </c>
      <c r="K61" s="34" t="n">
        <f aca="false">IF(OR(H61="",I61="Sí"),0,ROUND(H61/(1+Resumen!$B$9),0))</f>
        <v>0</v>
      </c>
    </row>
    <row r="62" customFormat="false" ht="15" hidden="false" customHeight="true" outlineLevel="0" collapsed="false">
      <c r="A62" s="29"/>
      <c r="B62" s="30"/>
      <c r="C62" s="29"/>
      <c r="D62" s="29"/>
      <c r="E62" s="31" t="str">
        <f aca="false">IF(D62="","",IFERROR(INDEX(Productos!$B$2:$B$23,MATCH(D62,Productos!$A$2:$A$23,0)),"Código no existe"))</f>
        <v/>
      </c>
      <c r="F62" s="29"/>
      <c r="G62" s="9"/>
      <c r="H62" s="32"/>
      <c r="I62" s="29"/>
      <c r="J62" s="33" t="n">
        <f aca="false">IF(OR(G62="",I62="Sí"),0,G62)</f>
        <v>0</v>
      </c>
      <c r="K62" s="34" t="n">
        <f aca="false">IF(OR(H62="",I62="Sí"),0,ROUND(H62/(1+Resumen!$B$9),0))</f>
        <v>0</v>
      </c>
    </row>
    <row r="63" customFormat="false" ht="15" hidden="false" customHeight="true" outlineLevel="0" collapsed="false">
      <c r="A63" s="29"/>
      <c r="B63" s="30"/>
      <c r="C63" s="29"/>
      <c r="D63" s="29"/>
      <c r="E63" s="31" t="str">
        <f aca="false">IF(D63="","",IFERROR(INDEX(Productos!$B$2:$B$23,MATCH(D63,Productos!$A$2:$A$23,0)),"Código no existe"))</f>
        <v/>
      </c>
      <c r="F63" s="29"/>
      <c r="G63" s="9"/>
      <c r="H63" s="32"/>
      <c r="I63" s="29"/>
      <c r="J63" s="33" t="n">
        <f aca="false">IF(OR(G63="",I63="Sí"),0,G63)</f>
        <v>0</v>
      </c>
      <c r="K63" s="34" t="n">
        <f aca="false">IF(OR(H63="",I63="Sí"),0,ROUND(H63/(1+Resumen!$B$9),0))</f>
        <v>0</v>
      </c>
    </row>
    <row r="64" customFormat="false" ht="15" hidden="false" customHeight="true" outlineLevel="0" collapsed="false">
      <c r="A64" s="29"/>
      <c r="B64" s="30"/>
      <c r="C64" s="29"/>
      <c r="D64" s="29"/>
      <c r="E64" s="31" t="str">
        <f aca="false">IF(D64="","",IFERROR(INDEX(Productos!$B$2:$B$23,MATCH(D64,Productos!$A$2:$A$23,0)),"Código no existe"))</f>
        <v/>
      </c>
      <c r="F64" s="29"/>
      <c r="G64" s="9"/>
      <c r="H64" s="32"/>
      <c r="I64" s="29"/>
      <c r="J64" s="33" t="n">
        <f aca="false">IF(OR(G64="",I64="Sí"),0,G64)</f>
        <v>0</v>
      </c>
      <c r="K64" s="34" t="n">
        <f aca="false">IF(OR(H64="",I64="Sí"),0,ROUND(H64/(1+Resumen!$B$9),0))</f>
        <v>0</v>
      </c>
    </row>
    <row r="65" customFormat="false" ht="15" hidden="false" customHeight="true" outlineLevel="0" collapsed="false">
      <c r="A65" s="29"/>
      <c r="B65" s="30"/>
      <c r="C65" s="29"/>
      <c r="D65" s="29"/>
      <c r="E65" s="31" t="str">
        <f aca="false">IF(D65="","",IFERROR(INDEX(Productos!$B$2:$B$23,MATCH(D65,Productos!$A$2:$A$23,0)),"Código no existe"))</f>
        <v/>
      </c>
      <c r="F65" s="29"/>
      <c r="G65" s="9"/>
      <c r="H65" s="32"/>
      <c r="I65" s="29"/>
      <c r="J65" s="33" t="n">
        <f aca="false">IF(OR(G65="",I65="Sí"),0,G65)</f>
        <v>0</v>
      </c>
      <c r="K65" s="34" t="n">
        <f aca="false">IF(OR(H65="",I65="Sí"),0,ROUND(H65/(1+Resumen!$B$9),0))</f>
        <v>0</v>
      </c>
    </row>
    <row r="66" customFormat="false" ht="15" hidden="false" customHeight="true" outlineLevel="0" collapsed="false">
      <c r="A66" s="29"/>
      <c r="B66" s="30"/>
      <c r="C66" s="29"/>
      <c r="D66" s="29"/>
      <c r="E66" s="31" t="str">
        <f aca="false">IF(D66="","",IFERROR(INDEX(Productos!$B$2:$B$23,MATCH(D66,Productos!$A$2:$A$23,0)),"Código no existe"))</f>
        <v/>
      </c>
      <c r="F66" s="29"/>
      <c r="G66" s="9"/>
      <c r="H66" s="32"/>
      <c r="I66" s="29"/>
      <c r="J66" s="33" t="n">
        <f aca="false">IF(OR(G66="",I66="Sí"),0,G66)</f>
        <v>0</v>
      </c>
      <c r="K66" s="34" t="n">
        <f aca="false">IF(OR(H66="",I66="Sí"),0,ROUND(H66/(1+Resumen!$B$9),0))</f>
        <v>0</v>
      </c>
    </row>
    <row r="67" customFormat="false" ht="15" hidden="false" customHeight="true" outlineLevel="0" collapsed="false">
      <c r="A67" s="29"/>
      <c r="B67" s="30"/>
      <c r="C67" s="29"/>
      <c r="D67" s="29"/>
      <c r="E67" s="31" t="str">
        <f aca="false">IF(D67="","",IFERROR(INDEX(Productos!$B$2:$B$23,MATCH(D67,Productos!$A$2:$A$23,0)),"Código no existe"))</f>
        <v/>
      </c>
      <c r="F67" s="29"/>
      <c r="G67" s="9"/>
      <c r="H67" s="32"/>
      <c r="I67" s="29"/>
      <c r="J67" s="33" t="n">
        <f aca="false">IF(OR(G67="",I67="Sí"),0,G67)</f>
        <v>0</v>
      </c>
      <c r="K67" s="34" t="n">
        <f aca="false">IF(OR(H67="",I67="Sí"),0,ROUND(H67/(1+Resumen!$B$9),0))</f>
        <v>0</v>
      </c>
    </row>
    <row r="68" customFormat="false" ht="15" hidden="false" customHeight="true" outlineLevel="0" collapsed="false">
      <c r="A68" s="29"/>
      <c r="B68" s="30"/>
      <c r="C68" s="29"/>
      <c r="D68" s="29"/>
      <c r="E68" s="31" t="str">
        <f aca="false">IF(D68="","",IFERROR(INDEX(Productos!$B$2:$B$23,MATCH(D68,Productos!$A$2:$A$23,0)),"Código no existe"))</f>
        <v/>
      </c>
      <c r="F68" s="29"/>
      <c r="G68" s="9"/>
      <c r="H68" s="32"/>
      <c r="I68" s="29"/>
      <c r="J68" s="33" t="n">
        <f aca="false">IF(OR(G68="",I68="Sí"),0,G68)</f>
        <v>0</v>
      </c>
      <c r="K68" s="34" t="n">
        <f aca="false">IF(OR(H68="",I68="Sí"),0,ROUND(H68/(1+Resumen!$B$9),0))</f>
        <v>0</v>
      </c>
    </row>
    <row r="69" customFormat="false" ht="15" hidden="false" customHeight="true" outlineLevel="0" collapsed="false">
      <c r="A69" s="29"/>
      <c r="B69" s="30"/>
      <c r="C69" s="29"/>
      <c r="D69" s="29"/>
      <c r="E69" s="31" t="str">
        <f aca="false">IF(D69="","",IFERROR(INDEX(Productos!$B$2:$B$23,MATCH(D69,Productos!$A$2:$A$23,0)),"Código no existe"))</f>
        <v/>
      </c>
      <c r="F69" s="29"/>
      <c r="G69" s="9"/>
      <c r="H69" s="32"/>
      <c r="I69" s="29"/>
      <c r="J69" s="33" t="n">
        <f aca="false">IF(OR(G69="",I69="Sí"),0,G69)</f>
        <v>0</v>
      </c>
      <c r="K69" s="34" t="n">
        <f aca="false">IF(OR(H69="",I69="Sí"),0,ROUND(H69/(1+Resumen!$B$9),0))</f>
        <v>0</v>
      </c>
    </row>
    <row r="70" customFormat="false" ht="15" hidden="false" customHeight="true" outlineLevel="0" collapsed="false">
      <c r="A70" s="29"/>
      <c r="B70" s="30"/>
      <c r="C70" s="29"/>
      <c r="D70" s="29"/>
      <c r="E70" s="31" t="str">
        <f aca="false">IF(D70="","",IFERROR(INDEX(Productos!$B$2:$B$23,MATCH(D70,Productos!$A$2:$A$23,0)),"Código no existe"))</f>
        <v/>
      </c>
      <c r="F70" s="29"/>
      <c r="G70" s="9"/>
      <c r="H70" s="32"/>
      <c r="I70" s="29"/>
      <c r="J70" s="33" t="n">
        <f aca="false">IF(OR(G70="",I70="Sí"),0,G70)</f>
        <v>0</v>
      </c>
      <c r="K70" s="34" t="n">
        <f aca="false">IF(OR(H70="",I70="Sí"),0,ROUND(H70/(1+Resumen!$B$9),0))</f>
        <v>0</v>
      </c>
    </row>
    <row r="71" customFormat="false" ht="15" hidden="false" customHeight="true" outlineLevel="0" collapsed="false">
      <c r="A71" s="29"/>
      <c r="B71" s="30"/>
      <c r="C71" s="29"/>
      <c r="D71" s="29"/>
      <c r="E71" s="31" t="str">
        <f aca="false">IF(D71="","",IFERROR(INDEX(Productos!$B$2:$B$23,MATCH(D71,Productos!$A$2:$A$23,0)),"Código no existe"))</f>
        <v/>
      </c>
      <c r="F71" s="29"/>
      <c r="G71" s="9"/>
      <c r="H71" s="32"/>
      <c r="I71" s="29"/>
      <c r="J71" s="33" t="n">
        <f aca="false">IF(OR(G71="",I71="Sí"),0,G71)</f>
        <v>0</v>
      </c>
      <c r="K71" s="34" t="n">
        <f aca="false">IF(OR(H71="",I71="Sí"),0,ROUND(H71/(1+Resumen!$B$9),0))</f>
        <v>0</v>
      </c>
    </row>
    <row r="72" customFormat="false" ht="15" hidden="false" customHeight="true" outlineLevel="0" collapsed="false">
      <c r="A72" s="29"/>
      <c r="B72" s="30"/>
      <c r="C72" s="29"/>
      <c r="D72" s="29"/>
      <c r="E72" s="31" t="str">
        <f aca="false">IF(D72="","",IFERROR(INDEX(Productos!$B$2:$B$23,MATCH(D72,Productos!$A$2:$A$23,0)),"Código no existe"))</f>
        <v/>
      </c>
      <c r="F72" s="29"/>
      <c r="G72" s="9"/>
      <c r="H72" s="32"/>
      <c r="I72" s="29"/>
      <c r="J72" s="33" t="n">
        <f aca="false">IF(OR(G72="",I72="Sí"),0,G72)</f>
        <v>0</v>
      </c>
      <c r="K72" s="34" t="n">
        <f aca="false">IF(OR(H72="",I72="Sí"),0,ROUND(H72/(1+Resumen!$B$9),0))</f>
        <v>0</v>
      </c>
    </row>
    <row r="73" customFormat="false" ht="15" hidden="false" customHeight="true" outlineLevel="0" collapsed="false">
      <c r="A73" s="29"/>
      <c r="B73" s="30"/>
      <c r="C73" s="29"/>
      <c r="D73" s="29"/>
      <c r="E73" s="31" t="str">
        <f aca="false">IF(D73="","",IFERROR(INDEX(Productos!$B$2:$B$23,MATCH(D73,Productos!$A$2:$A$23,0)),"Código no existe"))</f>
        <v/>
      </c>
      <c r="F73" s="29"/>
      <c r="G73" s="9"/>
      <c r="H73" s="32"/>
      <c r="I73" s="29"/>
      <c r="J73" s="33" t="n">
        <f aca="false">IF(OR(G73="",I73="Sí"),0,G73)</f>
        <v>0</v>
      </c>
      <c r="K73" s="34" t="n">
        <f aca="false">IF(OR(H73="",I73="Sí"),0,ROUND(H73/(1+Resumen!$B$9),0))</f>
        <v>0</v>
      </c>
    </row>
    <row r="74" customFormat="false" ht="15" hidden="false" customHeight="true" outlineLevel="0" collapsed="false">
      <c r="A74" s="29"/>
      <c r="B74" s="30"/>
      <c r="C74" s="29"/>
      <c r="D74" s="29"/>
      <c r="E74" s="31" t="str">
        <f aca="false">IF(D74="","",IFERROR(INDEX(Productos!$B$2:$B$23,MATCH(D74,Productos!$A$2:$A$23,0)),"Código no existe"))</f>
        <v/>
      </c>
      <c r="F74" s="29"/>
      <c r="G74" s="9"/>
      <c r="H74" s="32"/>
      <c r="I74" s="29"/>
      <c r="J74" s="33" t="n">
        <f aca="false">IF(OR(G74="",I74="Sí"),0,G74)</f>
        <v>0</v>
      </c>
      <c r="K74" s="34" t="n">
        <f aca="false">IF(OR(H74="",I74="Sí"),0,ROUND(H74/(1+Resumen!$B$9),0))</f>
        <v>0</v>
      </c>
    </row>
    <row r="75" customFormat="false" ht="15" hidden="false" customHeight="true" outlineLevel="0" collapsed="false">
      <c r="A75" s="29"/>
      <c r="B75" s="30"/>
      <c r="C75" s="29"/>
      <c r="D75" s="29"/>
      <c r="E75" s="31" t="str">
        <f aca="false">IF(D75="","",IFERROR(INDEX(Productos!$B$2:$B$23,MATCH(D75,Productos!$A$2:$A$23,0)),"Código no existe"))</f>
        <v/>
      </c>
      <c r="F75" s="29"/>
      <c r="G75" s="9"/>
      <c r="H75" s="32"/>
      <c r="I75" s="29"/>
      <c r="J75" s="33" t="n">
        <f aca="false">IF(OR(G75="",I75="Sí"),0,G75)</f>
        <v>0</v>
      </c>
      <c r="K75" s="34" t="n">
        <f aca="false">IF(OR(H75="",I75="Sí"),0,ROUND(H75/(1+Resumen!$B$9),0))</f>
        <v>0</v>
      </c>
    </row>
    <row r="76" customFormat="false" ht="15" hidden="false" customHeight="true" outlineLevel="0" collapsed="false">
      <c r="A76" s="29"/>
      <c r="B76" s="30"/>
      <c r="C76" s="29"/>
      <c r="D76" s="29"/>
      <c r="E76" s="31" t="str">
        <f aca="false">IF(D76="","",IFERROR(INDEX(Productos!$B$2:$B$23,MATCH(D76,Productos!$A$2:$A$23,0)),"Código no existe"))</f>
        <v/>
      </c>
      <c r="F76" s="29"/>
      <c r="G76" s="9"/>
      <c r="H76" s="32"/>
      <c r="I76" s="29"/>
      <c r="J76" s="33" t="n">
        <f aca="false">IF(OR(G76="",I76="Sí"),0,G76)</f>
        <v>0</v>
      </c>
      <c r="K76" s="34" t="n">
        <f aca="false">IF(OR(H76="",I76="Sí"),0,ROUND(H76/(1+Resumen!$B$9),0))</f>
        <v>0</v>
      </c>
    </row>
    <row r="77" customFormat="false" ht="15" hidden="false" customHeight="true" outlineLevel="0" collapsed="false">
      <c r="A77" s="29"/>
      <c r="B77" s="30"/>
      <c r="C77" s="29"/>
      <c r="D77" s="29"/>
      <c r="E77" s="31" t="str">
        <f aca="false">IF(D77="","",IFERROR(INDEX(Productos!$B$2:$B$23,MATCH(D77,Productos!$A$2:$A$23,0)),"Código no existe"))</f>
        <v/>
      </c>
      <c r="F77" s="29"/>
      <c r="G77" s="9"/>
      <c r="H77" s="32"/>
      <c r="I77" s="29"/>
      <c r="J77" s="33" t="n">
        <f aca="false">IF(OR(G77="",I77="Sí"),0,G77)</f>
        <v>0</v>
      </c>
      <c r="K77" s="34" t="n">
        <f aca="false">IF(OR(H77="",I77="Sí"),0,ROUND(H77/(1+Resumen!$B$9),0))</f>
        <v>0</v>
      </c>
    </row>
    <row r="78" customFormat="false" ht="15" hidden="false" customHeight="true" outlineLevel="0" collapsed="false">
      <c r="A78" s="29"/>
      <c r="B78" s="30"/>
      <c r="C78" s="29"/>
      <c r="D78" s="29"/>
      <c r="E78" s="31" t="str">
        <f aca="false">IF(D78="","",IFERROR(INDEX(Productos!$B$2:$B$23,MATCH(D78,Productos!$A$2:$A$23,0)),"Código no existe"))</f>
        <v/>
      </c>
      <c r="F78" s="29"/>
      <c r="G78" s="9"/>
      <c r="H78" s="32"/>
      <c r="I78" s="29"/>
      <c r="J78" s="33" t="n">
        <f aca="false">IF(OR(G78="",I78="Sí"),0,G78)</f>
        <v>0</v>
      </c>
      <c r="K78" s="34" t="n">
        <f aca="false">IF(OR(H78="",I78="Sí"),0,ROUND(H78/(1+Resumen!$B$9),0))</f>
        <v>0</v>
      </c>
    </row>
    <row r="79" customFormat="false" ht="15" hidden="false" customHeight="true" outlineLevel="0" collapsed="false">
      <c r="A79" s="29"/>
      <c r="B79" s="30"/>
      <c r="C79" s="29"/>
      <c r="D79" s="29"/>
      <c r="E79" s="31" t="str">
        <f aca="false">IF(D79="","",IFERROR(INDEX(Productos!$B$2:$B$23,MATCH(D79,Productos!$A$2:$A$23,0)),"Código no existe"))</f>
        <v/>
      </c>
      <c r="F79" s="29"/>
      <c r="G79" s="9"/>
      <c r="H79" s="32"/>
      <c r="I79" s="29"/>
      <c r="J79" s="33" t="n">
        <f aca="false">IF(OR(G79="",I79="Sí"),0,G79)</f>
        <v>0</v>
      </c>
      <c r="K79" s="34" t="n">
        <f aca="false">IF(OR(H79="",I79="Sí"),0,ROUND(H79/(1+Resumen!$B$9),0))</f>
        <v>0</v>
      </c>
    </row>
    <row r="80" customFormat="false" ht="15" hidden="false" customHeight="true" outlineLevel="0" collapsed="false">
      <c r="A80" s="29"/>
      <c r="B80" s="30"/>
      <c r="C80" s="29"/>
      <c r="D80" s="29"/>
      <c r="E80" s="31" t="str">
        <f aca="false">IF(D80="","",IFERROR(INDEX(Productos!$B$2:$B$23,MATCH(D80,Productos!$A$2:$A$23,0)),"Código no existe"))</f>
        <v/>
      </c>
      <c r="F80" s="29"/>
      <c r="G80" s="9"/>
      <c r="H80" s="32"/>
      <c r="I80" s="29"/>
      <c r="J80" s="33" t="n">
        <f aca="false">IF(OR(G80="",I80="Sí"),0,G80)</f>
        <v>0</v>
      </c>
      <c r="K80" s="34" t="n">
        <f aca="false">IF(OR(H80="",I80="Sí"),0,ROUND(H80/(1+Resumen!$B$9),0))</f>
        <v>0</v>
      </c>
    </row>
    <row r="81" customFormat="false" ht="15" hidden="false" customHeight="true" outlineLevel="0" collapsed="false">
      <c r="A81" s="29"/>
      <c r="B81" s="30"/>
      <c r="C81" s="29"/>
      <c r="D81" s="29"/>
      <c r="E81" s="31" t="str">
        <f aca="false">IF(D81="","",IFERROR(INDEX(Productos!$B$2:$B$23,MATCH(D81,Productos!$A$2:$A$23,0)),"Código no existe"))</f>
        <v/>
      </c>
      <c r="F81" s="29"/>
      <c r="G81" s="9"/>
      <c r="H81" s="32"/>
      <c r="I81" s="29"/>
      <c r="J81" s="33" t="n">
        <f aca="false">IF(OR(G81="",I81="Sí"),0,G81)</f>
        <v>0</v>
      </c>
      <c r="K81" s="34" t="n">
        <f aca="false">IF(OR(H81="",I81="Sí"),0,ROUND(H81/(1+Resumen!$B$9),0))</f>
        <v>0</v>
      </c>
    </row>
    <row r="82" customFormat="false" ht="15" hidden="false" customHeight="true" outlineLevel="0" collapsed="false">
      <c r="A82" s="29"/>
      <c r="B82" s="30"/>
      <c r="C82" s="29"/>
      <c r="D82" s="29"/>
      <c r="E82" s="31" t="str">
        <f aca="false">IF(D82="","",IFERROR(INDEX(Productos!$B$2:$B$23,MATCH(D82,Productos!$A$2:$A$23,0)),"Código no existe"))</f>
        <v/>
      </c>
      <c r="F82" s="29"/>
      <c r="G82" s="9"/>
      <c r="H82" s="32"/>
      <c r="I82" s="29"/>
      <c r="J82" s="33" t="n">
        <f aca="false">IF(OR(G82="",I82="Sí"),0,G82)</f>
        <v>0</v>
      </c>
      <c r="K82" s="34" t="n">
        <f aca="false">IF(OR(H82="",I82="Sí"),0,ROUND(H82/(1+Resumen!$B$9),0))</f>
        <v>0</v>
      </c>
    </row>
    <row r="83" customFormat="false" ht="15" hidden="false" customHeight="true" outlineLevel="0" collapsed="false">
      <c r="A83" s="29"/>
      <c r="B83" s="30"/>
      <c r="C83" s="29"/>
      <c r="D83" s="29"/>
      <c r="E83" s="31" t="str">
        <f aca="false">IF(D83="","",IFERROR(INDEX(Productos!$B$2:$B$23,MATCH(D83,Productos!$A$2:$A$23,0)),"Código no existe"))</f>
        <v/>
      </c>
      <c r="F83" s="29"/>
      <c r="G83" s="9"/>
      <c r="H83" s="32"/>
      <c r="I83" s="29"/>
      <c r="J83" s="33" t="n">
        <f aca="false">IF(OR(G83="",I83="Sí"),0,G83)</f>
        <v>0</v>
      </c>
      <c r="K83" s="34" t="n">
        <f aca="false">IF(OR(H83="",I83="Sí"),0,ROUND(H83/(1+Resumen!$B$9),0))</f>
        <v>0</v>
      </c>
    </row>
    <row r="84" customFormat="false" ht="15" hidden="false" customHeight="true" outlineLevel="0" collapsed="false">
      <c r="A84" s="29"/>
      <c r="B84" s="30"/>
      <c r="C84" s="29"/>
      <c r="D84" s="29"/>
      <c r="E84" s="31" t="str">
        <f aca="false">IF(D84="","",IFERROR(INDEX(Productos!$B$2:$B$23,MATCH(D84,Productos!$A$2:$A$23,0)),"Código no existe"))</f>
        <v/>
      </c>
      <c r="F84" s="29"/>
      <c r="G84" s="9"/>
      <c r="H84" s="32"/>
      <c r="I84" s="29"/>
      <c r="J84" s="33" t="n">
        <f aca="false">IF(OR(G84="",I84="Sí"),0,G84)</f>
        <v>0</v>
      </c>
      <c r="K84" s="34" t="n">
        <f aca="false">IF(OR(H84="",I84="Sí"),0,ROUND(H84/(1+Resumen!$B$9),0))</f>
        <v>0</v>
      </c>
    </row>
    <row r="85" customFormat="false" ht="15" hidden="false" customHeight="true" outlineLevel="0" collapsed="false">
      <c r="A85" s="29"/>
      <c r="B85" s="30"/>
      <c r="C85" s="29"/>
      <c r="D85" s="29"/>
      <c r="E85" s="31" t="str">
        <f aca="false">IF(D85="","",IFERROR(INDEX(Productos!$B$2:$B$23,MATCH(D85,Productos!$A$2:$A$23,0)),"Código no existe"))</f>
        <v/>
      </c>
      <c r="F85" s="29"/>
      <c r="G85" s="9"/>
      <c r="H85" s="32"/>
      <c r="I85" s="29"/>
      <c r="J85" s="33" t="n">
        <f aca="false">IF(OR(G85="",I85="Sí"),0,G85)</f>
        <v>0</v>
      </c>
      <c r="K85" s="34" t="n">
        <f aca="false">IF(OR(H85="",I85="Sí"),0,ROUND(H85/(1+Resumen!$B$9),0))</f>
        <v>0</v>
      </c>
    </row>
    <row r="86" customFormat="false" ht="15" hidden="false" customHeight="true" outlineLevel="0" collapsed="false">
      <c r="A86" s="29"/>
      <c r="B86" s="30"/>
      <c r="C86" s="29"/>
      <c r="D86" s="29"/>
      <c r="E86" s="31" t="str">
        <f aca="false">IF(D86="","",IFERROR(INDEX(Productos!$B$2:$B$23,MATCH(D86,Productos!$A$2:$A$23,0)),"Código no existe"))</f>
        <v/>
      </c>
      <c r="F86" s="29"/>
      <c r="G86" s="9"/>
      <c r="H86" s="32"/>
      <c r="I86" s="29"/>
      <c r="J86" s="33" t="n">
        <f aca="false">IF(OR(G86="",I86="Sí"),0,G86)</f>
        <v>0</v>
      </c>
      <c r="K86" s="34" t="n">
        <f aca="false">IF(OR(H86="",I86="Sí"),0,ROUND(H86/(1+Resumen!$B$9),0))</f>
        <v>0</v>
      </c>
    </row>
    <row r="87" customFormat="false" ht="15" hidden="false" customHeight="true" outlineLevel="0" collapsed="false">
      <c r="A87" s="29"/>
      <c r="B87" s="30"/>
      <c r="C87" s="29"/>
      <c r="D87" s="29"/>
      <c r="E87" s="31" t="str">
        <f aca="false">IF(D87="","",IFERROR(INDEX(Productos!$B$2:$B$23,MATCH(D87,Productos!$A$2:$A$23,0)),"Código no existe"))</f>
        <v/>
      </c>
      <c r="F87" s="29"/>
      <c r="G87" s="9"/>
      <c r="H87" s="32"/>
      <c r="I87" s="29"/>
      <c r="J87" s="33" t="n">
        <f aca="false">IF(OR(G87="",I87="Sí"),0,G87)</f>
        <v>0</v>
      </c>
      <c r="K87" s="34" t="n">
        <f aca="false">IF(OR(H87="",I87="Sí"),0,ROUND(H87/(1+Resumen!$B$9),0))</f>
        <v>0</v>
      </c>
    </row>
    <row r="88" customFormat="false" ht="15" hidden="false" customHeight="true" outlineLevel="0" collapsed="false">
      <c r="A88" s="29"/>
      <c r="B88" s="30"/>
      <c r="C88" s="29"/>
      <c r="D88" s="29"/>
      <c r="E88" s="31" t="str">
        <f aca="false">IF(D88="","",IFERROR(INDEX(Productos!$B$2:$B$23,MATCH(D88,Productos!$A$2:$A$23,0)),"Código no existe"))</f>
        <v/>
      </c>
      <c r="F88" s="29"/>
      <c r="G88" s="9"/>
      <c r="H88" s="32"/>
      <c r="I88" s="29"/>
      <c r="J88" s="33" t="n">
        <f aca="false">IF(OR(G88="",I88="Sí"),0,G88)</f>
        <v>0</v>
      </c>
      <c r="K88" s="34" t="n">
        <f aca="false">IF(OR(H88="",I88="Sí"),0,ROUND(H88/(1+Resumen!$B$9),0))</f>
        <v>0</v>
      </c>
    </row>
    <row r="89" customFormat="false" ht="15" hidden="false" customHeight="true" outlineLevel="0" collapsed="false">
      <c r="A89" s="29"/>
      <c r="B89" s="30"/>
      <c r="C89" s="29"/>
      <c r="D89" s="29"/>
      <c r="E89" s="31" t="str">
        <f aca="false">IF(D89="","",IFERROR(INDEX(Productos!$B$2:$B$23,MATCH(D89,Productos!$A$2:$A$23,0)),"Código no existe"))</f>
        <v/>
      </c>
      <c r="F89" s="29"/>
      <c r="G89" s="9"/>
      <c r="H89" s="32"/>
      <c r="I89" s="29"/>
      <c r="J89" s="33" t="n">
        <f aca="false">IF(OR(G89="",I89="Sí"),0,G89)</f>
        <v>0</v>
      </c>
      <c r="K89" s="34" t="n">
        <f aca="false">IF(OR(H89="",I89="Sí"),0,ROUND(H89/(1+Resumen!$B$9),0))</f>
        <v>0</v>
      </c>
    </row>
    <row r="90" customFormat="false" ht="15" hidden="false" customHeight="true" outlineLevel="0" collapsed="false">
      <c r="A90" s="29"/>
      <c r="B90" s="30"/>
      <c r="C90" s="29"/>
      <c r="D90" s="29"/>
      <c r="E90" s="31" t="str">
        <f aca="false">IF(D90="","",IFERROR(INDEX(Productos!$B$2:$B$23,MATCH(D90,Productos!$A$2:$A$23,0)),"Código no existe"))</f>
        <v/>
      </c>
      <c r="F90" s="29"/>
      <c r="G90" s="9"/>
      <c r="H90" s="32"/>
      <c r="I90" s="29"/>
      <c r="J90" s="33" t="n">
        <f aca="false">IF(OR(G90="",I90="Sí"),0,G90)</f>
        <v>0</v>
      </c>
      <c r="K90" s="34" t="n">
        <f aca="false">IF(OR(H90="",I90="Sí"),0,ROUND(H90/(1+Resumen!$B$9),0))</f>
        <v>0</v>
      </c>
    </row>
    <row r="91" customFormat="false" ht="15" hidden="false" customHeight="true" outlineLevel="0" collapsed="false">
      <c r="A91" s="29"/>
      <c r="B91" s="30"/>
      <c r="C91" s="29"/>
      <c r="D91" s="29"/>
      <c r="E91" s="31" t="str">
        <f aca="false">IF(D91="","",IFERROR(INDEX(Productos!$B$2:$B$23,MATCH(D91,Productos!$A$2:$A$23,0)),"Código no existe"))</f>
        <v/>
      </c>
      <c r="F91" s="29"/>
      <c r="G91" s="9"/>
      <c r="H91" s="32"/>
      <c r="I91" s="29"/>
      <c r="J91" s="33" t="n">
        <f aca="false">IF(OR(G91="",I91="Sí"),0,G91)</f>
        <v>0</v>
      </c>
      <c r="K91" s="34" t="n">
        <f aca="false">IF(OR(H91="",I91="Sí"),0,ROUND(H91/(1+Resumen!$B$9),0))</f>
        <v>0</v>
      </c>
    </row>
    <row r="92" customFormat="false" ht="15" hidden="false" customHeight="true" outlineLevel="0" collapsed="false">
      <c r="A92" s="29"/>
      <c r="B92" s="30"/>
      <c r="C92" s="29"/>
      <c r="D92" s="29"/>
      <c r="E92" s="31" t="str">
        <f aca="false">IF(D92="","",IFERROR(INDEX(Productos!$B$2:$B$23,MATCH(D92,Productos!$A$2:$A$23,0)),"Código no existe"))</f>
        <v/>
      </c>
      <c r="F92" s="29"/>
      <c r="G92" s="9"/>
      <c r="H92" s="32"/>
      <c r="I92" s="29"/>
      <c r="J92" s="33" t="n">
        <f aca="false">IF(OR(G92="",I92="Sí"),0,G92)</f>
        <v>0</v>
      </c>
      <c r="K92" s="34" t="n">
        <f aca="false">IF(OR(H92="",I92="Sí"),0,ROUND(H92/(1+Resumen!$B$9),0))</f>
        <v>0</v>
      </c>
    </row>
    <row r="93" customFormat="false" ht="15" hidden="false" customHeight="true" outlineLevel="0" collapsed="false">
      <c r="A93" s="29"/>
      <c r="B93" s="30"/>
      <c r="C93" s="29"/>
      <c r="D93" s="29"/>
      <c r="E93" s="31" t="str">
        <f aca="false">IF(D93="","",IFERROR(INDEX(Productos!$B$2:$B$23,MATCH(D93,Productos!$A$2:$A$23,0)),"Código no existe"))</f>
        <v/>
      </c>
      <c r="F93" s="29"/>
      <c r="G93" s="9"/>
      <c r="H93" s="32"/>
      <c r="I93" s="29"/>
      <c r="J93" s="33" t="n">
        <f aca="false">IF(OR(G93="",I93="Sí"),0,G93)</f>
        <v>0</v>
      </c>
      <c r="K93" s="34" t="n">
        <f aca="false">IF(OR(H93="",I93="Sí"),0,ROUND(H93/(1+Resumen!$B$9),0))</f>
        <v>0</v>
      </c>
    </row>
    <row r="94" customFormat="false" ht="15" hidden="false" customHeight="true" outlineLevel="0" collapsed="false">
      <c r="A94" s="29"/>
      <c r="B94" s="30"/>
      <c r="C94" s="29"/>
      <c r="D94" s="29"/>
      <c r="E94" s="31" t="str">
        <f aca="false">IF(D94="","",IFERROR(INDEX(Productos!$B$2:$B$23,MATCH(D94,Productos!$A$2:$A$23,0)),"Código no existe"))</f>
        <v/>
      </c>
      <c r="F94" s="29"/>
      <c r="G94" s="9"/>
      <c r="H94" s="32"/>
      <c r="I94" s="29"/>
      <c r="J94" s="33" t="n">
        <f aca="false">IF(OR(G94="",I94="Sí"),0,G94)</f>
        <v>0</v>
      </c>
      <c r="K94" s="34" t="n">
        <f aca="false">IF(OR(H94="",I94="Sí"),0,ROUND(H94/(1+Resumen!$B$9),0))</f>
        <v>0</v>
      </c>
    </row>
    <row r="95" customFormat="false" ht="15" hidden="false" customHeight="true" outlineLevel="0" collapsed="false">
      <c r="A95" s="29"/>
      <c r="B95" s="30"/>
      <c r="C95" s="29"/>
      <c r="D95" s="29"/>
      <c r="E95" s="31" t="str">
        <f aca="false">IF(D95="","",IFERROR(INDEX(Productos!$B$2:$B$23,MATCH(D95,Productos!$A$2:$A$23,0)),"Código no existe"))</f>
        <v/>
      </c>
      <c r="F95" s="29"/>
      <c r="G95" s="9"/>
      <c r="H95" s="32"/>
      <c r="I95" s="29"/>
      <c r="J95" s="33" t="n">
        <f aca="false">IF(OR(G95="",I95="Sí"),0,G95)</f>
        <v>0</v>
      </c>
      <c r="K95" s="34" t="n">
        <f aca="false">IF(OR(H95="",I95="Sí"),0,ROUND(H95/(1+Resumen!$B$9),0))</f>
        <v>0</v>
      </c>
    </row>
    <row r="96" customFormat="false" ht="15" hidden="false" customHeight="true" outlineLevel="0" collapsed="false">
      <c r="A96" s="29"/>
      <c r="B96" s="30"/>
      <c r="C96" s="29"/>
      <c r="D96" s="29"/>
      <c r="E96" s="31" t="str">
        <f aca="false">IF(D96="","",IFERROR(INDEX(Productos!$B$2:$B$23,MATCH(D96,Productos!$A$2:$A$23,0)),"Código no existe"))</f>
        <v/>
      </c>
      <c r="F96" s="29"/>
      <c r="G96" s="9"/>
      <c r="H96" s="32"/>
      <c r="I96" s="29"/>
      <c r="J96" s="33" t="n">
        <f aca="false">IF(OR(G96="",I96="Sí"),0,G96)</f>
        <v>0</v>
      </c>
      <c r="K96" s="34" t="n">
        <f aca="false">IF(OR(H96="",I96="Sí"),0,ROUND(H96/(1+Resumen!$B$9),0))</f>
        <v>0</v>
      </c>
    </row>
    <row r="97" customFormat="false" ht="15" hidden="false" customHeight="true" outlineLevel="0" collapsed="false">
      <c r="A97" s="29"/>
      <c r="B97" s="30"/>
      <c r="C97" s="29"/>
      <c r="D97" s="29"/>
      <c r="E97" s="31" t="str">
        <f aca="false">IF(D97="","",IFERROR(INDEX(Productos!$B$2:$B$23,MATCH(D97,Productos!$A$2:$A$23,0)),"Código no existe"))</f>
        <v/>
      </c>
      <c r="F97" s="29"/>
      <c r="G97" s="9"/>
      <c r="H97" s="32"/>
      <c r="I97" s="29"/>
      <c r="J97" s="33" t="n">
        <f aca="false">IF(OR(G97="",I97="Sí"),0,G97)</f>
        <v>0</v>
      </c>
      <c r="K97" s="34" t="n">
        <f aca="false">IF(OR(H97="",I97="Sí"),0,ROUND(H97/(1+Resumen!$B$9),0))</f>
        <v>0</v>
      </c>
    </row>
    <row r="98" customFormat="false" ht="15" hidden="false" customHeight="true" outlineLevel="0" collapsed="false">
      <c r="A98" s="29"/>
      <c r="B98" s="30"/>
      <c r="C98" s="29"/>
      <c r="D98" s="29"/>
      <c r="E98" s="31" t="str">
        <f aca="false">IF(D98="","",IFERROR(INDEX(Productos!$B$2:$B$23,MATCH(D98,Productos!$A$2:$A$23,0)),"Código no existe"))</f>
        <v/>
      </c>
      <c r="F98" s="29"/>
      <c r="G98" s="9"/>
      <c r="H98" s="32"/>
      <c r="I98" s="29"/>
      <c r="J98" s="33" t="n">
        <f aca="false">IF(OR(G98="",I98="Sí"),0,G98)</f>
        <v>0</v>
      </c>
      <c r="K98" s="34" t="n">
        <f aca="false">IF(OR(H98="",I98="Sí"),0,ROUND(H98/(1+Resumen!$B$9),0))</f>
        <v>0</v>
      </c>
    </row>
    <row r="99" customFormat="false" ht="15" hidden="false" customHeight="true" outlineLevel="0" collapsed="false">
      <c r="A99" s="29"/>
      <c r="B99" s="30"/>
      <c r="C99" s="29"/>
      <c r="D99" s="29"/>
      <c r="E99" s="31" t="str">
        <f aca="false">IF(D99="","",IFERROR(INDEX(Productos!$B$2:$B$23,MATCH(D99,Productos!$A$2:$A$23,0)),"Código no existe"))</f>
        <v/>
      </c>
      <c r="F99" s="29"/>
      <c r="G99" s="9"/>
      <c r="H99" s="32"/>
      <c r="I99" s="29"/>
      <c r="J99" s="33" t="n">
        <f aca="false">IF(OR(G99="",I99="Sí"),0,G99)</f>
        <v>0</v>
      </c>
      <c r="K99" s="34" t="n">
        <f aca="false">IF(OR(H99="",I99="Sí"),0,ROUND(H99/(1+Resumen!$B$9),0))</f>
        <v>0</v>
      </c>
    </row>
    <row r="100" customFormat="false" ht="15" hidden="false" customHeight="true" outlineLevel="0" collapsed="false">
      <c r="A100" s="29"/>
      <c r="B100" s="30"/>
      <c r="C100" s="29"/>
      <c r="D100" s="29"/>
      <c r="E100" s="31" t="str">
        <f aca="false">IF(D100="","",IFERROR(INDEX(Productos!$B$2:$B$23,MATCH(D100,Productos!$A$2:$A$23,0)),"Código no existe"))</f>
        <v/>
      </c>
      <c r="F100" s="29"/>
      <c r="G100" s="9"/>
      <c r="H100" s="32"/>
      <c r="I100" s="29"/>
      <c r="J100" s="33" t="n">
        <f aca="false">IF(OR(G100="",I100="Sí"),0,G100)</f>
        <v>0</v>
      </c>
      <c r="K100" s="34" t="n">
        <f aca="false">IF(OR(H100="",I100="Sí"),0,ROUND(H100/(1+Resumen!$B$9),0))</f>
        <v>0</v>
      </c>
    </row>
    <row r="101" customFormat="false" ht="15" hidden="false" customHeight="true" outlineLevel="0" collapsed="false">
      <c r="A101" s="29"/>
      <c r="B101" s="30"/>
      <c r="C101" s="29"/>
      <c r="D101" s="29"/>
      <c r="E101" s="31" t="str">
        <f aca="false">IF(D101="","",IFERROR(INDEX(Productos!$B$2:$B$23,MATCH(D101,Productos!$A$2:$A$23,0)),"Código no existe"))</f>
        <v/>
      </c>
      <c r="F101" s="29"/>
      <c r="G101" s="9"/>
      <c r="H101" s="32"/>
      <c r="I101" s="29"/>
      <c r="J101" s="33" t="n">
        <f aca="false">IF(OR(G101="",I101="Sí"),0,G101)</f>
        <v>0</v>
      </c>
      <c r="K101" s="34" t="n">
        <f aca="false">IF(OR(H101="",I101="Sí"),0,ROUND(H101/(1+Resumen!$B$9),0))</f>
        <v>0</v>
      </c>
    </row>
    <row r="102" customFormat="false" ht="15" hidden="false" customHeight="true" outlineLevel="0" collapsed="false">
      <c r="A102" s="29"/>
      <c r="B102" s="30"/>
      <c r="C102" s="29"/>
      <c r="D102" s="29"/>
      <c r="E102" s="31" t="str">
        <f aca="false">IF(D102="","",IFERROR(INDEX(Productos!$B$2:$B$23,MATCH(D102,Productos!$A$2:$A$23,0)),"Código no existe"))</f>
        <v/>
      </c>
      <c r="F102" s="29"/>
      <c r="G102" s="9"/>
      <c r="H102" s="32"/>
      <c r="I102" s="29"/>
      <c r="J102" s="33" t="n">
        <f aca="false">IF(OR(G102="",I102="Sí"),0,G102)</f>
        <v>0</v>
      </c>
      <c r="K102" s="34" t="n">
        <f aca="false">IF(OR(H102="",I102="Sí"),0,ROUND(H102/(1+Resumen!$B$9),0))</f>
        <v>0</v>
      </c>
    </row>
    <row r="103" customFormat="false" ht="15" hidden="false" customHeight="true" outlineLevel="0" collapsed="false">
      <c r="A103" s="29"/>
      <c r="B103" s="30"/>
      <c r="C103" s="29"/>
      <c r="D103" s="29"/>
      <c r="E103" s="31" t="str">
        <f aca="false">IF(D103="","",IFERROR(INDEX(Productos!$B$2:$B$23,MATCH(D103,Productos!$A$2:$A$23,0)),"Código no existe"))</f>
        <v/>
      </c>
      <c r="F103" s="29"/>
      <c r="G103" s="9"/>
      <c r="H103" s="32"/>
      <c r="I103" s="29"/>
      <c r="J103" s="33" t="n">
        <f aca="false">IF(OR(G103="",I103="Sí"),0,G103)</f>
        <v>0</v>
      </c>
      <c r="K103" s="34" t="n">
        <f aca="false">IF(OR(H103="",I103="Sí"),0,ROUND(H103/(1+Resumen!$B$9),0))</f>
        <v>0</v>
      </c>
    </row>
    <row r="104" customFormat="false" ht="15" hidden="false" customHeight="true" outlineLevel="0" collapsed="false">
      <c r="A104" s="29"/>
      <c r="B104" s="30"/>
      <c r="C104" s="29"/>
      <c r="D104" s="29"/>
      <c r="E104" s="31" t="str">
        <f aca="false">IF(D104="","",IFERROR(INDEX(Productos!$B$2:$B$23,MATCH(D104,Productos!$A$2:$A$23,0)),"Código no existe"))</f>
        <v/>
      </c>
      <c r="F104" s="29"/>
      <c r="G104" s="9"/>
      <c r="H104" s="32"/>
      <c r="I104" s="29"/>
      <c r="J104" s="33" t="n">
        <f aca="false">IF(OR(G104="",I104="Sí"),0,G104)</f>
        <v>0</v>
      </c>
      <c r="K104" s="34" t="n">
        <f aca="false">IF(OR(H104="",I104="Sí"),0,ROUND(H104/(1+Resumen!$B$9),0))</f>
        <v>0</v>
      </c>
    </row>
    <row r="105" customFormat="false" ht="15" hidden="false" customHeight="true" outlineLevel="0" collapsed="false">
      <c r="A105" s="29"/>
      <c r="B105" s="30"/>
      <c r="C105" s="29"/>
      <c r="D105" s="29"/>
      <c r="E105" s="31" t="str">
        <f aca="false">IF(D105="","",IFERROR(INDEX(Productos!$B$2:$B$23,MATCH(D105,Productos!$A$2:$A$23,0)),"Código no existe"))</f>
        <v/>
      </c>
      <c r="F105" s="29"/>
      <c r="G105" s="9"/>
      <c r="H105" s="32"/>
      <c r="I105" s="29"/>
      <c r="J105" s="33" t="n">
        <f aca="false">IF(OR(G105="",I105="Sí"),0,G105)</f>
        <v>0</v>
      </c>
      <c r="K105" s="34" t="n">
        <f aca="false">IF(OR(H105="",I105="Sí"),0,ROUND(H105/(1+Resumen!$B$9),0))</f>
        <v>0</v>
      </c>
    </row>
    <row r="106" customFormat="false" ht="15" hidden="false" customHeight="true" outlineLevel="0" collapsed="false">
      <c r="A106" s="29"/>
      <c r="B106" s="30"/>
      <c r="C106" s="29"/>
      <c r="D106" s="29"/>
      <c r="E106" s="31" t="str">
        <f aca="false">IF(D106="","",IFERROR(INDEX(Productos!$B$2:$B$23,MATCH(D106,Productos!$A$2:$A$23,0)),"Código no existe"))</f>
        <v/>
      </c>
      <c r="F106" s="29"/>
      <c r="G106" s="9"/>
      <c r="H106" s="32"/>
      <c r="I106" s="29"/>
      <c r="J106" s="33" t="n">
        <f aca="false">IF(OR(G106="",I106="Sí"),0,G106)</f>
        <v>0</v>
      </c>
      <c r="K106" s="34" t="n">
        <f aca="false">IF(OR(H106="",I106="Sí"),0,ROUND(H106/(1+Resumen!$B$9),0))</f>
        <v>0</v>
      </c>
    </row>
    <row r="107" customFormat="false" ht="15" hidden="false" customHeight="true" outlineLevel="0" collapsed="false">
      <c r="A107" s="29"/>
      <c r="B107" s="30"/>
      <c r="C107" s="29"/>
      <c r="D107" s="29"/>
      <c r="E107" s="31" t="str">
        <f aca="false">IF(D107="","",IFERROR(INDEX(Productos!$B$2:$B$23,MATCH(D107,Productos!$A$2:$A$23,0)),"Código no existe"))</f>
        <v/>
      </c>
      <c r="F107" s="29"/>
      <c r="G107" s="9"/>
      <c r="H107" s="32"/>
      <c r="I107" s="29"/>
      <c r="J107" s="33" t="n">
        <f aca="false">IF(OR(G107="",I107="Sí"),0,G107)</f>
        <v>0</v>
      </c>
      <c r="K107" s="34" t="n">
        <f aca="false">IF(OR(H107="",I107="Sí"),0,ROUND(H107/(1+Resumen!$B$9),0))</f>
        <v>0</v>
      </c>
    </row>
    <row r="108" customFormat="false" ht="15" hidden="false" customHeight="true" outlineLevel="0" collapsed="false">
      <c r="A108" s="29"/>
      <c r="B108" s="30"/>
      <c r="C108" s="29"/>
      <c r="D108" s="29"/>
      <c r="E108" s="31" t="str">
        <f aca="false">IF(D108="","",IFERROR(INDEX(Productos!$B$2:$B$23,MATCH(D108,Productos!$A$2:$A$23,0)),"Código no existe"))</f>
        <v/>
      </c>
      <c r="F108" s="29"/>
      <c r="G108" s="9"/>
      <c r="H108" s="32"/>
      <c r="I108" s="29"/>
      <c r="J108" s="33" t="n">
        <f aca="false">IF(OR(G108="",I108="Sí"),0,G108)</f>
        <v>0</v>
      </c>
      <c r="K108" s="34" t="n">
        <f aca="false">IF(OR(H108="",I108="Sí"),0,ROUND(H108/(1+Resumen!$B$9),0))</f>
        <v>0</v>
      </c>
    </row>
    <row r="109" customFormat="false" ht="15" hidden="false" customHeight="true" outlineLevel="0" collapsed="false">
      <c r="A109" s="29"/>
      <c r="B109" s="30"/>
      <c r="C109" s="29"/>
      <c r="D109" s="29"/>
      <c r="E109" s="31" t="str">
        <f aca="false">IF(D109="","",IFERROR(INDEX(Productos!$B$2:$B$23,MATCH(D109,Productos!$A$2:$A$23,0)),"Código no existe"))</f>
        <v/>
      </c>
      <c r="F109" s="29"/>
      <c r="G109" s="9"/>
      <c r="H109" s="32"/>
      <c r="I109" s="29"/>
      <c r="J109" s="33" t="n">
        <f aca="false">IF(OR(G109="",I109="Sí"),0,G109)</f>
        <v>0</v>
      </c>
      <c r="K109" s="34" t="n">
        <f aca="false">IF(OR(H109="",I109="Sí"),0,ROUND(H109/(1+Resumen!$B$9),0))</f>
        <v>0</v>
      </c>
    </row>
    <row r="110" customFormat="false" ht="15" hidden="false" customHeight="true" outlineLevel="0" collapsed="false">
      <c r="A110" s="29"/>
      <c r="B110" s="30"/>
      <c r="C110" s="29"/>
      <c r="D110" s="29"/>
      <c r="E110" s="31" t="str">
        <f aca="false">IF(D110="","",IFERROR(INDEX(Productos!$B$2:$B$23,MATCH(D110,Productos!$A$2:$A$23,0)),"Código no existe"))</f>
        <v/>
      </c>
      <c r="F110" s="29"/>
      <c r="G110" s="9"/>
      <c r="H110" s="32"/>
      <c r="I110" s="29"/>
      <c r="J110" s="33" t="n">
        <f aca="false">IF(OR(G110="",I110="Sí"),0,G110)</f>
        <v>0</v>
      </c>
      <c r="K110" s="34" t="n">
        <f aca="false">IF(OR(H110="",I110="Sí"),0,ROUND(H110/(1+Resumen!$B$9),0))</f>
        <v>0</v>
      </c>
    </row>
    <row r="111" customFormat="false" ht="15" hidden="false" customHeight="true" outlineLevel="0" collapsed="false">
      <c r="A111" s="29"/>
      <c r="B111" s="30"/>
      <c r="C111" s="29"/>
      <c r="D111" s="29"/>
      <c r="E111" s="31" t="str">
        <f aca="false">IF(D111="","",IFERROR(INDEX(Productos!$B$2:$B$23,MATCH(D111,Productos!$A$2:$A$23,0)),"Código no existe"))</f>
        <v/>
      </c>
      <c r="F111" s="29"/>
      <c r="G111" s="9"/>
      <c r="H111" s="32"/>
      <c r="I111" s="29"/>
      <c r="J111" s="33" t="n">
        <f aca="false">IF(OR(G111="",I111="Sí"),0,G111)</f>
        <v>0</v>
      </c>
      <c r="K111" s="34" t="n">
        <f aca="false">IF(OR(H111="",I111="Sí"),0,ROUND(H111/(1+Resumen!$B$9),0))</f>
        <v>0</v>
      </c>
    </row>
    <row r="112" customFormat="false" ht="15" hidden="false" customHeight="true" outlineLevel="0" collapsed="false">
      <c r="A112" s="29"/>
      <c r="B112" s="30"/>
      <c r="C112" s="29"/>
      <c r="D112" s="29"/>
      <c r="E112" s="31" t="str">
        <f aca="false">IF(D112="","",IFERROR(INDEX(Productos!$B$2:$B$23,MATCH(D112,Productos!$A$2:$A$23,0)),"Código no existe"))</f>
        <v/>
      </c>
      <c r="F112" s="29"/>
      <c r="G112" s="9"/>
      <c r="H112" s="32"/>
      <c r="I112" s="29"/>
      <c r="J112" s="33" t="n">
        <f aca="false">IF(OR(G112="",I112="Sí"),0,G112)</f>
        <v>0</v>
      </c>
      <c r="K112" s="34" t="n">
        <f aca="false">IF(OR(H112="",I112="Sí"),0,ROUND(H112/(1+Resumen!$B$9),0))</f>
        <v>0</v>
      </c>
    </row>
    <row r="113" customFormat="false" ht="15" hidden="false" customHeight="true" outlineLevel="0" collapsed="false">
      <c r="A113" s="29"/>
      <c r="B113" s="30"/>
      <c r="C113" s="29"/>
      <c r="D113" s="29"/>
      <c r="E113" s="31" t="str">
        <f aca="false">IF(D113="","",IFERROR(INDEX(Productos!$B$2:$B$23,MATCH(D113,Productos!$A$2:$A$23,0)),"Código no existe"))</f>
        <v/>
      </c>
      <c r="F113" s="29"/>
      <c r="G113" s="9"/>
      <c r="H113" s="32"/>
      <c r="I113" s="29"/>
      <c r="J113" s="33" t="n">
        <f aca="false">IF(OR(G113="",I113="Sí"),0,G113)</f>
        <v>0</v>
      </c>
      <c r="K113" s="34" t="n">
        <f aca="false">IF(OR(H113="",I113="Sí"),0,ROUND(H113/(1+Resumen!$B$9),0))</f>
        <v>0</v>
      </c>
    </row>
    <row r="114" customFormat="false" ht="15" hidden="false" customHeight="true" outlineLevel="0" collapsed="false">
      <c r="A114" s="29"/>
      <c r="B114" s="30"/>
      <c r="C114" s="29"/>
      <c r="D114" s="29"/>
      <c r="E114" s="31" t="str">
        <f aca="false">IF(D114="","",IFERROR(INDEX(Productos!$B$2:$B$23,MATCH(D114,Productos!$A$2:$A$23,0)),"Código no existe"))</f>
        <v/>
      </c>
      <c r="F114" s="29"/>
      <c r="G114" s="9"/>
      <c r="H114" s="32"/>
      <c r="I114" s="29"/>
      <c r="J114" s="33" t="n">
        <f aca="false">IF(OR(G114="",I114="Sí"),0,G114)</f>
        <v>0</v>
      </c>
      <c r="K114" s="34" t="n">
        <f aca="false">IF(OR(H114="",I114="Sí"),0,ROUND(H114/(1+Resumen!$B$9),0))</f>
        <v>0</v>
      </c>
    </row>
    <row r="115" customFormat="false" ht="15" hidden="false" customHeight="true" outlineLevel="0" collapsed="false">
      <c r="A115" s="29"/>
      <c r="B115" s="30"/>
      <c r="C115" s="29"/>
      <c r="D115" s="29"/>
      <c r="E115" s="31" t="str">
        <f aca="false">IF(D115="","",IFERROR(INDEX(Productos!$B$2:$B$23,MATCH(D115,Productos!$A$2:$A$23,0)),"Código no existe"))</f>
        <v/>
      </c>
      <c r="F115" s="29"/>
      <c r="G115" s="9"/>
      <c r="H115" s="32"/>
      <c r="I115" s="29"/>
      <c r="J115" s="33" t="n">
        <f aca="false">IF(OR(G115="",I115="Sí"),0,G115)</f>
        <v>0</v>
      </c>
      <c r="K115" s="34" t="n">
        <f aca="false">IF(OR(H115="",I115="Sí"),0,ROUND(H115/(1+Resumen!$B$9),0))</f>
        <v>0</v>
      </c>
    </row>
    <row r="116" customFormat="false" ht="15" hidden="false" customHeight="true" outlineLevel="0" collapsed="false">
      <c r="A116" s="29"/>
      <c r="B116" s="30"/>
      <c r="C116" s="29"/>
      <c r="D116" s="29"/>
      <c r="E116" s="31" t="str">
        <f aca="false">IF(D116="","",IFERROR(INDEX(Productos!$B$2:$B$23,MATCH(D116,Productos!$A$2:$A$23,0)),"Código no existe"))</f>
        <v/>
      </c>
      <c r="F116" s="29"/>
      <c r="G116" s="9"/>
      <c r="H116" s="32"/>
      <c r="I116" s="29"/>
      <c r="J116" s="33" t="n">
        <f aca="false">IF(OR(G116="",I116="Sí"),0,G116)</f>
        <v>0</v>
      </c>
      <c r="K116" s="34" t="n">
        <f aca="false">IF(OR(H116="",I116="Sí"),0,ROUND(H116/(1+Resumen!$B$9),0))</f>
        <v>0</v>
      </c>
    </row>
    <row r="117" customFormat="false" ht="15" hidden="false" customHeight="true" outlineLevel="0" collapsed="false">
      <c r="A117" s="29"/>
      <c r="B117" s="30"/>
      <c r="C117" s="29"/>
      <c r="D117" s="29"/>
      <c r="E117" s="31" t="str">
        <f aca="false">IF(D117="","",IFERROR(INDEX(Productos!$B$2:$B$23,MATCH(D117,Productos!$A$2:$A$23,0)),"Código no existe"))</f>
        <v/>
      </c>
      <c r="F117" s="29"/>
      <c r="G117" s="9"/>
      <c r="H117" s="32"/>
      <c r="I117" s="29"/>
      <c r="J117" s="33" t="n">
        <f aca="false">IF(OR(G117="",I117="Sí"),0,G117)</f>
        <v>0</v>
      </c>
      <c r="K117" s="34" t="n">
        <f aca="false">IF(OR(H117="",I117="Sí"),0,ROUND(H117/(1+Resumen!$B$9),0))</f>
        <v>0</v>
      </c>
    </row>
    <row r="118" customFormat="false" ht="15" hidden="false" customHeight="true" outlineLevel="0" collapsed="false">
      <c r="A118" s="29"/>
      <c r="B118" s="30"/>
      <c r="C118" s="29"/>
      <c r="D118" s="29"/>
      <c r="E118" s="31" t="str">
        <f aca="false">IF(D118="","",IFERROR(INDEX(Productos!$B$2:$B$23,MATCH(D118,Productos!$A$2:$A$23,0)),"Código no existe"))</f>
        <v/>
      </c>
      <c r="F118" s="29"/>
      <c r="G118" s="9"/>
      <c r="H118" s="32"/>
      <c r="I118" s="29"/>
      <c r="J118" s="33" t="n">
        <f aca="false">IF(OR(G118="",I118="Sí"),0,G118)</f>
        <v>0</v>
      </c>
      <c r="K118" s="34" t="n">
        <f aca="false">IF(OR(H118="",I118="Sí"),0,ROUND(H118/(1+Resumen!$B$9),0))</f>
        <v>0</v>
      </c>
    </row>
    <row r="119" customFormat="false" ht="15" hidden="false" customHeight="true" outlineLevel="0" collapsed="false">
      <c r="A119" s="29"/>
      <c r="B119" s="30"/>
      <c r="C119" s="29"/>
      <c r="D119" s="29"/>
      <c r="E119" s="31" t="str">
        <f aca="false">IF(D119="","",IFERROR(INDEX(Productos!$B$2:$B$23,MATCH(D119,Productos!$A$2:$A$23,0)),"Código no existe"))</f>
        <v/>
      </c>
      <c r="F119" s="29"/>
      <c r="G119" s="9"/>
      <c r="H119" s="32"/>
      <c r="I119" s="29"/>
      <c r="J119" s="33" t="n">
        <f aca="false">IF(OR(G119="",I119="Sí"),0,G119)</f>
        <v>0</v>
      </c>
      <c r="K119" s="34" t="n">
        <f aca="false">IF(OR(H119="",I119="Sí"),0,ROUND(H119/(1+Resumen!$B$9),0))</f>
        <v>0</v>
      </c>
    </row>
    <row r="120" customFormat="false" ht="15" hidden="false" customHeight="true" outlineLevel="0" collapsed="false">
      <c r="A120" s="29"/>
      <c r="B120" s="30"/>
      <c r="C120" s="29"/>
      <c r="D120" s="29"/>
      <c r="E120" s="31" t="str">
        <f aca="false">IF(D120="","",IFERROR(INDEX(Productos!$B$2:$B$23,MATCH(D120,Productos!$A$2:$A$23,0)),"Código no existe"))</f>
        <v/>
      </c>
      <c r="F120" s="29"/>
      <c r="G120" s="9"/>
      <c r="H120" s="32"/>
      <c r="I120" s="29"/>
      <c r="J120" s="33" t="n">
        <f aca="false">IF(OR(G120="",I120="Sí"),0,G120)</f>
        <v>0</v>
      </c>
      <c r="K120" s="34" t="n">
        <f aca="false">IF(OR(H120="",I120="Sí"),0,ROUND(H120/(1+Resumen!$B$9),0))</f>
        <v>0</v>
      </c>
    </row>
    <row r="121" customFormat="false" ht="15" hidden="false" customHeight="true" outlineLevel="0" collapsed="false">
      <c r="A121" s="29"/>
      <c r="B121" s="30"/>
      <c r="C121" s="29"/>
      <c r="D121" s="29"/>
      <c r="E121" s="31" t="str">
        <f aca="false">IF(D121="","",IFERROR(INDEX(Productos!$B$2:$B$23,MATCH(D121,Productos!$A$2:$A$23,0)),"Código no existe"))</f>
        <v/>
      </c>
      <c r="F121" s="29"/>
      <c r="G121" s="9"/>
      <c r="H121" s="32"/>
      <c r="I121" s="29"/>
      <c r="J121" s="33" t="n">
        <f aca="false">IF(OR(G121="",I121="Sí"),0,G121)</f>
        <v>0</v>
      </c>
      <c r="K121" s="34" t="n">
        <f aca="false">IF(OR(H121="",I121="Sí"),0,ROUND(H121/(1+Resumen!$B$9),0))</f>
        <v>0</v>
      </c>
    </row>
    <row r="122" customFormat="false" ht="15" hidden="false" customHeight="true" outlineLevel="0" collapsed="false">
      <c r="A122" s="29"/>
      <c r="B122" s="30"/>
      <c r="C122" s="29"/>
      <c r="D122" s="29"/>
      <c r="E122" s="31" t="str">
        <f aca="false">IF(D122="","",IFERROR(INDEX(Productos!$B$2:$B$23,MATCH(D122,Productos!$A$2:$A$23,0)),"Código no existe"))</f>
        <v/>
      </c>
      <c r="F122" s="29"/>
      <c r="G122" s="9"/>
      <c r="H122" s="32"/>
      <c r="I122" s="29"/>
      <c r="J122" s="33" t="n">
        <f aca="false">IF(OR(G122="",I122="Sí"),0,G122)</f>
        <v>0</v>
      </c>
      <c r="K122" s="34" t="n">
        <f aca="false">IF(OR(H122="",I122="Sí"),0,ROUND(H122/(1+Resumen!$B$9),0))</f>
        <v>0</v>
      </c>
    </row>
    <row r="123" customFormat="false" ht="15" hidden="false" customHeight="true" outlineLevel="0" collapsed="false">
      <c r="A123" s="29"/>
      <c r="B123" s="30"/>
      <c r="C123" s="29"/>
      <c r="D123" s="29"/>
      <c r="E123" s="31" t="str">
        <f aca="false">IF(D123="","",IFERROR(INDEX(Productos!$B$2:$B$23,MATCH(D123,Productos!$A$2:$A$23,0)),"Código no existe"))</f>
        <v/>
      </c>
      <c r="F123" s="29"/>
      <c r="G123" s="9"/>
      <c r="H123" s="32"/>
      <c r="I123" s="29"/>
      <c r="J123" s="33" t="n">
        <f aca="false">IF(OR(G123="",I123="Sí"),0,G123)</f>
        <v>0</v>
      </c>
      <c r="K123" s="34" t="n">
        <f aca="false">IF(OR(H123="",I123="Sí"),0,ROUND(H123/(1+Resumen!$B$9),0))</f>
        <v>0</v>
      </c>
    </row>
    <row r="124" customFormat="false" ht="15" hidden="false" customHeight="true" outlineLevel="0" collapsed="false">
      <c r="A124" s="29"/>
      <c r="B124" s="30"/>
      <c r="C124" s="29"/>
      <c r="D124" s="29"/>
      <c r="E124" s="31" t="str">
        <f aca="false">IF(D124="","",IFERROR(INDEX(Productos!$B$2:$B$23,MATCH(D124,Productos!$A$2:$A$23,0)),"Código no existe"))</f>
        <v/>
      </c>
      <c r="F124" s="29"/>
      <c r="G124" s="9"/>
      <c r="H124" s="32"/>
      <c r="I124" s="29"/>
      <c r="J124" s="33" t="n">
        <f aca="false">IF(OR(G124="",I124="Sí"),0,G124)</f>
        <v>0</v>
      </c>
      <c r="K124" s="34" t="n">
        <f aca="false">IF(OR(H124="",I124="Sí"),0,ROUND(H124/(1+Resumen!$B$9),0))</f>
        <v>0</v>
      </c>
    </row>
    <row r="125" customFormat="false" ht="15" hidden="false" customHeight="true" outlineLevel="0" collapsed="false">
      <c r="A125" s="29"/>
      <c r="B125" s="30"/>
      <c r="C125" s="29"/>
      <c r="D125" s="29"/>
      <c r="E125" s="31" t="str">
        <f aca="false">IF(D125="","",IFERROR(INDEX(Productos!$B$2:$B$23,MATCH(D125,Productos!$A$2:$A$23,0)),"Código no existe"))</f>
        <v/>
      </c>
      <c r="F125" s="29"/>
      <c r="G125" s="9"/>
      <c r="H125" s="32"/>
      <c r="I125" s="29"/>
      <c r="J125" s="33" t="n">
        <f aca="false">IF(OR(G125="",I125="Sí"),0,G125)</f>
        <v>0</v>
      </c>
      <c r="K125" s="34" t="n">
        <f aca="false">IF(OR(H125="",I125="Sí"),0,ROUND(H125/(1+Resumen!$B$9),0))</f>
        <v>0</v>
      </c>
    </row>
    <row r="126" customFormat="false" ht="15" hidden="false" customHeight="true" outlineLevel="0" collapsed="false">
      <c r="A126" s="29"/>
      <c r="B126" s="30"/>
      <c r="C126" s="29"/>
      <c r="D126" s="29"/>
      <c r="E126" s="31" t="str">
        <f aca="false">IF(D126="","",IFERROR(INDEX(Productos!$B$2:$B$23,MATCH(D126,Productos!$A$2:$A$23,0)),"Código no existe"))</f>
        <v/>
      </c>
      <c r="F126" s="29"/>
      <c r="G126" s="9"/>
      <c r="H126" s="32"/>
      <c r="I126" s="29"/>
      <c r="J126" s="33" t="n">
        <f aca="false">IF(OR(G126="",I126="Sí"),0,G126)</f>
        <v>0</v>
      </c>
      <c r="K126" s="34" t="n">
        <f aca="false">IF(OR(H126="",I126="Sí"),0,ROUND(H126/(1+Resumen!$B$9),0))</f>
        <v>0</v>
      </c>
    </row>
    <row r="127" customFormat="false" ht="15" hidden="false" customHeight="true" outlineLevel="0" collapsed="false">
      <c r="A127" s="29"/>
      <c r="B127" s="30"/>
      <c r="C127" s="29"/>
      <c r="D127" s="29"/>
      <c r="E127" s="31" t="str">
        <f aca="false">IF(D127="","",IFERROR(INDEX(Productos!$B$2:$B$23,MATCH(D127,Productos!$A$2:$A$23,0)),"Código no existe"))</f>
        <v/>
      </c>
      <c r="F127" s="29"/>
      <c r="G127" s="9"/>
      <c r="H127" s="32"/>
      <c r="I127" s="29"/>
      <c r="J127" s="33" t="n">
        <f aca="false">IF(OR(G127="",I127="Sí"),0,G127)</f>
        <v>0</v>
      </c>
      <c r="K127" s="34" t="n">
        <f aca="false">IF(OR(H127="",I127="Sí"),0,ROUND(H127/(1+Resumen!$B$9),0))</f>
        <v>0</v>
      </c>
    </row>
    <row r="128" customFormat="false" ht="15" hidden="false" customHeight="true" outlineLevel="0" collapsed="false">
      <c r="A128" s="29"/>
      <c r="B128" s="30"/>
      <c r="C128" s="29"/>
      <c r="D128" s="29"/>
      <c r="E128" s="31" t="str">
        <f aca="false">IF(D128="","",IFERROR(INDEX(Productos!$B$2:$B$23,MATCH(D128,Productos!$A$2:$A$23,0)),"Código no existe"))</f>
        <v/>
      </c>
      <c r="F128" s="29"/>
      <c r="G128" s="9"/>
      <c r="H128" s="32"/>
      <c r="I128" s="29"/>
      <c r="J128" s="33" t="n">
        <f aca="false">IF(OR(G128="",I128="Sí"),0,G128)</f>
        <v>0</v>
      </c>
      <c r="K128" s="34" t="n">
        <f aca="false">IF(OR(H128="",I128="Sí"),0,ROUND(H128/(1+Resumen!$B$9),0))</f>
        <v>0</v>
      </c>
    </row>
    <row r="129" customFormat="false" ht="15" hidden="false" customHeight="true" outlineLevel="0" collapsed="false">
      <c r="A129" s="29"/>
      <c r="B129" s="30"/>
      <c r="C129" s="29"/>
      <c r="D129" s="29"/>
      <c r="E129" s="31" t="str">
        <f aca="false">IF(D129="","",IFERROR(INDEX(Productos!$B$2:$B$23,MATCH(D129,Productos!$A$2:$A$23,0)),"Código no existe"))</f>
        <v/>
      </c>
      <c r="F129" s="29"/>
      <c r="G129" s="9"/>
      <c r="H129" s="32"/>
      <c r="I129" s="29"/>
      <c r="J129" s="33" t="n">
        <f aca="false">IF(OR(G129="",I129="Sí"),0,G129)</f>
        <v>0</v>
      </c>
      <c r="K129" s="34" t="n">
        <f aca="false">IF(OR(H129="",I129="Sí"),0,ROUND(H129/(1+Resumen!$B$9),0))</f>
        <v>0</v>
      </c>
    </row>
    <row r="130" customFormat="false" ht="15" hidden="false" customHeight="true" outlineLevel="0" collapsed="false">
      <c r="A130" s="29"/>
      <c r="B130" s="30"/>
      <c r="C130" s="29"/>
      <c r="D130" s="29"/>
      <c r="E130" s="31" t="str">
        <f aca="false">IF(D130="","",IFERROR(INDEX(Productos!$B$2:$B$23,MATCH(D130,Productos!$A$2:$A$23,0)),"Código no existe"))</f>
        <v/>
      </c>
      <c r="F130" s="29"/>
      <c r="G130" s="9"/>
      <c r="H130" s="32"/>
      <c r="I130" s="29"/>
      <c r="J130" s="33" t="n">
        <f aca="false">IF(OR(G130="",I130="Sí"),0,G130)</f>
        <v>0</v>
      </c>
      <c r="K130" s="34" t="n">
        <f aca="false">IF(OR(H130="",I130="Sí"),0,ROUND(H130/(1+Resumen!$B$9),0))</f>
        <v>0</v>
      </c>
    </row>
    <row r="131" customFormat="false" ht="15" hidden="false" customHeight="true" outlineLevel="0" collapsed="false">
      <c r="A131" s="29"/>
      <c r="B131" s="30"/>
      <c r="C131" s="29"/>
      <c r="D131" s="29"/>
      <c r="E131" s="31" t="str">
        <f aca="false">IF(D131="","",IFERROR(INDEX(Productos!$B$2:$B$23,MATCH(D131,Productos!$A$2:$A$23,0)),"Código no existe"))</f>
        <v/>
      </c>
      <c r="F131" s="29"/>
      <c r="G131" s="9"/>
      <c r="H131" s="32"/>
      <c r="I131" s="29"/>
      <c r="J131" s="33" t="n">
        <f aca="false">IF(OR(G131="",I131="Sí"),0,G131)</f>
        <v>0</v>
      </c>
      <c r="K131" s="34" t="n">
        <f aca="false">IF(OR(H131="",I131="Sí"),0,ROUND(H131/(1+Resumen!$B$9),0))</f>
        <v>0</v>
      </c>
    </row>
    <row r="132" customFormat="false" ht="15" hidden="false" customHeight="true" outlineLevel="0" collapsed="false">
      <c r="A132" s="29"/>
      <c r="B132" s="30"/>
      <c r="C132" s="29"/>
      <c r="D132" s="29"/>
      <c r="E132" s="31" t="str">
        <f aca="false">IF(D132="","",IFERROR(INDEX(Productos!$B$2:$B$23,MATCH(D132,Productos!$A$2:$A$23,0)),"Código no existe"))</f>
        <v/>
      </c>
      <c r="F132" s="29"/>
      <c r="G132" s="9"/>
      <c r="H132" s="32"/>
      <c r="I132" s="29"/>
      <c r="J132" s="33" t="n">
        <f aca="false">IF(OR(G132="",I132="Sí"),0,G132)</f>
        <v>0</v>
      </c>
      <c r="K132" s="34" t="n">
        <f aca="false">IF(OR(H132="",I132="Sí"),0,ROUND(H132/(1+Resumen!$B$9),0))</f>
        <v>0</v>
      </c>
    </row>
    <row r="133" customFormat="false" ht="15" hidden="false" customHeight="true" outlineLevel="0" collapsed="false">
      <c r="A133" s="29"/>
      <c r="B133" s="30"/>
      <c r="C133" s="29"/>
      <c r="D133" s="29"/>
      <c r="E133" s="31" t="str">
        <f aca="false">IF(D133="","",IFERROR(INDEX(Productos!$B$2:$B$23,MATCH(D133,Productos!$A$2:$A$23,0)),"Código no existe"))</f>
        <v/>
      </c>
      <c r="F133" s="29"/>
      <c r="G133" s="9"/>
      <c r="H133" s="32"/>
      <c r="I133" s="29"/>
      <c r="J133" s="33" t="n">
        <f aca="false">IF(OR(G133="",I133="Sí"),0,G133)</f>
        <v>0</v>
      </c>
      <c r="K133" s="34" t="n">
        <f aca="false">IF(OR(H133="",I133="Sí"),0,ROUND(H133/(1+Resumen!$B$9),0))</f>
        <v>0</v>
      </c>
    </row>
    <row r="134" customFormat="false" ht="15" hidden="false" customHeight="true" outlineLevel="0" collapsed="false">
      <c r="A134" s="29"/>
      <c r="B134" s="30"/>
      <c r="C134" s="29"/>
      <c r="D134" s="29"/>
      <c r="E134" s="31" t="str">
        <f aca="false">IF(D134="","",IFERROR(INDEX(Productos!$B$2:$B$23,MATCH(D134,Productos!$A$2:$A$23,0)),"Código no existe"))</f>
        <v/>
      </c>
      <c r="F134" s="29"/>
      <c r="G134" s="9"/>
      <c r="H134" s="32"/>
      <c r="I134" s="29"/>
      <c r="J134" s="33" t="n">
        <f aca="false">IF(OR(G134="",I134="Sí"),0,G134)</f>
        <v>0</v>
      </c>
      <c r="K134" s="34" t="n">
        <f aca="false">IF(OR(H134="",I134="Sí"),0,ROUND(H134/(1+Resumen!$B$9),0))</f>
        <v>0</v>
      </c>
    </row>
    <row r="135" customFormat="false" ht="15" hidden="false" customHeight="true" outlineLevel="0" collapsed="false">
      <c r="A135" s="29"/>
      <c r="B135" s="30"/>
      <c r="C135" s="29"/>
      <c r="D135" s="29"/>
      <c r="E135" s="31" t="str">
        <f aca="false">IF(D135="","",IFERROR(INDEX(Productos!$B$2:$B$23,MATCH(D135,Productos!$A$2:$A$23,0)),"Código no existe"))</f>
        <v/>
      </c>
      <c r="F135" s="29"/>
      <c r="G135" s="9"/>
      <c r="H135" s="32"/>
      <c r="I135" s="29"/>
      <c r="J135" s="33" t="n">
        <f aca="false">IF(OR(G135="",I135="Sí"),0,G135)</f>
        <v>0</v>
      </c>
      <c r="K135" s="34" t="n">
        <f aca="false">IF(OR(H135="",I135="Sí"),0,ROUND(H135/(1+Resumen!$B$9),0))</f>
        <v>0</v>
      </c>
    </row>
    <row r="136" customFormat="false" ht="15" hidden="false" customHeight="true" outlineLevel="0" collapsed="false">
      <c r="A136" s="29"/>
      <c r="B136" s="30"/>
      <c r="C136" s="29"/>
      <c r="D136" s="29"/>
      <c r="E136" s="31" t="str">
        <f aca="false">IF(D136="","",IFERROR(INDEX(Productos!$B$2:$B$23,MATCH(D136,Productos!$A$2:$A$23,0)),"Código no existe"))</f>
        <v/>
      </c>
      <c r="F136" s="29"/>
      <c r="G136" s="9"/>
      <c r="H136" s="32"/>
      <c r="I136" s="29"/>
      <c r="J136" s="33" t="n">
        <f aca="false">IF(OR(G136="",I136="Sí"),0,G136)</f>
        <v>0</v>
      </c>
      <c r="K136" s="34" t="n">
        <f aca="false">IF(OR(H136="",I136="Sí"),0,ROUND(H136/(1+Resumen!$B$9),0))</f>
        <v>0</v>
      </c>
    </row>
    <row r="137" customFormat="false" ht="15" hidden="false" customHeight="true" outlineLevel="0" collapsed="false">
      <c r="A137" s="29"/>
      <c r="B137" s="30"/>
      <c r="C137" s="29"/>
      <c r="D137" s="29"/>
      <c r="E137" s="31" t="str">
        <f aca="false">IF(D137="","",IFERROR(INDEX(Productos!$B$2:$B$23,MATCH(D137,Productos!$A$2:$A$23,0)),"Código no existe"))</f>
        <v/>
      </c>
      <c r="F137" s="29"/>
      <c r="G137" s="9"/>
      <c r="H137" s="32"/>
      <c r="I137" s="29"/>
      <c r="J137" s="33" t="n">
        <f aca="false">IF(OR(G137="",I137="Sí"),0,G137)</f>
        <v>0</v>
      </c>
      <c r="K137" s="34" t="n">
        <f aca="false">IF(OR(H137="",I137="Sí"),0,ROUND(H137/(1+Resumen!$B$9),0))</f>
        <v>0</v>
      </c>
    </row>
    <row r="138" customFormat="false" ht="15" hidden="false" customHeight="true" outlineLevel="0" collapsed="false">
      <c r="A138" s="29"/>
      <c r="B138" s="30"/>
      <c r="C138" s="29"/>
      <c r="D138" s="29"/>
      <c r="E138" s="31" t="str">
        <f aca="false">IF(D138="","",IFERROR(INDEX(Productos!$B$2:$B$23,MATCH(D138,Productos!$A$2:$A$23,0)),"Código no existe"))</f>
        <v/>
      </c>
      <c r="F138" s="29"/>
      <c r="G138" s="9"/>
      <c r="H138" s="32"/>
      <c r="I138" s="29"/>
      <c r="J138" s="33" t="n">
        <f aca="false">IF(OR(G138="",I138="Sí"),0,G138)</f>
        <v>0</v>
      </c>
      <c r="K138" s="34" t="n">
        <f aca="false">IF(OR(H138="",I138="Sí"),0,ROUND(H138/(1+Resumen!$B$9),0))</f>
        <v>0</v>
      </c>
    </row>
    <row r="139" customFormat="false" ht="15" hidden="false" customHeight="true" outlineLevel="0" collapsed="false">
      <c r="A139" s="29"/>
      <c r="B139" s="30"/>
      <c r="C139" s="29"/>
      <c r="D139" s="29"/>
      <c r="E139" s="31" t="str">
        <f aca="false">IF(D139="","",IFERROR(INDEX(Productos!$B$2:$B$23,MATCH(D139,Productos!$A$2:$A$23,0)),"Código no existe"))</f>
        <v/>
      </c>
      <c r="F139" s="29"/>
      <c r="G139" s="9"/>
      <c r="H139" s="32"/>
      <c r="I139" s="29"/>
      <c r="J139" s="33" t="n">
        <f aca="false">IF(OR(G139="",I139="Sí"),0,G139)</f>
        <v>0</v>
      </c>
      <c r="K139" s="34" t="n">
        <f aca="false">IF(OR(H139="",I139="Sí"),0,ROUND(H139/(1+Resumen!$B$9),0))</f>
        <v>0</v>
      </c>
    </row>
    <row r="140" customFormat="false" ht="15" hidden="false" customHeight="true" outlineLevel="0" collapsed="false">
      <c r="A140" s="29"/>
      <c r="B140" s="30"/>
      <c r="C140" s="29"/>
      <c r="D140" s="29"/>
      <c r="E140" s="31" t="str">
        <f aca="false">IF(D140="","",IFERROR(INDEX(Productos!$B$2:$B$23,MATCH(D140,Productos!$A$2:$A$23,0)),"Código no existe"))</f>
        <v/>
      </c>
      <c r="F140" s="29"/>
      <c r="G140" s="9"/>
      <c r="H140" s="32"/>
      <c r="I140" s="29"/>
      <c r="J140" s="33" t="n">
        <f aca="false">IF(OR(G140="",I140="Sí"),0,G140)</f>
        <v>0</v>
      </c>
      <c r="K140" s="34" t="n">
        <f aca="false">IF(OR(H140="",I140="Sí"),0,ROUND(H140/(1+Resumen!$B$9),0))</f>
        <v>0</v>
      </c>
    </row>
    <row r="141" customFormat="false" ht="15" hidden="false" customHeight="true" outlineLevel="0" collapsed="false">
      <c r="A141" s="29"/>
      <c r="B141" s="30"/>
      <c r="C141" s="29"/>
      <c r="D141" s="29"/>
      <c r="E141" s="31" t="str">
        <f aca="false">IF(D141="","",IFERROR(INDEX(Productos!$B$2:$B$23,MATCH(D141,Productos!$A$2:$A$23,0)),"Código no existe"))</f>
        <v/>
      </c>
      <c r="F141" s="29"/>
      <c r="G141" s="9"/>
      <c r="H141" s="32"/>
      <c r="I141" s="29"/>
      <c r="J141" s="33" t="n">
        <f aca="false">IF(OR(G141="",I141="Sí"),0,G141)</f>
        <v>0</v>
      </c>
      <c r="K141" s="34" t="n">
        <f aca="false">IF(OR(H141="",I141="Sí"),0,ROUND(H141/(1+Resumen!$B$9),0))</f>
        <v>0</v>
      </c>
    </row>
    <row r="142" customFormat="false" ht="15" hidden="false" customHeight="true" outlineLevel="0" collapsed="false">
      <c r="A142" s="29"/>
      <c r="B142" s="30"/>
      <c r="C142" s="29"/>
      <c r="D142" s="29"/>
      <c r="E142" s="31" t="str">
        <f aca="false">IF(D142="","",IFERROR(INDEX(Productos!$B$2:$B$23,MATCH(D142,Productos!$A$2:$A$23,0)),"Código no existe"))</f>
        <v/>
      </c>
      <c r="F142" s="29"/>
      <c r="G142" s="9"/>
      <c r="H142" s="32"/>
      <c r="I142" s="29"/>
      <c r="J142" s="33" t="n">
        <f aca="false">IF(OR(G142="",I142="Sí"),0,G142)</f>
        <v>0</v>
      </c>
      <c r="K142" s="34" t="n">
        <f aca="false">IF(OR(H142="",I142="Sí"),0,ROUND(H142/(1+Resumen!$B$9),0))</f>
        <v>0</v>
      </c>
    </row>
    <row r="143" customFormat="false" ht="15" hidden="false" customHeight="true" outlineLevel="0" collapsed="false">
      <c r="A143" s="29"/>
      <c r="B143" s="30"/>
      <c r="C143" s="29"/>
      <c r="D143" s="29"/>
      <c r="E143" s="31" t="str">
        <f aca="false">IF(D143="","",IFERROR(INDEX(Productos!$B$2:$B$23,MATCH(D143,Productos!$A$2:$A$23,0)),"Código no existe"))</f>
        <v/>
      </c>
      <c r="F143" s="29"/>
      <c r="G143" s="9"/>
      <c r="H143" s="32"/>
      <c r="I143" s="29"/>
      <c r="J143" s="33" t="n">
        <f aca="false">IF(OR(G143="",I143="Sí"),0,G143)</f>
        <v>0</v>
      </c>
      <c r="K143" s="34" t="n">
        <f aca="false">IF(OR(H143="",I143="Sí"),0,ROUND(H143/(1+Resumen!$B$9),0))</f>
        <v>0</v>
      </c>
    </row>
    <row r="144" customFormat="false" ht="15" hidden="false" customHeight="true" outlineLevel="0" collapsed="false">
      <c r="A144" s="29"/>
      <c r="B144" s="30"/>
      <c r="C144" s="29"/>
      <c r="D144" s="29"/>
      <c r="E144" s="31" t="str">
        <f aca="false">IF(D144="","",IFERROR(INDEX(Productos!$B$2:$B$23,MATCH(D144,Productos!$A$2:$A$23,0)),"Código no existe"))</f>
        <v/>
      </c>
      <c r="F144" s="29"/>
      <c r="G144" s="9"/>
      <c r="H144" s="32"/>
      <c r="I144" s="29"/>
      <c r="J144" s="33" t="n">
        <f aca="false">IF(OR(G144="",I144="Sí"),0,G144)</f>
        <v>0</v>
      </c>
      <c r="K144" s="34" t="n">
        <f aca="false">IF(OR(H144="",I144="Sí"),0,ROUND(H144/(1+Resumen!$B$9),0))</f>
        <v>0</v>
      </c>
    </row>
    <row r="145" customFormat="false" ht="15" hidden="false" customHeight="true" outlineLevel="0" collapsed="false">
      <c r="A145" s="29"/>
      <c r="B145" s="30"/>
      <c r="C145" s="29"/>
      <c r="D145" s="29"/>
      <c r="E145" s="31" t="str">
        <f aca="false">IF(D145="","",IFERROR(INDEX(Productos!$B$2:$B$23,MATCH(D145,Productos!$A$2:$A$23,0)),"Código no existe"))</f>
        <v/>
      </c>
      <c r="F145" s="29"/>
      <c r="G145" s="9"/>
      <c r="H145" s="32"/>
      <c r="I145" s="29"/>
      <c r="J145" s="33" t="n">
        <f aca="false">IF(OR(G145="",I145="Sí"),0,G145)</f>
        <v>0</v>
      </c>
      <c r="K145" s="34" t="n">
        <f aca="false">IF(OR(H145="",I145="Sí"),0,ROUND(H145/(1+Resumen!$B$9),0))</f>
        <v>0</v>
      </c>
    </row>
    <row r="146" customFormat="false" ht="15" hidden="false" customHeight="true" outlineLevel="0" collapsed="false">
      <c r="A146" s="29"/>
      <c r="B146" s="30"/>
      <c r="C146" s="29"/>
      <c r="D146" s="29"/>
      <c r="E146" s="31" t="str">
        <f aca="false">IF(D146="","",IFERROR(INDEX(Productos!$B$2:$B$23,MATCH(D146,Productos!$A$2:$A$23,0)),"Código no existe"))</f>
        <v/>
      </c>
      <c r="F146" s="29"/>
      <c r="G146" s="9"/>
      <c r="H146" s="32"/>
      <c r="I146" s="29"/>
      <c r="J146" s="33" t="n">
        <f aca="false">IF(OR(G146="",I146="Sí"),0,G146)</f>
        <v>0</v>
      </c>
      <c r="K146" s="34" t="n">
        <f aca="false">IF(OR(H146="",I146="Sí"),0,ROUND(H146/(1+Resumen!$B$9),0))</f>
        <v>0</v>
      </c>
    </row>
    <row r="147" customFormat="false" ht="15" hidden="false" customHeight="true" outlineLevel="0" collapsed="false">
      <c r="A147" s="29"/>
      <c r="B147" s="30"/>
      <c r="C147" s="29"/>
      <c r="D147" s="29"/>
      <c r="E147" s="31" t="str">
        <f aca="false">IF(D147="","",IFERROR(INDEX(Productos!$B$2:$B$23,MATCH(D147,Productos!$A$2:$A$23,0)),"Código no existe"))</f>
        <v/>
      </c>
      <c r="F147" s="29"/>
      <c r="G147" s="9"/>
      <c r="H147" s="32"/>
      <c r="I147" s="29"/>
      <c r="J147" s="33" t="n">
        <f aca="false">IF(OR(G147="",I147="Sí"),0,G147)</f>
        <v>0</v>
      </c>
      <c r="K147" s="34" t="n">
        <f aca="false">IF(OR(H147="",I147="Sí"),0,ROUND(H147/(1+Resumen!$B$9),0))</f>
        <v>0</v>
      </c>
    </row>
    <row r="148" customFormat="false" ht="15" hidden="false" customHeight="true" outlineLevel="0" collapsed="false">
      <c r="A148" s="29"/>
      <c r="B148" s="30"/>
      <c r="C148" s="29"/>
      <c r="D148" s="29"/>
      <c r="E148" s="31" t="str">
        <f aca="false">IF(D148="","",IFERROR(INDEX(Productos!$B$2:$B$23,MATCH(D148,Productos!$A$2:$A$23,0)),"Código no existe"))</f>
        <v/>
      </c>
      <c r="F148" s="29"/>
      <c r="G148" s="9"/>
      <c r="H148" s="32"/>
      <c r="I148" s="29"/>
      <c r="J148" s="33" t="n">
        <f aca="false">IF(OR(G148="",I148="Sí"),0,G148)</f>
        <v>0</v>
      </c>
      <c r="K148" s="34" t="n">
        <f aca="false">IF(OR(H148="",I148="Sí"),0,ROUND(H148/(1+Resumen!$B$9),0))</f>
        <v>0</v>
      </c>
    </row>
    <row r="149" customFormat="false" ht="15" hidden="false" customHeight="true" outlineLevel="0" collapsed="false">
      <c r="A149" s="29"/>
      <c r="B149" s="30"/>
      <c r="C149" s="29"/>
      <c r="D149" s="29"/>
      <c r="E149" s="31" t="str">
        <f aca="false">IF(D149="","",IFERROR(INDEX(Productos!$B$2:$B$23,MATCH(D149,Productos!$A$2:$A$23,0)),"Código no existe"))</f>
        <v/>
      </c>
      <c r="F149" s="29"/>
      <c r="G149" s="9"/>
      <c r="H149" s="32"/>
      <c r="I149" s="29"/>
      <c r="J149" s="33" t="n">
        <f aca="false">IF(OR(G149="",I149="Sí"),0,G149)</f>
        <v>0</v>
      </c>
      <c r="K149" s="34" t="n">
        <f aca="false">IF(OR(H149="",I149="Sí"),0,ROUND(H149/(1+Resumen!$B$9),0))</f>
        <v>0</v>
      </c>
    </row>
    <row r="150" customFormat="false" ht="15" hidden="false" customHeight="true" outlineLevel="0" collapsed="false">
      <c r="A150" s="29"/>
      <c r="B150" s="30"/>
      <c r="C150" s="29"/>
      <c r="D150" s="29"/>
      <c r="E150" s="31" t="str">
        <f aca="false">IF(D150="","",IFERROR(INDEX(Productos!$B$2:$B$23,MATCH(D150,Productos!$A$2:$A$23,0)),"Código no existe"))</f>
        <v/>
      </c>
      <c r="F150" s="29"/>
      <c r="G150" s="9"/>
      <c r="H150" s="32"/>
      <c r="I150" s="29"/>
      <c r="J150" s="33" t="n">
        <f aca="false">IF(OR(G150="",I150="Sí"),0,G150)</f>
        <v>0</v>
      </c>
      <c r="K150" s="34" t="n">
        <f aca="false">IF(OR(H150="",I150="Sí"),0,ROUND(H150/(1+Resumen!$B$9),0))</f>
        <v>0</v>
      </c>
    </row>
    <row r="151" customFormat="false" ht="15" hidden="false" customHeight="true" outlineLevel="0" collapsed="false">
      <c r="A151" s="29"/>
      <c r="B151" s="30"/>
      <c r="C151" s="29"/>
      <c r="D151" s="29"/>
      <c r="E151" s="31" t="str">
        <f aca="false">IF(D151="","",IFERROR(INDEX(Productos!$B$2:$B$23,MATCH(D151,Productos!$A$2:$A$23,0)),"Código no existe"))</f>
        <v/>
      </c>
      <c r="F151" s="29"/>
      <c r="G151" s="9"/>
      <c r="H151" s="32"/>
      <c r="I151" s="29"/>
      <c r="J151" s="33" t="n">
        <f aca="false">IF(OR(G151="",I151="Sí"),0,G151)</f>
        <v>0</v>
      </c>
      <c r="K151" s="34" t="n">
        <f aca="false">IF(OR(H151="",I151="Sí"),0,ROUND(H151/(1+Resumen!$B$9),0))</f>
        <v>0</v>
      </c>
    </row>
    <row r="152" customFormat="false" ht="15" hidden="false" customHeight="true" outlineLevel="0" collapsed="false">
      <c r="A152" s="29"/>
      <c r="B152" s="30"/>
      <c r="C152" s="29"/>
      <c r="D152" s="29"/>
      <c r="E152" s="31" t="str">
        <f aca="false">IF(D152="","",IFERROR(INDEX(Productos!$B$2:$B$23,MATCH(D152,Productos!$A$2:$A$23,0)),"Código no existe"))</f>
        <v/>
      </c>
      <c r="F152" s="29"/>
      <c r="G152" s="9"/>
      <c r="H152" s="32"/>
      <c r="I152" s="29"/>
      <c r="J152" s="33" t="n">
        <f aca="false">IF(OR(G152="",I152="Sí"),0,G152)</f>
        <v>0</v>
      </c>
      <c r="K152" s="34" t="n">
        <f aca="false">IF(OR(H152="",I152="Sí"),0,ROUND(H152/(1+Resumen!$B$9),0))</f>
        <v>0</v>
      </c>
    </row>
    <row r="153" customFormat="false" ht="15" hidden="false" customHeight="true" outlineLevel="0" collapsed="false">
      <c r="A153" s="29"/>
      <c r="B153" s="30"/>
      <c r="C153" s="29"/>
      <c r="D153" s="29"/>
      <c r="E153" s="31" t="str">
        <f aca="false">IF(D153="","",IFERROR(INDEX(Productos!$B$2:$B$23,MATCH(D153,Productos!$A$2:$A$23,0)),"Código no existe"))</f>
        <v/>
      </c>
      <c r="F153" s="29"/>
      <c r="G153" s="9"/>
      <c r="H153" s="32"/>
      <c r="I153" s="29"/>
      <c r="J153" s="33" t="n">
        <f aca="false">IF(OR(G153="",I153="Sí"),0,G153)</f>
        <v>0</v>
      </c>
      <c r="K153" s="34" t="n">
        <f aca="false">IF(OR(H153="",I153="Sí"),0,ROUND(H153/(1+Resumen!$B$9),0))</f>
        <v>0</v>
      </c>
    </row>
    <row r="154" customFormat="false" ht="15" hidden="false" customHeight="true" outlineLevel="0" collapsed="false">
      <c r="A154" s="29"/>
      <c r="B154" s="30"/>
      <c r="C154" s="29"/>
      <c r="D154" s="29"/>
      <c r="E154" s="31" t="str">
        <f aca="false">IF(D154="","",IFERROR(INDEX(Productos!$B$2:$B$23,MATCH(D154,Productos!$A$2:$A$23,0)),"Código no existe"))</f>
        <v/>
      </c>
      <c r="F154" s="29"/>
      <c r="G154" s="9"/>
      <c r="H154" s="32"/>
      <c r="I154" s="29"/>
      <c r="J154" s="33" t="n">
        <f aca="false">IF(OR(G154="",I154="Sí"),0,G154)</f>
        <v>0</v>
      </c>
      <c r="K154" s="34" t="n">
        <f aca="false">IF(OR(H154="",I154="Sí"),0,ROUND(H154/(1+Resumen!$B$9),0))</f>
        <v>0</v>
      </c>
    </row>
    <row r="155" customFormat="false" ht="15" hidden="false" customHeight="true" outlineLevel="0" collapsed="false">
      <c r="A155" s="29"/>
      <c r="B155" s="30"/>
      <c r="C155" s="29"/>
      <c r="D155" s="29"/>
      <c r="E155" s="31" t="str">
        <f aca="false">IF(D155="","",IFERROR(INDEX(Productos!$B$2:$B$23,MATCH(D155,Productos!$A$2:$A$23,0)),"Código no existe"))</f>
        <v/>
      </c>
      <c r="F155" s="29"/>
      <c r="G155" s="9"/>
      <c r="H155" s="32"/>
      <c r="I155" s="29"/>
      <c r="J155" s="33" t="n">
        <f aca="false">IF(OR(G155="",I155="Sí"),0,G155)</f>
        <v>0</v>
      </c>
      <c r="K155" s="34" t="n">
        <f aca="false">IF(OR(H155="",I155="Sí"),0,ROUND(H155/(1+Resumen!$B$9),0))</f>
        <v>0</v>
      </c>
    </row>
    <row r="156" customFormat="false" ht="15" hidden="false" customHeight="true" outlineLevel="0" collapsed="false">
      <c r="A156" s="29"/>
      <c r="B156" s="30"/>
      <c r="C156" s="29"/>
      <c r="D156" s="29"/>
      <c r="E156" s="31" t="str">
        <f aca="false">IF(D156="","",IFERROR(INDEX(Productos!$B$2:$B$23,MATCH(D156,Productos!$A$2:$A$23,0)),"Código no existe"))</f>
        <v/>
      </c>
      <c r="F156" s="29"/>
      <c r="G156" s="9"/>
      <c r="H156" s="32"/>
      <c r="I156" s="29"/>
      <c r="J156" s="33" t="n">
        <f aca="false">IF(OR(G156="",I156="Sí"),0,G156)</f>
        <v>0</v>
      </c>
      <c r="K156" s="34" t="n">
        <f aca="false">IF(OR(H156="",I156="Sí"),0,ROUND(H156/(1+Resumen!$B$9),0))</f>
        <v>0</v>
      </c>
    </row>
    <row r="157" customFormat="false" ht="15" hidden="false" customHeight="true" outlineLevel="0" collapsed="false">
      <c r="A157" s="29"/>
      <c r="B157" s="30"/>
      <c r="C157" s="29"/>
      <c r="D157" s="29"/>
      <c r="E157" s="31" t="str">
        <f aca="false">IF(D157="","",IFERROR(INDEX(Productos!$B$2:$B$23,MATCH(D157,Productos!$A$2:$A$23,0)),"Código no existe"))</f>
        <v/>
      </c>
      <c r="F157" s="29"/>
      <c r="G157" s="9"/>
      <c r="H157" s="32"/>
      <c r="I157" s="29"/>
      <c r="J157" s="33" t="n">
        <f aca="false">IF(OR(G157="",I157="Sí"),0,G157)</f>
        <v>0</v>
      </c>
      <c r="K157" s="34" t="n">
        <f aca="false">IF(OR(H157="",I157="Sí"),0,ROUND(H157/(1+Resumen!$B$9),0))</f>
        <v>0</v>
      </c>
    </row>
    <row r="158" customFormat="false" ht="15" hidden="false" customHeight="true" outlineLevel="0" collapsed="false">
      <c r="A158" s="29"/>
      <c r="B158" s="30"/>
      <c r="C158" s="29"/>
      <c r="D158" s="29"/>
      <c r="E158" s="31" t="str">
        <f aca="false">IF(D158="","",IFERROR(INDEX(Productos!$B$2:$B$23,MATCH(D158,Productos!$A$2:$A$23,0)),"Código no existe"))</f>
        <v/>
      </c>
      <c r="F158" s="29"/>
      <c r="G158" s="9"/>
      <c r="H158" s="32"/>
      <c r="I158" s="29"/>
      <c r="J158" s="33" t="n">
        <f aca="false">IF(OR(G158="",I158="Sí"),0,G158)</f>
        <v>0</v>
      </c>
      <c r="K158" s="34" t="n">
        <f aca="false">IF(OR(H158="",I158="Sí"),0,ROUND(H158/(1+Resumen!$B$9),0))</f>
        <v>0</v>
      </c>
    </row>
    <row r="159" customFormat="false" ht="15" hidden="false" customHeight="true" outlineLevel="0" collapsed="false">
      <c r="A159" s="29"/>
      <c r="B159" s="30"/>
      <c r="C159" s="29"/>
      <c r="D159" s="29"/>
      <c r="E159" s="31" t="str">
        <f aca="false">IF(D159="","",IFERROR(INDEX(Productos!$B$2:$B$23,MATCH(D159,Productos!$A$2:$A$23,0)),"Código no existe"))</f>
        <v/>
      </c>
      <c r="F159" s="29"/>
      <c r="G159" s="9"/>
      <c r="H159" s="32"/>
      <c r="I159" s="29"/>
      <c r="J159" s="33" t="n">
        <f aca="false">IF(OR(G159="",I159="Sí"),0,G159)</f>
        <v>0</v>
      </c>
      <c r="K159" s="34" t="n">
        <f aca="false">IF(OR(H159="",I159="Sí"),0,ROUND(H159/(1+Resumen!$B$9),0))</f>
        <v>0</v>
      </c>
    </row>
    <row r="160" customFormat="false" ht="15" hidden="false" customHeight="true" outlineLevel="0" collapsed="false">
      <c r="A160" s="29"/>
      <c r="B160" s="30"/>
      <c r="C160" s="29"/>
      <c r="D160" s="29"/>
      <c r="E160" s="31" t="str">
        <f aca="false">IF(D160="","",IFERROR(INDEX(Productos!$B$2:$B$23,MATCH(D160,Productos!$A$2:$A$23,0)),"Código no existe"))</f>
        <v/>
      </c>
      <c r="F160" s="29"/>
      <c r="G160" s="9"/>
      <c r="H160" s="32"/>
      <c r="I160" s="29"/>
      <c r="J160" s="33" t="n">
        <f aca="false">IF(OR(G160="",I160="Sí"),0,G160)</f>
        <v>0</v>
      </c>
      <c r="K160" s="34" t="n">
        <f aca="false">IF(OR(H160="",I160="Sí"),0,ROUND(H160/(1+Resumen!$B$9),0))</f>
        <v>0</v>
      </c>
    </row>
    <row r="161" customFormat="false" ht="15" hidden="false" customHeight="true" outlineLevel="0" collapsed="false">
      <c r="A161" s="29"/>
      <c r="B161" s="30"/>
      <c r="C161" s="29"/>
      <c r="D161" s="29"/>
      <c r="E161" s="31" t="str">
        <f aca="false">IF(D161="","",IFERROR(INDEX(Productos!$B$2:$B$23,MATCH(D161,Productos!$A$2:$A$23,0)),"Código no existe"))</f>
        <v/>
      </c>
      <c r="F161" s="29"/>
      <c r="G161" s="9"/>
      <c r="H161" s="32"/>
      <c r="I161" s="29"/>
      <c r="J161" s="33" t="n">
        <f aca="false">IF(OR(G161="",I161="Sí"),0,G161)</f>
        <v>0</v>
      </c>
      <c r="K161" s="34" t="n">
        <f aca="false">IF(OR(H161="",I161="Sí"),0,ROUND(H161/(1+Resumen!$B$9),0))</f>
        <v>0</v>
      </c>
    </row>
    <row r="162" customFormat="false" ht="15" hidden="false" customHeight="true" outlineLevel="0" collapsed="false">
      <c r="A162" s="29"/>
      <c r="B162" s="30"/>
      <c r="C162" s="29"/>
      <c r="D162" s="29"/>
      <c r="E162" s="31" t="str">
        <f aca="false">IF(D162="","",IFERROR(INDEX(Productos!$B$2:$B$23,MATCH(D162,Productos!$A$2:$A$23,0)),"Código no existe"))</f>
        <v/>
      </c>
      <c r="F162" s="29"/>
      <c r="G162" s="9"/>
      <c r="H162" s="32"/>
      <c r="I162" s="29"/>
      <c r="J162" s="33" t="n">
        <f aca="false">IF(OR(G162="",I162="Sí"),0,G162)</f>
        <v>0</v>
      </c>
      <c r="K162" s="34" t="n">
        <f aca="false">IF(OR(H162="",I162="Sí"),0,ROUND(H162/(1+Resumen!$B$9),0))</f>
        <v>0</v>
      </c>
    </row>
    <row r="163" customFormat="false" ht="15" hidden="false" customHeight="true" outlineLevel="0" collapsed="false">
      <c r="A163" s="29"/>
      <c r="B163" s="30"/>
      <c r="C163" s="29"/>
      <c r="D163" s="29"/>
      <c r="E163" s="31" t="str">
        <f aca="false">IF(D163="","",IFERROR(INDEX(Productos!$B$2:$B$23,MATCH(D163,Productos!$A$2:$A$23,0)),"Código no existe"))</f>
        <v/>
      </c>
      <c r="F163" s="29"/>
      <c r="G163" s="9"/>
      <c r="H163" s="32"/>
      <c r="I163" s="29"/>
      <c r="J163" s="33" t="n">
        <f aca="false">IF(OR(G163="",I163="Sí"),0,G163)</f>
        <v>0</v>
      </c>
      <c r="K163" s="34" t="n">
        <f aca="false">IF(OR(H163="",I163="Sí"),0,ROUND(H163/(1+Resumen!$B$9),0))</f>
        <v>0</v>
      </c>
    </row>
    <row r="164" customFormat="false" ht="15" hidden="false" customHeight="true" outlineLevel="0" collapsed="false">
      <c r="A164" s="29"/>
      <c r="B164" s="30"/>
      <c r="C164" s="29"/>
      <c r="D164" s="29"/>
      <c r="E164" s="31" t="str">
        <f aca="false">IF(D164="","",IFERROR(INDEX(Productos!$B$2:$B$23,MATCH(D164,Productos!$A$2:$A$23,0)),"Código no existe"))</f>
        <v/>
      </c>
      <c r="F164" s="29"/>
      <c r="G164" s="9"/>
      <c r="H164" s="32"/>
      <c r="I164" s="29"/>
      <c r="J164" s="33" t="n">
        <f aca="false">IF(OR(G164="",I164="Sí"),0,G164)</f>
        <v>0</v>
      </c>
      <c r="K164" s="34" t="n">
        <f aca="false">IF(OR(H164="",I164="Sí"),0,ROUND(H164/(1+Resumen!$B$9),0))</f>
        <v>0</v>
      </c>
    </row>
    <row r="165" customFormat="false" ht="15" hidden="false" customHeight="true" outlineLevel="0" collapsed="false">
      <c r="A165" s="29"/>
      <c r="B165" s="30"/>
      <c r="C165" s="29"/>
      <c r="D165" s="29"/>
      <c r="E165" s="31" t="str">
        <f aca="false">IF(D165="","",IFERROR(INDEX(Productos!$B$2:$B$23,MATCH(D165,Productos!$A$2:$A$23,0)),"Código no existe"))</f>
        <v/>
      </c>
      <c r="F165" s="29"/>
      <c r="G165" s="9"/>
      <c r="H165" s="32"/>
      <c r="I165" s="29"/>
      <c r="J165" s="33" t="n">
        <f aca="false">IF(OR(G165="",I165="Sí"),0,G165)</f>
        <v>0</v>
      </c>
      <c r="K165" s="34" t="n">
        <f aca="false">IF(OR(H165="",I165="Sí"),0,ROUND(H165/(1+Resumen!$B$9),0))</f>
        <v>0</v>
      </c>
    </row>
    <row r="166" customFormat="false" ht="15" hidden="false" customHeight="true" outlineLevel="0" collapsed="false">
      <c r="A166" s="29"/>
      <c r="B166" s="30"/>
      <c r="C166" s="29"/>
      <c r="D166" s="29"/>
      <c r="E166" s="31" t="str">
        <f aca="false">IF(D166="","",IFERROR(INDEX(Productos!$B$2:$B$23,MATCH(D166,Productos!$A$2:$A$23,0)),"Código no existe"))</f>
        <v/>
      </c>
      <c r="F166" s="29"/>
      <c r="G166" s="9"/>
      <c r="H166" s="32"/>
      <c r="I166" s="29"/>
      <c r="J166" s="33" t="n">
        <f aca="false">IF(OR(G166="",I166="Sí"),0,G166)</f>
        <v>0</v>
      </c>
      <c r="K166" s="34" t="n">
        <f aca="false">IF(OR(H166="",I166="Sí"),0,ROUND(H166/(1+Resumen!$B$9),0))</f>
        <v>0</v>
      </c>
    </row>
    <row r="167" customFormat="false" ht="15" hidden="false" customHeight="true" outlineLevel="0" collapsed="false">
      <c r="A167" s="29"/>
      <c r="B167" s="30"/>
      <c r="C167" s="29"/>
      <c r="D167" s="29"/>
      <c r="E167" s="31" t="str">
        <f aca="false">IF(D167="","",IFERROR(INDEX(Productos!$B$2:$B$23,MATCH(D167,Productos!$A$2:$A$23,0)),"Código no existe"))</f>
        <v/>
      </c>
      <c r="F167" s="29"/>
      <c r="G167" s="9"/>
      <c r="H167" s="32"/>
      <c r="I167" s="29"/>
      <c r="J167" s="33" t="n">
        <f aca="false">IF(OR(G167="",I167="Sí"),0,G167)</f>
        <v>0</v>
      </c>
      <c r="K167" s="34" t="n">
        <f aca="false">IF(OR(H167="",I167="Sí"),0,ROUND(H167/(1+Resumen!$B$9),0))</f>
        <v>0</v>
      </c>
    </row>
    <row r="168" customFormat="false" ht="15" hidden="false" customHeight="true" outlineLevel="0" collapsed="false">
      <c r="A168" s="29"/>
      <c r="B168" s="30"/>
      <c r="C168" s="29"/>
      <c r="D168" s="29"/>
      <c r="E168" s="31" t="str">
        <f aca="false">IF(D168="","",IFERROR(INDEX(Productos!$B$2:$B$23,MATCH(D168,Productos!$A$2:$A$23,0)),"Código no existe"))</f>
        <v/>
      </c>
      <c r="F168" s="29"/>
      <c r="G168" s="9"/>
      <c r="H168" s="32"/>
      <c r="I168" s="29"/>
      <c r="J168" s="33" t="n">
        <f aca="false">IF(OR(G168="",I168="Sí"),0,G168)</f>
        <v>0</v>
      </c>
      <c r="K168" s="34" t="n">
        <f aca="false">IF(OR(H168="",I168="Sí"),0,ROUND(H168/(1+Resumen!$B$9),0))</f>
        <v>0</v>
      </c>
    </row>
    <row r="169" customFormat="false" ht="15" hidden="false" customHeight="true" outlineLevel="0" collapsed="false">
      <c r="A169" s="29"/>
      <c r="B169" s="30"/>
      <c r="C169" s="29"/>
      <c r="D169" s="29"/>
      <c r="E169" s="31" t="str">
        <f aca="false">IF(D169="","",IFERROR(INDEX(Productos!$B$2:$B$23,MATCH(D169,Productos!$A$2:$A$23,0)),"Código no existe"))</f>
        <v/>
      </c>
      <c r="F169" s="29"/>
      <c r="G169" s="9"/>
      <c r="H169" s="32"/>
      <c r="I169" s="29"/>
      <c r="J169" s="33" t="n">
        <f aca="false">IF(OR(G169="",I169="Sí"),0,G169)</f>
        <v>0</v>
      </c>
      <c r="K169" s="34" t="n">
        <f aca="false">IF(OR(H169="",I169="Sí"),0,ROUND(H169/(1+Resumen!$B$9),0))</f>
        <v>0</v>
      </c>
    </row>
    <row r="170" customFormat="false" ht="15" hidden="false" customHeight="true" outlineLevel="0" collapsed="false">
      <c r="A170" s="29"/>
      <c r="B170" s="30"/>
      <c r="C170" s="29"/>
      <c r="D170" s="29"/>
      <c r="E170" s="31" t="str">
        <f aca="false">IF(D170="","",IFERROR(INDEX(Productos!$B$2:$B$23,MATCH(D170,Productos!$A$2:$A$23,0)),"Código no existe"))</f>
        <v/>
      </c>
      <c r="F170" s="29"/>
      <c r="G170" s="9"/>
      <c r="H170" s="32"/>
      <c r="I170" s="29"/>
      <c r="J170" s="33" t="n">
        <f aca="false">IF(OR(G170="",I170="Sí"),0,G170)</f>
        <v>0</v>
      </c>
      <c r="K170" s="34" t="n">
        <f aca="false">IF(OR(H170="",I170="Sí"),0,ROUND(H170/(1+Resumen!$B$9),0))</f>
        <v>0</v>
      </c>
    </row>
    <row r="171" customFormat="false" ht="15" hidden="false" customHeight="true" outlineLevel="0" collapsed="false">
      <c r="A171" s="29"/>
      <c r="B171" s="30"/>
      <c r="C171" s="29"/>
      <c r="D171" s="29"/>
      <c r="E171" s="31" t="str">
        <f aca="false">IF(D171="","",IFERROR(INDEX(Productos!$B$2:$B$23,MATCH(D171,Productos!$A$2:$A$23,0)),"Código no existe"))</f>
        <v/>
      </c>
      <c r="F171" s="29"/>
      <c r="G171" s="9"/>
      <c r="H171" s="32"/>
      <c r="I171" s="29"/>
      <c r="J171" s="33" t="n">
        <f aca="false">IF(OR(G171="",I171="Sí"),0,G171)</f>
        <v>0</v>
      </c>
      <c r="K171" s="34" t="n">
        <f aca="false">IF(OR(H171="",I171="Sí"),0,ROUND(H171/(1+Resumen!$B$9),0))</f>
        <v>0</v>
      </c>
    </row>
    <row r="172" customFormat="false" ht="15" hidden="false" customHeight="true" outlineLevel="0" collapsed="false">
      <c r="A172" s="29"/>
      <c r="B172" s="30"/>
      <c r="C172" s="29"/>
      <c r="D172" s="29"/>
      <c r="E172" s="31" t="str">
        <f aca="false">IF(D172="","",IFERROR(INDEX(Productos!$B$2:$B$23,MATCH(D172,Productos!$A$2:$A$23,0)),"Código no existe"))</f>
        <v/>
      </c>
      <c r="F172" s="29"/>
      <c r="G172" s="9"/>
      <c r="H172" s="32"/>
      <c r="I172" s="29"/>
      <c r="J172" s="33" t="n">
        <f aca="false">IF(OR(G172="",I172="Sí"),0,G172)</f>
        <v>0</v>
      </c>
      <c r="K172" s="34" t="n">
        <f aca="false">IF(OR(H172="",I172="Sí"),0,ROUND(H172/(1+Resumen!$B$9),0))</f>
        <v>0</v>
      </c>
    </row>
    <row r="173" customFormat="false" ht="15" hidden="false" customHeight="true" outlineLevel="0" collapsed="false">
      <c r="A173" s="29"/>
      <c r="B173" s="30"/>
      <c r="C173" s="29"/>
      <c r="D173" s="29"/>
      <c r="E173" s="31" t="str">
        <f aca="false">IF(D173="","",IFERROR(INDEX(Productos!$B$2:$B$23,MATCH(D173,Productos!$A$2:$A$23,0)),"Código no existe"))</f>
        <v/>
      </c>
      <c r="F173" s="29"/>
      <c r="G173" s="9"/>
      <c r="H173" s="32"/>
      <c r="I173" s="29"/>
      <c r="J173" s="33" t="n">
        <f aca="false">IF(OR(G173="",I173="Sí"),0,G173)</f>
        <v>0</v>
      </c>
      <c r="K173" s="34" t="n">
        <f aca="false">IF(OR(H173="",I173="Sí"),0,ROUND(H173/(1+Resumen!$B$9),0))</f>
        <v>0</v>
      </c>
    </row>
    <row r="174" customFormat="false" ht="15" hidden="false" customHeight="true" outlineLevel="0" collapsed="false">
      <c r="A174" s="29"/>
      <c r="B174" s="30"/>
      <c r="C174" s="29"/>
      <c r="D174" s="29"/>
      <c r="E174" s="31" t="str">
        <f aca="false">IF(D174="","",IFERROR(INDEX(Productos!$B$2:$B$23,MATCH(D174,Productos!$A$2:$A$23,0)),"Código no existe"))</f>
        <v/>
      </c>
      <c r="F174" s="29"/>
      <c r="G174" s="9"/>
      <c r="H174" s="32"/>
      <c r="I174" s="29"/>
      <c r="J174" s="33" t="n">
        <f aca="false">IF(OR(G174="",I174="Sí"),0,G174)</f>
        <v>0</v>
      </c>
      <c r="K174" s="34" t="n">
        <f aca="false">IF(OR(H174="",I174="Sí"),0,ROUND(H174/(1+Resumen!$B$9),0))</f>
        <v>0</v>
      </c>
    </row>
    <row r="175" customFormat="false" ht="15" hidden="false" customHeight="true" outlineLevel="0" collapsed="false">
      <c r="A175" s="29"/>
      <c r="B175" s="30"/>
      <c r="C175" s="29"/>
      <c r="D175" s="29"/>
      <c r="E175" s="31" t="str">
        <f aca="false">IF(D175="","",IFERROR(INDEX(Productos!$B$2:$B$23,MATCH(D175,Productos!$A$2:$A$23,0)),"Código no existe"))</f>
        <v/>
      </c>
      <c r="F175" s="29"/>
      <c r="G175" s="9"/>
      <c r="H175" s="32"/>
      <c r="I175" s="29"/>
      <c r="J175" s="33" t="n">
        <f aca="false">IF(OR(G175="",I175="Sí"),0,G175)</f>
        <v>0</v>
      </c>
      <c r="K175" s="34" t="n">
        <f aca="false">IF(OR(H175="",I175="Sí"),0,ROUND(H175/(1+Resumen!$B$9),0))</f>
        <v>0</v>
      </c>
    </row>
    <row r="176" customFormat="false" ht="15" hidden="false" customHeight="true" outlineLevel="0" collapsed="false">
      <c r="A176" s="29"/>
      <c r="B176" s="30"/>
      <c r="C176" s="29"/>
      <c r="D176" s="29"/>
      <c r="E176" s="31" t="str">
        <f aca="false">IF(D176="","",IFERROR(INDEX(Productos!$B$2:$B$23,MATCH(D176,Productos!$A$2:$A$23,0)),"Código no existe"))</f>
        <v/>
      </c>
      <c r="F176" s="29"/>
      <c r="G176" s="9"/>
      <c r="H176" s="32"/>
      <c r="I176" s="29"/>
      <c r="J176" s="33" t="n">
        <f aca="false">IF(OR(G176="",I176="Sí"),0,G176)</f>
        <v>0</v>
      </c>
      <c r="K176" s="34" t="n">
        <f aca="false">IF(OR(H176="",I176="Sí"),0,ROUND(H176/(1+Resumen!$B$9),0))</f>
        <v>0</v>
      </c>
    </row>
    <row r="177" customFormat="false" ht="15" hidden="false" customHeight="true" outlineLevel="0" collapsed="false">
      <c r="A177" s="29"/>
      <c r="B177" s="30"/>
      <c r="C177" s="29"/>
      <c r="D177" s="29"/>
      <c r="E177" s="31" t="str">
        <f aca="false">IF(D177="","",IFERROR(INDEX(Productos!$B$2:$B$23,MATCH(D177,Productos!$A$2:$A$23,0)),"Código no existe"))</f>
        <v/>
      </c>
      <c r="F177" s="29"/>
      <c r="G177" s="9"/>
      <c r="H177" s="32"/>
      <c r="I177" s="29"/>
      <c r="J177" s="33" t="n">
        <f aca="false">IF(OR(G177="",I177="Sí"),0,G177)</f>
        <v>0</v>
      </c>
      <c r="K177" s="34" t="n">
        <f aca="false">IF(OR(H177="",I177="Sí"),0,ROUND(H177/(1+Resumen!$B$9),0))</f>
        <v>0</v>
      </c>
    </row>
    <row r="178" customFormat="false" ht="15" hidden="false" customHeight="true" outlineLevel="0" collapsed="false">
      <c r="A178" s="29"/>
      <c r="B178" s="30"/>
      <c r="C178" s="29"/>
      <c r="D178" s="29"/>
      <c r="E178" s="31" t="str">
        <f aca="false">IF(D178="","",IFERROR(INDEX(Productos!$B$2:$B$23,MATCH(D178,Productos!$A$2:$A$23,0)),"Código no existe"))</f>
        <v/>
      </c>
      <c r="F178" s="29"/>
      <c r="G178" s="9"/>
      <c r="H178" s="32"/>
      <c r="I178" s="29"/>
      <c r="J178" s="33" t="n">
        <f aca="false">IF(OR(G178="",I178="Sí"),0,G178)</f>
        <v>0</v>
      </c>
      <c r="K178" s="34" t="n">
        <f aca="false">IF(OR(H178="",I178="Sí"),0,ROUND(H178/(1+Resumen!$B$9),0))</f>
        <v>0</v>
      </c>
    </row>
    <row r="179" customFormat="false" ht="15" hidden="false" customHeight="true" outlineLevel="0" collapsed="false">
      <c r="A179" s="29"/>
      <c r="B179" s="30"/>
      <c r="C179" s="29"/>
      <c r="D179" s="29"/>
      <c r="E179" s="31" t="str">
        <f aca="false">IF(D179="","",IFERROR(INDEX(Productos!$B$2:$B$23,MATCH(D179,Productos!$A$2:$A$23,0)),"Código no existe"))</f>
        <v/>
      </c>
      <c r="F179" s="29"/>
      <c r="G179" s="9"/>
      <c r="H179" s="32"/>
      <c r="I179" s="29"/>
      <c r="J179" s="33" t="n">
        <f aca="false">IF(OR(G179="",I179="Sí"),0,G179)</f>
        <v>0</v>
      </c>
      <c r="K179" s="34" t="n">
        <f aca="false">IF(OR(H179="",I179="Sí"),0,ROUND(H179/(1+Resumen!$B$9),0))</f>
        <v>0</v>
      </c>
    </row>
    <row r="180" customFormat="false" ht="15" hidden="false" customHeight="true" outlineLevel="0" collapsed="false">
      <c r="A180" s="29"/>
      <c r="B180" s="30"/>
      <c r="C180" s="29"/>
      <c r="D180" s="29"/>
      <c r="E180" s="31" t="str">
        <f aca="false">IF(D180="","",IFERROR(INDEX(Productos!$B$2:$B$23,MATCH(D180,Productos!$A$2:$A$23,0)),"Código no existe"))</f>
        <v/>
      </c>
      <c r="F180" s="29"/>
      <c r="G180" s="9"/>
      <c r="H180" s="32"/>
      <c r="I180" s="29"/>
      <c r="J180" s="33" t="n">
        <f aca="false">IF(OR(G180="",I180="Sí"),0,G180)</f>
        <v>0</v>
      </c>
      <c r="K180" s="34" t="n">
        <f aca="false">IF(OR(H180="",I180="Sí"),0,ROUND(H180/(1+Resumen!$B$9),0))</f>
        <v>0</v>
      </c>
    </row>
    <row r="181" customFormat="false" ht="15" hidden="false" customHeight="true" outlineLevel="0" collapsed="false">
      <c r="A181" s="29"/>
      <c r="B181" s="30"/>
      <c r="C181" s="29"/>
      <c r="D181" s="29"/>
      <c r="E181" s="31" t="str">
        <f aca="false">IF(D181="","",IFERROR(INDEX(Productos!$B$2:$B$23,MATCH(D181,Productos!$A$2:$A$23,0)),"Código no existe"))</f>
        <v/>
      </c>
      <c r="F181" s="29"/>
      <c r="G181" s="9"/>
      <c r="H181" s="32"/>
      <c r="I181" s="29"/>
      <c r="J181" s="33" t="n">
        <f aca="false">IF(OR(G181="",I181="Sí"),0,G181)</f>
        <v>0</v>
      </c>
      <c r="K181" s="34" t="n">
        <f aca="false">IF(OR(H181="",I181="Sí"),0,ROUND(H181/(1+Resumen!$B$9),0))</f>
        <v>0</v>
      </c>
    </row>
    <row r="182" customFormat="false" ht="15" hidden="false" customHeight="true" outlineLevel="0" collapsed="false">
      <c r="A182" s="29"/>
      <c r="B182" s="30"/>
      <c r="C182" s="29"/>
      <c r="D182" s="29"/>
      <c r="E182" s="31" t="str">
        <f aca="false">IF(D182="","",IFERROR(INDEX(Productos!$B$2:$B$23,MATCH(D182,Productos!$A$2:$A$23,0)),"Código no existe"))</f>
        <v/>
      </c>
      <c r="F182" s="29"/>
      <c r="G182" s="9"/>
      <c r="H182" s="32"/>
      <c r="I182" s="29"/>
      <c r="J182" s="33" t="n">
        <f aca="false">IF(OR(G182="",I182="Sí"),0,G182)</f>
        <v>0</v>
      </c>
      <c r="K182" s="34" t="n">
        <f aca="false">IF(OR(H182="",I182="Sí"),0,ROUND(H182/(1+Resumen!$B$9),0))</f>
        <v>0</v>
      </c>
    </row>
    <row r="183" customFormat="false" ht="15" hidden="false" customHeight="true" outlineLevel="0" collapsed="false">
      <c r="A183" s="29"/>
      <c r="B183" s="30"/>
      <c r="C183" s="29"/>
      <c r="D183" s="29"/>
      <c r="E183" s="31" t="str">
        <f aca="false">IF(D183="","",IFERROR(INDEX(Productos!$B$2:$B$23,MATCH(D183,Productos!$A$2:$A$23,0)),"Código no existe"))</f>
        <v/>
      </c>
      <c r="F183" s="29"/>
      <c r="G183" s="9"/>
      <c r="H183" s="32"/>
      <c r="I183" s="29"/>
      <c r="J183" s="33" t="n">
        <f aca="false">IF(OR(G183="",I183="Sí"),0,G183)</f>
        <v>0</v>
      </c>
      <c r="K183" s="34" t="n">
        <f aca="false">IF(OR(H183="",I183="Sí"),0,ROUND(H183/(1+Resumen!$B$9),0))</f>
        <v>0</v>
      </c>
    </row>
    <row r="184" customFormat="false" ht="15" hidden="false" customHeight="true" outlineLevel="0" collapsed="false">
      <c r="A184" s="29"/>
      <c r="B184" s="30"/>
      <c r="C184" s="29"/>
      <c r="D184" s="29"/>
      <c r="E184" s="31" t="str">
        <f aca="false">IF(D184="","",IFERROR(INDEX(Productos!$B$2:$B$23,MATCH(D184,Productos!$A$2:$A$23,0)),"Código no existe"))</f>
        <v/>
      </c>
      <c r="F184" s="29"/>
      <c r="G184" s="9"/>
      <c r="H184" s="32"/>
      <c r="I184" s="29"/>
      <c r="J184" s="33" t="n">
        <f aca="false">IF(OR(G184="",I184="Sí"),0,G184)</f>
        <v>0</v>
      </c>
      <c r="K184" s="34" t="n">
        <f aca="false">IF(OR(H184="",I184="Sí"),0,ROUND(H184/(1+Resumen!$B$9),0))</f>
        <v>0</v>
      </c>
    </row>
    <row r="185" customFormat="false" ht="15" hidden="false" customHeight="true" outlineLevel="0" collapsed="false">
      <c r="A185" s="29"/>
      <c r="B185" s="30"/>
      <c r="C185" s="29"/>
      <c r="D185" s="29"/>
      <c r="E185" s="31" t="str">
        <f aca="false">IF(D185="","",IFERROR(INDEX(Productos!$B$2:$B$23,MATCH(D185,Productos!$A$2:$A$23,0)),"Código no existe"))</f>
        <v/>
      </c>
      <c r="F185" s="29"/>
      <c r="G185" s="9"/>
      <c r="H185" s="32"/>
      <c r="I185" s="29"/>
      <c r="J185" s="33" t="n">
        <f aca="false">IF(OR(G185="",I185="Sí"),0,G185)</f>
        <v>0</v>
      </c>
      <c r="K185" s="34" t="n">
        <f aca="false">IF(OR(H185="",I185="Sí"),0,ROUND(H185/(1+Resumen!$B$9),0))</f>
        <v>0</v>
      </c>
    </row>
    <row r="186" customFormat="false" ht="15" hidden="false" customHeight="true" outlineLevel="0" collapsed="false">
      <c r="A186" s="29"/>
      <c r="B186" s="30"/>
      <c r="C186" s="29"/>
      <c r="D186" s="29"/>
      <c r="E186" s="31" t="str">
        <f aca="false">IF(D186="","",IFERROR(INDEX(Productos!$B$2:$B$23,MATCH(D186,Productos!$A$2:$A$23,0)),"Código no existe"))</f>
        <v/>
      </c>
      <c r="F186" s="29"/>
      <c r="G186" s="9"/>
      <c r="H186" s="32"/>
      <c r="I186" s="29"/>
      <c r="J186" s="33" t="n">
        <f aca="false">IF(OR(G186="",I186="Sí"),0,G186)</f>
        <v>0</v>
      </c>
      <c r="K186" s="34" t="n">
        <f aca="false">IF(OR(H186="",I186="Sí"),0,ROUND(H186/(1+Resumen!$B$9),0))</f>
        <v>0</v>
      </c>
    </row>
    <row r="187" customFormat="false" ht="15" hidden="false" customHeight="true" outlineLevel="0" collapsed="false">
      <c r="A187" s="29"/>
      <c r="B187" s="30"/>
      <c r="C187" s="29"/>
      <c r="D187" s="29"/>
      <c r="E187" s="31" t="str">
        <f aca="false">IF(D187="","",IFERROR(INDEX(Productos!$B$2:$B$23,MATCH(D187,Productos!$A$2:$A$23,0)),"Código no existe"))</f>
        <v/>
      </c>
      <c r="F187" s="29"/>
      <c r="G187" s="9"/>
      <c r="H187" s="32"/>
      <c r="I187" s="29"/>
      <c r="J187" s="33" t="n">
        <f aca="false">IF(OR(G187="",I187="Sí"),0,G187)</f>
        <v>0</v>
      </c>
      <c r="K187" s="34" t="n">
        <f aca="false">IF(OR(H187="",I187="Sí"),0,ROUND(H187/(1+Resumen!$B$9),0))</f>
        <v>0</v>
      </c>
    </row>
    <row r="188" customFormat="false" ht="15" hidden="false" customHeight="true" outlineLevel="0" collapsed="false">
      <c r="A188" s="29"/>
      <c r="B188" s="30"/>
      <c r="C188" s="29"/>
      <c r="D188" s="29"/>
      <c r="E188" s="31" t="str">
        <f aca="false">IF(D188="","",IFERROR(INDEX(Productos!$B$2:$B$23,MATCH(D188,Productos!$A$2:$A$23,0)),"Código no existe"))</f>
        <v/>
      </c>
      <c r="F188" s="29"/>
      <c r="G188" s="9"/>
      <c r="H188" s="32"/>
      <c r="I188" s="29"/>
      <c r="J188" s="33" t="n">
        <f aca="false">IF(OR(G188="",I188="Sí"),0,G188)</f>
        <v>0</v>
      </c>
      <c r="K188" s="34" t="n">
        <f aca="false">IF(OR(H188="",I188="Sí"),0,ROUND(H188/(1+Resumen!$B$9),0))</f>
        <v>0</v>
      </c>
    </row>
    <row r="189" customFormat="false" ht="15" hidden="false" customHeight="true" outlineLevel="0" collapsed="false">
      <c r="A189" s="29"/>
      <c r="B189" s="30"/>
      <c r="C189" s="29"/>
      <c r="D189" s="29"/>
      <c r="E189" s="31" t="str">
        <f aca="false">IF(D189="","",IFERROR(INDEX(Productos!$B$2:$B$23,MATCH(D189,Productos!$A$2:$A$23,0)),"Código no existe"))</f>
        <v/>
      </c>
      <c r="F189" s="29"/>
      <c r="G189" s="9"/>
      <c r="H189" s="32"/>
      <c r="I189" s="29"/>
      <c r="J189" s="33" t="n">
        <f aca="false">IF(OR(G189="",I189="Sí"),0,G189)</f>
        <v>0</v>
      </c>
      <c r="K189" s="34" t="n">
        <f aca="false">IF(OR(H189="",I189="Sí"),0,ROUND(H189/(1+Resumen!$B$9),0))</f>
        <v>0</v>
      </c>
    </row>
    <row r="190" customFormat="false" ht="15" hidden="false" customHeight="true" outlineLevel="0" collapsed="false">
      <c r="A190" s="29"/>
      <c r="B190" s="30"/>
      <c r="C190" s="29"/>
      <c r="D190" s="29"/>
      <c r="E190" s="31" t="str">
        <f aca="false">IF(D190="","",IFERROR(INDEX(Productos!$B$2:$B$23,MATCH(D190,Productos!$A$2:$A$23,0)),"Código no existe"))</f>
        <v/>
      </c>
      <c r="F190" s="29"/>
      <c r="G190" s="9"/>
      <c r="H190" s="32"/>
      <c r="I190" s="29"/>
      <c r="J190" s="33" t="n">
        <f aca="false">IF(OR(G190="",I190="Sí"),0,G190)</f>
        <v>0</v>
      </c>
      <c r="K190" s="34" t="n">
        <f aca="false">IF(OR(H190="",I190="Sí"),0,ROUND(H190/(1+Resumen!$B$9),0))</f>
        <v>0</v>
      </c>
    </row>
    <row r="191" customFormat="false" ht="15" hidden="false" customHeight="true" outlineLevel="0" collapsed="false">
      <c r="A191" s="29"/>
      <c r="B191" s="30"/>
      <c r="C191" s="29"/>
      <c r="D191" s="29"/>
      <c r="E191" s="31" t="str">
        <f aca="false">IF(D191="","",IFERROR(INDEX(Productos!$B$2:$B$23,MATCH(D191,Productos!$A$2:$A$23,0)),"Código no existe"))</f>
        <v/>
      </c>
      <c r="F191" s="29"/>
      <c r="G191" s="9"/>
      <c r="H191" s="32"/>
      <c r="I191" s="29"/>
      <c r="J191" s="33" t="n">
        <f aca="false">IF(OR(G191="",I191="Sí"),0,G191)</f>
        <v>0</v>
      </c>
      <c r="K191" s="34" t="n">
        <f aca="false">IF(OR(H191="",I191="Sí"),0,ROUND(H191/(1+Resumen!$B$9),0))</f>
        <v>0</v>
      </c>
    </row>
    <row r="192" customFormat="false" ht="15" hidden="false" customHeight="true" outlineLevel="0" collapsed="false">
      <c r="A192" s="29"/>
      <c r="B192" s="30"/>
      <c r="C192" s="29"/>
      <c r="D192" s="29"/>
      <c r="E192" s="31" t="str">
        <f aca="false">IF(D192="","",IFERROR(INDEX(Productos!$B$2:$B$23,MATCH(D192,Productos!$A$2:$A$23,0)),"Código no existe"))</f>
        <v/>
      </c>
      <c r="F192" s="29"/>
      <c r="G192" s="9"/>
      <c r="H192" s="32"/>
      <c r="I192" s="29"/>
      <c r="J192" s="33" t="n">
        <f aca="false">IF(OR(G192="",I192="Sí"),0,G192)</f>
        <v>0</v>
      </c>
      <c r="K192" s="34" t="n">
        <f aca="false">IF(OR(H192="",I192="Sí"),0,ROUND(H192/(1+Resumen!$B$9),0))</f>
        <v>0</v>
      </c>
    </row>
    <row r="193" customFormat="false" ht="15" hidden="false" customHeight="true" outlineLevel="0" collapsed="false">
      <c r="A193" s="29"/>
      <c r="B193" s="30"/>
      <c r="C193" s="29"/>
      <c r="D193" s="29"/>
      <c r="E193" s="31" t="str">
        <f aca="false">IF(D193="","",IFERROR(INDEX(Productos!$B$2:$B$23,MATCH(D193,Productos!$A$2:$A$23,0)),"Código no existe"))</f>
        <v/>
      </c>
      <c r="F193" s="29"/>
      <c r="G193" s="9"/>
      <c r="H193" s="32"/>
      <c r="I193" s="29"/>
      <c r="J193" s="33" t="n">
        <f aca="false">IF(OR(G193="",I193="Sí"),0,G193)</f>
        <v>0</v>
      </c>
      <c r="K193" s="34" t="n">
        <f aca="false">IF(OR(H193="",I193="Sí"),0,ROUND(H193/(1+Resumen!$B$9),0))</f>
        <v>0</v>
      </c>
    </row>
    <row r="194" customFormat="false" ht="15" hidden="false" customHeight="true" outlineLevel="0" collapsed="false">
      <c r="A194" s="29"/>
      <c r="B194" s="30"/>
      <c r="C194" s="29"/>
      <c r="D194" s="29"/>
      <c r="E194" s="31" t="str">
        <f aca="false">IF(D194="","",IFERROR(INDEX(Productos!$B$2:$B$23,MATCH(D194,Productos!$A$2:$A$23,0)),"Código no existe"))</f>
        <v/>
      </c>
      <c r="F194" s="29"/>
      <c r="G194" s="9"/>
      <c r="H194" s="32"/>
      <c r="I194" s="29"/>
      <c r="J194" s="33" t="n">
        <f aca="false">IF(OR(G194="",I194="Sí"),0,G194)</f>
        <v>0</v>
      </c>
      <c r="K194" s="34" t="n">
        <f aca="false">IF(OR(H194="",I194="Sí"),0,ROUND(H194/(1+Resumen!$B$9),0))</f>
        <v>0</v>
      </c>
    </row>
    <row r="195" customFormat="false" ht="15" hidden="false" customHeight="true" outlineLevel="0" collapsed="false">
      <c r="A195" s="29"/>
      <c r="B195" s="30"/>
      <c r="C195" s="29"/>
      <c r="D195" s="29"/>
      <c r="E195" s="31" t="str">
        <f aca="false">IF(D195="","",IFERROR(INDEX(Productos!$B$2:$B$23,MATCH(D195,Productos!$A$2:$A$23,0)),"Código no existe"))</f>
        <v/>
      </c>
      <c r="F195" s="29"/>
      <c r="G195" s="9"/>
      <c r="H195" s="32"/>
      <c r="I195" s="29"/>
      <c r="J195" s="33" t="n">
        <f aca="false">IF(OR(G195="",I195="Sí"),0,G195)</f>
        <v>0</v>
      </c>
      <c r="K195" s="34" t="n">
        <f aca="false">IF(OR(H195="",I195="Sí"),0,ROUND(H195/(1+Resumen!$B$9),0))</f>
        <v>0</v>
      </c>
    </row>
    <row r="196" customFormat="false" ht="15" hidden="false" customHeight="true" outlineLevel="0" collapsed="false">
      <c r="A196" s="29"/>
      <c r="B196" s="30"/>
      <c r="C196" s="29"/>
      <c r="D196" s="29"/>
      <c r="E196" s="31" t="str">
        <f aca="false">IF(D196="","",IFERROR(INDEX(Productos!$B$2:$B$23,MATCH(D196,Productos!$A$2:$A$23,0)),"Código no existe"))</f>
        <v/>
      </c>
      <c r="F196" s="29"/>
      <c r="G196" s="9"/>
      <c r="H196" s="32"/>
      <c r="I196" s="29"/>
      <c r="J196" s="33" t="n">
        <f aca="false">IF(OR(G196="",I196="Sí"),0,G196)</f>
        <v>0</v>
      </c>
      <c r="K196" s="34" t="n">
        <f aca="false">IF(OR(H196="",I196="Sí"),0,ROUND(H196/(1+Resumen!$B$9),0))</f>
        <v>0</v>
      </c>
    </row>
    <row r="197" customFormat="false" ht="15" hidden="false" customHeight="true" outlineLevel="0" collapsed="false">
      <c r="A197" s="29"/>
      <c r="B197" s="30"/>
      <c r="C197" s="29"/>
      <c r="D197" s="29"/>
      <c r="E197" s="31" t="str">
        <f aca="false">IF(D197="","",IFERROR(INDEX(Productos!$B$2:$B$23,MATCH(D197,Productos!$A$2:$A$23,0)),"Código no existe"))</f>
        <v/>
      </c>
      <c r="F197" s="29"/>
      <c r="G197" s="9"/>
      <c r="H197" s="32"/>
      <c r="I197" s="29"/>
      <c r="J197" s="33" t="n">
        <f aca="false">IF(OR(G197="",I197="Sí"),0,G197)</f>
        <v>0</v>
      </c>
      <c r="K197" s="34" t="n">
        <f aca="false">IF(OR(H197="",I197="Sí"),0,ROUND(H197/(1+Resumen!$B$9),0))</f>
        <v>0</v>
      </c>
    </row>
    <row r="198" customFormat="false" ht="15" hidden="false" customHeight="true" outlineLevel="0" collapsed="false">
      <c r="A198" s="29"/>
      <c r="B198" s="30"/>
      <c r="C198" s="29"/>
      <c r="D198" s="29"/>
      <c r="E198" s="31" t="str">
        <f aca="false">IF(D198="","",IFERROR(INDEX(Productos!$B$2:$B$23,MATCH(D198,Productos!$A$2:$A$23,0)),"Código no existe"))</f>
        <v/>
      </c>
      <c r="F198" s="29"/>
      <c r="G198" s="9"/>
      <c r="H198" s="32"/>
      <c r="I198" s="29"/>
      <c r="J198" s="33" t="n">
        <f aca="false">IF(OR(G198="",I198="Sí"),0,G198)</f>
        <v>0</v>
      </c>
      <c r="K198" s="34" t="n">
        <f aca="false">IF(OR(H198="",I198="Sí"),0,ROUND(H198/(1+Resumen!$B$9),0))</f>
        <v>0</v>
      </c>
    </row>
    <row r="199" customFormat="false" ht="15" hidden="false" customHeight="true" outlineLevel="0" collapsed="false">
      <c r="A199" s="29"/>
      <c r="B199" s="30"/>
      <c r="C199" s="29"/>
      <c r="D199" s="29"/>
      <c r="E199" s="31" t="str">
        <f aca="false">IF(D199="","",IFERROR(INDEX(Productos!$B$2:$B$23,MATCH(D199,Productos!$A$2:$A$23,0)),"Código no existe"))</f>
        <v/>
      </c>
      <c r="F199" s="29"/>
      <c r="G199" s="9"/>
      <c r="H199" s="32"/>
      <c r="I199" s="29"/>
      <c r="J199" s="33" t="n">
        <f aca="false">IF(OR(G199="",I199="Sí"),0,G199)</f>
        <v>0</v>
      </c>
      <c r="K199" s="34" t="n">
        <f aca="false">IF(OR(H199="",I199="Sí"),0,ROUND(H199/(1+Resumen!$B$9),0))</f>
        <v>0</v>
      </c>
    </row>
    <row r="200" customFormat="false" ht="15" hidden="false" customHeight="true" outlineLevel="0" collapsed="false">
      <c r="A200" s="29"/>
      <c r="B200" s="30"/>
      <c r="C200" s="29"/>
      <c r="D200" s="29"/>
      <c r="E200" s="31" t="str">
        <f aca="false">IF(D200="","",IFERROR(INDEX(Productos!$B$2:$B$23,MATCH(D200,Productos!$A$2:$A$23,0)),"Código no existe"))</f>
        <v/>
      </c>
      <c r="F200" s="29"/>
      <c r="G200" s="9"/>
      <c r="H200" s="32"/>
      <c r="I200" s="29"/>
      <c r="J200" s="33" t="n">
        <f aca="false">IF(OR(G200="",I200="Sí"),0,G200)</f>
        <v>0</v>
      </c>
      <c r="K200" s="34" t="n">
        <f aca="false">IF(OR(H200="",I200="Sí"),0,ROUND(H200/(1+Resumen!$B$9),0))</f>
        <v>0</v>
      </c>
    </row>
    <row r="201" customFormat="false" ht="15" hidden="false" customHeight="true" outlineLevel="0" collapsed="false">
      <c r="A201" s="29"/>
      <c r="B201" s="30"/>
      <c r="C201" s="29"/>
      <c r="D201" s="29"/>
      <c r="E201" s="31" t="str">
        <f aca="false">IF(D201="","",IFERROR(INDEX(Productos!$B$2:$B$23,MATCH(D201,Productos!$A$2:$A$23,0)),"Código no existe"))</f>
        <v/>
      </c>
      <c r="F201" s="29"/>
      <c r="G201" s="9"/>
      <c r="H201" s="32"/>
      <c r="I201" s="29"/>
      <c r="J201" s="33" t="n">
        <f aca="false">IF(OR(G201="",I201="Sí"),0,G201)</f>
        <v>0</v>
      </c>
      <c r="K201" s="34" t="n">
        <f aca="false">IF(OR(H201="",I201="Sí"),0,ROUND(H201/(1+Resumen!$B$9),0))</f>
        <v>0</v>
      </c>
    </row>
    <row r="202" customFormat="false" ht="15" hidden="false" customHeight="true" outlineLevel="0" collapsed="false">
      <c r="A202" s="29"/>
      <c r="B202" s="30"/>
      <c r="C202" s="29"/>
      <c r="D202" s="29"/>
      <c r="E202" s="31" t="str">
        <f aca="false">IF(D202="","",IFERROR(INDEX(Productos!$B$2:$B$23,MATCH(D202,Productos!$A$2:$A$23,0)),"Código no existe"))</f>
        <v/>
      </c>
      <c r="F202" s="29"/>
      <c r="G202" s="9"/>
      <c r="H202" s="32"/>
      <c r="I202" s="29"/>
      <c r="J202" s="33" t="n">
        <f aca="false">IF(OR(G202="",I202="Sí"),0,G202)</f>
        <v>0</v>
      </c>
      <c r="K202" s="34" t="n">
        <f aca="false">IF(OR(H202="",I202="Sí"),0,ROUND(H202/(1+Resumen!$B$9),0))</f>
        <v>0</v>
      </c>
    </row>
    <row r="203" customFormat="false" ht="15" hidden="false" customHeight="true" outlineLevel="0" collapsed="false">
      <c r="A203" s="29"/>
      <c r="B203" s="30"/>
      <c r="C203" s="29"/>
      <c r="D203" s="29"/>
      <c r="E203" s="31" t="str">
        <f aca="false">IF(D203="","",IFERROR(INDEX(Productos!$B$2:$B$23,MATCH(D203,Productos!$A$2:$A$23,0)),"Código no existe"))</f>
        <v/>
      </c>
      <c r="F203" s="29"/>
      <c r="G203" s="9"/>
      <c r="H203" s="32"/>
      <c r="I203" s="29"/>
      <c r="J203" s="33" t="n">
        <f aca="false">IF(OR(G203="",I203="Sí"),0,G203)</f>
        <v>0</v>
      </c>
      <c r="K203" s="34" t="n">
        <f aca="false">IF(OR(H203="",I203="Sí"),0,ROUND(H203/(1+Resumen!$B$9),0))</f>
        <v>0</v>
      </c>
    </row>
    <row r="204" customFormat="false" ht="15" hidden="false" customHeight="true" outlineLevel="0" collapsed="false">
      <c r="A204" s="29"/>
      <c r="B204" s="30"/>
      <c r="C204" s="29"/>
      <c r="D204" s="29"/>
      <c r="E204" s="31" t="str">
        <f aca="false">IF(D204="","",IFERROR(INDEX(Productos!$B$2:$B$23,MATCH(D204,Productos!$A$2:$A$23,0)),"Código no existe"))</f>
        <v/>
      </c>
      <c r="F204" s="29"/>
      <c r="G204" s="9"/>
      <c r="H204" s="32"/>
      <c r="I204" s="29"/>
      <c r="J204" s="33" t="n">
        <f aca="false">IF(OR(G204="",I204="Sí"),0,G204)</f>
        <v>0</v>
      </c>
      <c r="K204" s="34" t="n">
        <f aca="false">IF(OR(H204="",I204="Sí"),0,ROUND(H204/(1+Resumen!$B$9),0))</f>
        <v>0</v>
      </c>
    </row>
    <row r="205" customFormat="false" ht="15" hidden="false" customHeight="true" outlineLevel="0" collapsed="false">
      <c r="A205" s="29"/>
      <c r="B205" s="30"/>
      <c r="C205" s="29"/>
      <c r="D205" s="29"/>
      <c r="E205" s="31" t="str">
        <f aca="false">IF(D205="","",IFERROR(INDEX(Productos!$B$2:$B$23,MATCH(D205,Productos!$A$2:$A$23,0)),"Código no existe"))</f>
        <v/>
      </c>
      <c r="F205" s="29"/>
      <c r="G205" s="9"/>
      <c r="H205" s="32"/>
      <c r="I205" s="29"/>
      <c r="J205" s="33" t="n">
        <f aca="false">IF(OR(G205="",I205="Sí"),0,G205)</f>
        <v>0</v>
      </c>
      <c r="K205" s="34" t="n">
        <f aca="false">IF(OR(H205="",I205="Sí"),0,ROUND(H205/(1+Resumen!$B$9),0))</f>
        <v>0</v>
      </c>
    </row>
    <row r="206" customFormat="false" ht="15" hidden="false" customHeight="true" outlineLevel="0" collapsed="false">
      <c r="A206" s="29"/>
      <c r="B206" s="30"/>
      <c r="C206" s="29"/>
      <c r="D206" s="29"/>
      <c r="E206" s="31" t="str">
        <f aca="false">IF(D206="","",IFERROR(INDEX(Productos!$B$2:$B$23,MATCH(D206,Productos!$A$2:$A$23,0)),"Código no existe"))</f>
        <v/>
      </c>
      <c r="F206" s="29"/>
      <c r="G206" s="9"/>
      <c r="H206" s="32"/>
      <c r="I206" s="29"/>
      <c r="J206" s="33" t="n">
        <f aca="false">IF(OR(G206="",I206="Sí"),0,G206)</f>
        <v>0</v>
      </c>
      <c r="K206" s="34" t="n">
        <f aca="false">IF(OR(H206="",I206="Sí"),0,ROUND(H206/(1+Resumen!$B$9),0))</f>
        <v>0</v>
      </c>
    </row>
    <row r="207" customFormat="false" ht="15" hidden="false" customHeight="true" outlineLevel="0" collapsed="false">
      <c r="A207" s="29"/>
      <c r="B207" s="30"/>
      <c r="C207" s="29"/>
      <c r="D207" s="29"/>
      <c r="E207" s="31" t="str">
        <f aca="false">IF(D207="","",IFERROR(INDEX(Productos!$B$2:$B$23,MATCH(D207,Productos!$A$2:$A$23,0)),"Código no existe"))</f>
        <v/>
      </c>
      <c r="F207" s="29"/>
      <c r="G207" s="9"/>
      <c r="H207" s="32"/>
      <c r="I207" s="29"/>
      <c r="J207" s="33" t="n">
        <f aca="false">IF(OR(G207="",I207="Sí"),0,G207)</f>
        <v>0</v>
      </c>
      <c r="K207" s="34" t="n">
        <f aca="false">IF(OR(H207="",I207="Sí"),0,ROUND(H207/(1+Resumen!$B$9),0))</f>
        <v>0</v>
      </c>
    </row>
    <row r="208" customFormat="false" ht="15" hidden="false" customHeight="true" outlineLevel="0" collapsed="false">
      <c r="A208" s="29"/>
      <c r="B208" s="30"/>
      <c r="C208" s="29"/>
      <c r="D208" s="29"/>
      <c r="E208" s="31" t="str">
        <f aca="false">IF(D208="","",IFERROR(INDEX(Productos!$B$2:$B$23,MATCH(D208,Productos!$A$2:$A$23,0)),"Código no existe"))</f>
        <v/>
      </c>
      <c r="F208" s="29"/>
      <c r="G208" s="9"/>
      <c r="H208" s="32"/>
      <c r="I208" s="29"/>
      <c r="J208" s="33" t="n">
        <f aca="false">IF(OR(G208="",I208="Sí"),0,G208)</f>
        <v>0</v>
      </c>
      <c r="K208" s="34" t="n">
        <f aca="false">IF(OR(H208="",I208="Sí"),0,ROUND(H208/(1+Resumen!$B$9),0))</f>
        <v>0</v>
      </c>
    </row>
    <row r="209" customFormat="false" ht="15" hidden="false" customHeight="true" outlineLevel="0" collapsed="false">
      <c r="A209" s="29"/>
      <c r="B209" s="30"/>
      <c r="C209" s="29"/>
      <c r="D209" s="29"/>
      <c r="E209" s="31" t="str">
        <f aca="false">IF(D209="","",IFERROR(INDEX(Productos!$B$2:$B$23,MATCH(D209,Productos!$A$2:$A$23,0)),"Código no existe"))</f>
        <v/>
      </c>
      <c r="F209" s="29"/>
      <c r="G209" s="9"/>
      <c r="H209" s="32"/>
      <c r="I209" s="29"/>
      <c r="J209" s="33" t="n">
        <f aca="false">IF(OR(G209="",I209="Sí"),0,G209)</f>
        <v>0</v>
      </c>
      <c r="K209" s="34" t="n">
        <f aca="false">IF(OR(H209="",I209="Sí"),0,ROUND(H209/(1+Resumen!$B$9),0))</f>
        <v>0</v>
      </c>
    </row>
    <row r="210" customFormat="false" ht="15" hidden="false" customHeight="true" outlineLevel="0" collapsed="false">
      <c r="A210" s="29"/>
      <c r="B210" s="30"/>
      <c r="C210" s="29"/>
      <c r="D210" s="29"/>
      <c r="E210" s="31" t="str">
        <f aca="false">IF(D210="","",IFERROR(INDEX(Productos!$B$2:$B$23,MATCH(D210,Productos!$A$2:$A$23,0)),"Código no existe"))</f>
        <v/>
      </c>
      <c r="F210" s="29"/>
      <c r="G210" s="9"/>
      <c r="H210" s="32"/>
      <c r="I210" s="29"/>
      <c r="J210" s="33" t="n">
        <f aca="false">IF(OR(G210="",I210="Sí"),0,G210)</f>
        <v>0</v>
      </c>
      <c r="K210" s="34" t="n">
        <f aca="false">IF(OR(H210="",I210="Sí"),0,ROUND(H210/(1+Resumen!$B$9),0))</f>
        <v>0</v>
      </c>
    </row>
    <row r="211" customFormat="false" ht="15" hidden="false" customHeight="true" outlineLevel="0" collapsed="false">
      <c r="A211" s="29"/>
      <c r="B211" s="30"/>
      <c r="C211" s="29"/>
      <c r="D211" s="29"/>
      <c r="E211" s="31" t="str">
        <f aca="false">IF(D211="","",IFERROR(INDEX(Productos!$B$2:$B$23,MATCH(D211,Productos!$A$2:$A$23,0)),"Código no existe"))</f>
        <v/>
      </c>
      <c r="F211" s="29"/>
      <c r="G211" s="9"/>
      <c r="H211" s="32"/>
      <c r="I211" s="29"/>
      <c r="J211" s="33" t="n">
        <f aca="false">IF(OR(G211="",I211="Sí"),0,G211)</f>
        <v>0</v>
      </c>
      <c r="K211" s="34" t="n">
        <f aca="false">IF(OR(H211="",I211="Sí"),0,ROUND(H211/(1+Resumen!$B$9),0))</f>
        <v>0</v>
      </c>
    </row>
    <row r="212" customFormat="false" ht="15" hidden="false" customHeight="true" outlineLevel="0" collapsed="false">
      <c r="A212" s="29"/>
      <c r="B212" s="30"/>
      <c r="C212" s="29"/>
      <c r="D212" s="29"/>
      <c r="E212" s="31" t="str">
        <f aca="false">IF(D212="","",IFERROR(INDEX(Productos!$B$2:$B$23,MATCH(D212,Productos!$A$2:$A$23,0)),"Código no existe"))</f>
        <v/>
      </c>
      <c r="F212" s="29"/>
      <c r="G212" s="9"/>
      <c r="H212" s="32"/>
      <c r="I212" s="29"/>
      <c r="J212" s="33" t="n">
        <f aca="false">IF(OR(G212="",I212="Sí"),0,G212)</f>
        <v>0</v>
      </c>
      <c r="K212" s="34" t="n">
        <f aca="false">IF(OR(H212="",I212="Sí"),0,ROUND(H212/(1+Resumen!$B$9),0))</f>
        <v>0</v>
      </c>
    </row>
    <row r="213" customFormat="false" ht="15" hidden="false" customHeight="true" outlineLevel="0" collapsed="false">
      <c r="A213" s="29"/>
      <c r="B213" s="30"/>
      <c r="C213" s="29"/>
      <c r="D213" s="29"/>
      <c r="E213" s="31" t="str">
        <f aca="false">IF(D213="","",IFERROR(INDEX(Productos!$B$2:$B$23,MATCH(D213,Productos!$A$2:$A$23,0)),"Código no existe"))</f>
        <v/>
      </c>
      <c r="F213" s="29"/>
      <c r="G213" s="9"/>
      <c r="H213" s="32"/>
      <c r="I213" s="29"/>
      <c r="J213" s="33" t="n">
        <f aca="false">IF(OR(G213="",I213="Sí"),0,G213)</f>
        <v>0</v>
      </c>
      <c r="K213" s="34" t="n">
        <f aca="false">IF(OR(H213="",I213="Sí"),0,ROUND(H213/(1+Resumen!$B$9),0))</f>
        <v>0</v>
      </c>
    </row>
    <row r="214" customFormat="false" ht="15" hidden="false" customHeight="true" outlineLevel="0" collapsed="false">
      <c r="A214" s="29"/>
      <c r="B214" s="30"/>
      <c r="C214" s="29"/>
      <c r="D214" s="29"/>
      <c r="E214" s="31" t="str">
        <f aca="false">IF(D214="","",IFERROR(INDEX(Productos!$B$2:$B$23,MATCH(D214,Productos!$A$2:$A$23,0)),"Código no existe"))</f>
        <v/>
      </c>
      <c r="F214" s="29"/>
      <c r="G214" s="9"/>
      <c r="H214" s="32"/>
      <c r="I214" s="29"/>
      <c r="J214" s="33" t="n">
        <f aca="false">IF(OR(G214="",I214="Sí"),0,G214)</f>
        <v>0</v>
      </c>
      <c r="K214" s="34" t="n">
        <f aca="false">IF(OR(H214="",I214="Sí"),0,ROUND(H214/(1+Resumen!$B$9),0))</f>
        <v>0</v>
      </c>
    </row>
    <row r="215" customFormat="false" ht="15" hidden="false" customHeight="true" outlineLevel="0" collapsed="false">
      <c r="A215" s="29"/>
      <c r="B215" s="30"/>
      <c r="C215" s="29"/>
      <c r="D215" s="29"/>
      <c r="E215" s="31" t="str">
        <f aca="false">IF(D215="","",IFERROR(INDEX(Productos!$B$2:$B$23,MATCH(D215,Productos!$A$2:$A$23,0)),"Código no existe"))</f>
        <v/>
      </c>
      <c r="F215" s="29"/>
      <c r="G215" s="9"/>
      <c r="H215" s="32"/>
      <c r="I215" s="29"/>
      <c r="J215" s="33" t="n">
        <f aca="false">IF(OR(G215="",I215="Sí"),0,G215)</f>
        <v>0</v>
      </c>
      <c r="K215" s="34" t="n">
        <f aca="false">IF(OR(H215="",I215="Sí"),0,ROUND(H215/(1+Resumen!$B$9),0))</f>
        <v>0</v>
      </c>
    </row>
    <row r="216" customFormat="false" ht="15" hidden="false" customHeight="true" outlineLevel="0" collapsed="false">
      <c r="A216" s="29"/>
      <c r="B216" s="30"/>
      <c r="C216" s="29"/>
      <c r="D216" s="29"/>
      <c r="E216" s="31" t="str">
        <f aca="false">IF(D216="","",IFERROR(INDEX(Productos!$B$2:$B$23,MATCH(D216,Productos!$A$2:$A$23,0)),"Código no existe"))</f>
        <v/>
      </c>
      <c r="F216" s="29"/>
      <c r="G216" s="9"/>
      <c r="H216" s="32"/>
      <c r="I216" s="29"/>
      <c r="J216" s="33" t="n">
        <f aca="false">IF(OR(G216="",I216="Sí"),0,G216)</f>
        <v>0</v>
      </c>
      <c r="K216" s="34" t="n">
        <f aca="false">IF(OR(H216="",I216="Sí"),0,ROUND(H216/(1+Resumen!$B$9),0))</f>
        <v>0</v>
      </c>
    </row>
    <row r="217" customFormat="false" ht="15" hidden="false" customHeight="true" outlineLevel="0" collapsed="false">
      <c r="A217" s="29"/>
      <c r="B217" s="30"/>
      <c r="C217" s="29"/>
      <c r="D217" s="29"/>
      <c r="E217" s="31" t="str">
        <f aca="false">IF(D217="","",IFERROR(INDEX(Productos!$B$2:$B$23,MATCH(D217,Productos!$A$2:$A$23,0)),"Código no existe"))</f>
        <v/>
      </c>
      <c r="F217" s="29"/>
      <c r="G217" s="9"/>
      <c r="H217" s="32"/>
      <c r="I217" s="29"/>
      <c r="J217" s="33" t="n">
        <f aca="false">IF(OR(G217="",I217="Sí"),0,G217)</f>
        <v>0</v>
      </c>
      <c r="K217" s="34" t="n">
        <f aca="false">IF(OR(H217="",I217="Sí"),0,ROUND(H217/(1+Resumen!$B$9),0))</f>
        <v>0</v>
      </c>
    </row>
    <row r="218" customFormat="false" ht="15" hidden="false" customHeight="true" outlineLevel="0" collapsed="false">
      <c r="A218" s="29"/>
      <c r="B218" s="30"/>
      <c r="C218" s="29"/>
      <c r="D218" s="29"/>
      <c r="E218" s="31" t="str">
        <f aca="false">IF(D218="","",IFERROR(INDEX(Productos!$B$2:$B$23,MATCH(D218,Productos!$A$2:$A$23,0)),"Código no existe"))</f>
        <v/>
      </c>
      <c r="F218" s="29"/>
      <c r="G218" s="9"/>
      <c r="H218" s="32"/>
      <c r="I218" s="29"/>
      <c r="J218" s="33" t="n">
        <f aca="false">IF(OR(G218="",I218="Sí"),0,G218)</f>
        <v>0</v>
      </c>
      <c r="K218" s="34" t="n">
        <f aca="false">IF(OR(H218="",I218="Sí"),0,ROUND(H218/(1+Resumen!$B$9),0))</f>
        <v>0</v>
      </c>
    </row>
    <row r="219" customFormat="false" ht="15" hidden="false" customHeight="true" outlineLevel="0" collapsed="false">
      <c r="A219" s="29"/>
      <c r="B219" s="30"/>
      <c r="C219" s="29"/>
      <c r="D219" s="29"/>
      <c r="E219" s="31" t="str">
        <f aca="false">IF(D219="","",IFERROR(INDEX(Productos!$B$2:$B$23,MATCH(D219,Productos!$A$2:$A$23,0)),"Código no existe"))</f>
        <v/>
      </c>
      <c r="F219" s="29"/>
      <c r="G219" s="9"/>
      <c r="H219" s="32"/>
      <c r="I219" s="29"/>
      <c r="J219" s="33" t="n">
        <f aca="false">IF(OR(G219="",I219="Sí"),0,G219)</f>
        <v>0</v>
      </c>
      <c r="K219" s="34" t="n">
        <f aca="false">IF(OR(H219="",I219="Sí"),0,ROUND(H219/(1+Resumen!$B$9),0))</f>
        <v>0</v>
      </c>
    </row>
    <row r="220" customFormat="false" ht="15" hidden="false" customHeight="true" outlineLevel="0" collapsed="false">
      <c r="A220" s="29"/>
      <c r="B220" s="30"/>
      <c r="C220" s="29"/>
      <c r="D220" s="29"/>
      <c r="E220" s="31" t="str">
        <f aca="false">IF(D220="","",IFERROR(INDEX(Productos!$B$2:$B$23,MATCH(D220,Productos!$A$2:$A$23,0)),"Código no existe"))</f>
        <v/>
      </c>
      <c r="F220" s="29"/>
      <c r="G220" s="9"/>
      <c r="H220" s="32"/>
      <c r="I220" s="29"/>
      <c r="J220" s="33" t="n">
        <f aca="false">IF(OR(G220="",I220="Sí"),0,G220)</f>
        <v>0</v>
      </c>
      <c r="K220" s="34" t="n">
        <f aca="false">IF(OR(H220="",I220="Sí"),0,ROUND(H220/(1+Resumen!$B$9),0))</f>
        <v>0</v>
      </c>
    </row>
    <row r="221" customFormat="false" ht="15" hidden="false" customHeight="true" outlineLevel="0" collapsed="false">
      <c r="A221" s="29"/>
      <c r="B221" s="30"/>
      <c r="C221" s="29"/>
      <c r="D221" s="29"/>
      <c r="E221" s="31" t="str">
        <f aca="false">IF(D221="","",IFERROR(INDEX(Productos!$B$2:$B$23,MATCH(D221,Productos!$A$2:$A$23,0)),"Código no existe"))</f>
        <v/>
      </c>
      <c r="F221" s="29"/>
      <c r="G221" s="9"/>
      <c r="H221" s="32"/>
      <c r="I221" s="29"/>
      <c r="J221" s="33" t="n">
        <f aca="false">IF(OR(G221="",I221="Sí"),0,G221)</f>
        <v>0</v>
      </c>
      <c r="K221" s="34" t="n">
        <f aca="false">IF(OR(H221="",I221="Sí"),0,ROUND(H221/(1+Resumen!$B$9),0))</f>
        <v>0</v>
      </c>
    </row>
    <row r="222" customFormat="false" ht="15" hidden="false" customHeight="true" outlineLevel="0" collapsed="false">
      <c r="A222" s="29"/>
      <c r="B222" s="30"/>
      <c r="C222" s="29"/>
      <c r="D222" s="29"/>
      <c r="E222" s="31" t="str">
        <f aca="false">IF(D222="","",IFERROR(INDEX(Productos!$B$2:$B$23,MATCH(D222,Productos!$A$2:$A$23,0)),"Código no existe"))</f>
        <v/>
      </c>
      <c r="F222" s="29"/>
      <c r="G222" s="9"/>
      <c r="H222" s="32"/>
      <c r="I222" s="29"/>
      <c r="J222" s="33" t="n">
        <f aca="false">IF(OR(G222="",I222="Sí"),0,G222)</f>
        <v>0</v>
      </c>
      <c r="K222" s="34" t="n">
        <f aca="false">IF(OR(H222="",I222="Sí"),0,ROUND(H222/(1+Resumen!$B$9),0))</f>
        <v>0</v>
      </c>
    </row>
    <row r="223" customFormat="false" ht="15" hidden="false" customHeight="true" outlineLevel="0" collapsed="false">
      <c r="A223" s="29"/>
      <c r="B223" s="30"/>
      <c r="C223" s="29"/>
      <c r="D223" s="29"/>
      <c r="E223" s="31" t="str">
        <f aca="false">IF(D223="","",IFERROR(INDEX(Productos!$B$2:$B$23,MATCH(D223,Productos!$A$2:$A$23,0)),"Código no existe"))</f>
        <v/>
      </c>
      <c r="F223" s="29"/>
      <c r="G223" s="9"/>
      <c r="H223" s="32"/>
      <c r="I223" s="29"/>
      <c r="J223" s="33" t="n">
        <f aca="false">IF(OR(G223="",I223="Sí"),0,G223)</f>
        <v>0</v>
      </c>
      <c r="K223" s="34" t="n">
        <f aca="false">IF(OR(H223="",I223="Sí"),0,ROUND(H223/(1+Resumen!$B$9),0))</f>
        <v>0</v>
      </c>
    </row>
    <row r="224" customFormat="false" ht="15" hidden="false" customHeight="true" outlineLevel="0" collapsed="false">
      <c r="A224" s="29"/>
      <c r="B224" s="30"/>
      <c r="C224" s="29"/>
      <c r="D224" s="29"/>
      <c r="E224" s="31" t="str">
        <f aca="false">IF(D224="","",IFERROR(INDEX(Productos!$B$2:$B$23,MATCH(D224,Productos!$A$2:$A$23,0)),"Código no existe"))</f>
        <v/>
      </c>
      <c r="F224" s="29"/>
      <c r="G224" s="9"/>
      <c r="H224" s="32"/>
      <c r="I224" s="29"/>
      <c r="J224" s="33" t="n">
        <f aca="false">IF(OR(G224="",I224="Sí"),0,G224)</f>
        <v>0</v>
      </c>
      <c r="K224" s="34" t="n">
        <f aca="false">IF(OR(H224="",I224="Sí"),0,ROUND(H224/(1+Resumen!$B$9),0))</f>
        <v>0</v>
      </c>
    </row>
    <row r="225" customFormat="false" ht="15" hidden="false" customHeight="true" outlineLevel="0" collapsed="false">
      <c r="A225" s="29"/>
      <c r="B225" s="30"/>
      <c r="C225" s="29"/>
      <c r="D225" s="29"/>
      <c r="E225" s="31" t="str">
        <f aca="false">IF(D225="","",IFERROR(INDEX(Productos!$B$2:$B$23,MATCH(D225,Productos!$A$2:$A$23,0)),"Código no existe"))</f>
        <v/>
      </c>
      <c r="F225" s="29"/>
      <c r="G225" s="9"/>
      <c r="H225" s="32"/>
      <c r="I225" s="29"/>
      <c r="J225" s="33" t="n">
        <f aca="false">IF(OR(G225="",I225="Sí"),0,G225)</f>
        <v>0</v>
      </c>
      <c r="K225" s="34" t="n">
        <f aca="false">IF(OR(H225="",I225="Sí"),0,ROUND(H225/(1+Resumen!$B$9),0))</f>
        <v>0</v>
      </c>
    </row>
    <row r="226" customFormat="false" ht="15" hidden="false" customHeight="true" outlineLevel="0" collapsed="false">
      <c r="A226" s="29"/>
      <c r="B226" s="30"/>
      <c r="C226" s="29"/>
      <c r="D226" s="29"/>
      <c r="E226" s="31" t="str">
        <f aca="false">IF(D226="","",IFERROR(INDEX(Productos!$B$2:$B$23,MATCH(D226,Productos!$A$2:$A$23,0)),"Código no existe"))</f>
        <v/>
      </c>
      <c r="F226" s="29"/>
      <c r="G226" s="9"/>
      <c r="H226" s="32"/>
      <c r="I226" s="29"/>
      <c r="J226" s="33" t="n">
        <f aca="false">IF(OR(G226="",I226="Sí"),0,G226)</f>
        <v>0</v>
      </c>
      <c r="K226" s="34" t="n">
        <f aca="false">IF(OR(H226="",I226="Sí"),0,ROUND(H226/(1+Resumen!$B$9),0))</f>
        <v>0</v>
      </c>
    </row>
    <row r="227" customFormat="false" ht="15" hidden="false" customHeight="true" outlineLevel="0" collapsed="false">
      <c r="A227" s="29"/>
      <c r="B227" s="30"/>
      <c r="C227" s="29"/>
      <c r="D227" s="29"/>
      <c r="E227" s="31" t="str">
        <f aca="false">IF(D227="","",IFERROR(INDEX(Productos!$B$2:$B$23,MATCH(D227,Productos!$A$2:$A$23,0)),"Código no existe"))</f>
        <v/>
      </c>
      <c r="F227" s="29"/>
      <c r="G227" s="9"/>
      <c r="H227" s="32"/>
      <c r="I227" s="29"/>
      <c r="J227" s="33" t="n">
        <f aca="false">IF(OR(G227="",I227="Sí"),0,G227)</f>
        <v>0</v>
      </c>
      <c r="K227" s="34" t="n">
        <f aca="false">IF(OR(H227="",I227="Sí"),0,ROUND(H227/(1+Resumen!$B$9),0))</f>
        <v>0</v>
      </c>
    </row>
    <row r="228" customFormat="false" ht="15" hidden="false" customHeight="true" outlineLevel="0" collapsed="false">
      <c r="A228" s="29"/>
      <c r="B228" s="30"/>
      <c r="C228" s="29"/>
      <c r="D228" s="29"/>
      <c r="E228" s="31" t="str">
        <f aca="false">IF(D228="","",IFERROR(INDEX(Productos!$B$2:$B$23,MATCH(D228,Productos!$A$2:$A$23,0)),"Código no existe"))</f>
        <v/>
      </c>
      <c r="F228" s="29"/>
      <c r="G228" s="9"/>
      <c r="H228" s="32"/>
      <c r="I228" s="29"/>
      <c r="J228" s="33" t="n">
        <f aca="false">IF(OR(G228="",I228="Sí"),0,G228)</f>
        <v>0</v>
      </c>
      <c r="K228" s="34" t="n">
        <f aca="false">IF(OR(H228="",I228="Sí"),0,ROUND(H228/(1+Resumen!$B$9),0))</f>
        <v>0</v>
      </c>
    </row>
    <row r="229" customFormat="false" ht="15" hidden="false" customHeight="true" outlineLevel="0" collapsed="false">
      <c r="A229" s="29"/>
      <c r="B229" s="30"/>
      <c r="C229" s="29"/>
      <c r="D229" s="29"/>
      <c r="E229" s="31" t="str">
        <f aca="false">IF(D229="","",IFERROR(INDEX(Productos!$B$2:$B$23,MATCH(D229,Productos!$A$2:$A$23,0)),"Código no existe"))</f>
        <v/>
      </c>
      <c r="F229" s="29"/>
      <c r="G229" s="9"/>
      <c r="H229" s="32"/>
      <c r="I229" s="29"/>
      <c r="J229" s="33" t="n">
        <f aca="false">IF(OR(G229="",I229="Sí"),0,G229)</f>
        <v>0</v>
      </c>
      <c r="K229" s="34" t="n">
        <f aca="false">IF(OR(H229="",I229="Sí"),0,ROUND(H229/(1+Resumen!$B$9),0))</f>
        <v>0</v>
      </c>
    </row>
    <row r="230" customFormat="false" ht="15" hidden="false" customHeight="true" outlineLevel="0" collapsed="false">
      <c r="A230" s="29"/>
      <c r="B230" s="30"/>
      <c r="C230" s="29"/>
      <c r="D230" s="29"/>
      <c r="E230" s="31" t="str">
        <f aca="false">IF(D230="","",IFERROR(INDEX(Productos!$B$2:$B$23,MATCH(D230,Productos!$A$2:$A$23,0)),"Código no existe"))</f>
        <v/>
      </c>
      <c r="F230" s="29"/>
      <c r="G230" s="9"/>
      <c r="H230" s="32"/>
      <c r="I230" s="29"/>
      <c r="J230" s="33" t="n">
        <f aca="false">IF(OR(G230="",I230="Sí"),0,G230)</f>
        <v>0</v>
      </c>
      <c r="K230" s="34" t="n">
        <f aca="false">IF(OR(H230="",I230="Sí"),0,ROUND(H230/(1+Resumen!$B$9),0))</f>
        <v>0</v>
      </c>
    </row>
    <row r="231" customFormat="false" ht="15" hidden="false" customHeight="true" outlineLevel="0" collapsed="false">
      <c r="A231" s="29"/>
      <c r="B231" s="30"/>
      <c r="C231" s="29"/>
      <c r="D231" s="29"/>
      <c r="E231" s="31" t="str">
        <f aca="false">IF(D231="","",IFERROR(INDEX(Productos!$B$2:$B$23,MATCH(D231,Productos!$A$2:$A$23,0)),"Código no existe"))</f>
        <v/>
      </c>
      <c r="F231" s="29"/>
      <c r="G231" s="9"/>
      <c r="H231" s="32"/>
      <c r="I231" s="29"/>
      <c r="J231" s="33" t="n">
        <f aca="false">IF(OR(G231="",I231="Sí"),0,G231)</f>
        <v>0</v>
      </c>
      <c r="K231" s="34" t="n">
        <f aca="false">IF(OR(H231="",I231="Sí"),0,ROUND(H231/(1+Resumen!$B$9),0))</f>
        <v>0</v>
      </c>
    </row>
    <row r="232" customFormat="false" ht="15" hidden="false" customHeight="true" outlineLevel="0" collapsed="false">
      <c r="A232" s="29"/>
      <c r="B232" s="30"/>
      <c r="C232" s="29"/>
      <c r="D232" s="29"/>
      <c r="E232" s="31" t="str">
        <f aca="false">IF(D232="","",IFERROR(INDEX(Productos!$B$2:$B$23,MATCH(D232,Productos!$A$2:$A$23,0)),"Código no existe"))</f>
        <v/>
      </c>
      <c r="F232" s="29"/>
      <c r="G232" s="9"/>
      <c r="H232" s="32"/>
      <c r="I232" s="29"/>
      <c r="J232" s="33" t="n">
        <f aca="false">IF(OR(G232="",I232="Sí"),0,G232)</f>
        <v>0</v>
      </c>
      <c r="K232" s="34" t="n">
        <f aca="false">IF(OR(H232="",I232="Sí"),0,ROUND(H232/(1+Resumen!$B$9),0))</f>
        <v>0</v>
      </c>
    </row>
    <row r="233" customFormat="false" ht="15" hidden="false" customHeight="true" outlineLevel="0" collapsed="false">
      <c r="A233" s="29"/>
      <c r="B233" s="30"/>
      <c r="C233" s="29"/>
      <c r="D233" s="29"/>
      <c r="E233" s="31" t="str">
        <f aca="false">IF(D233="","",IFERROR(INDEX(Productos!$B$2:$B$23,MATCH(D233,Productos!$A$2:$A$23,0)),"Código no existe"))</f>
        <v/>
      </c>
      <c r="F233" s="29"/>
      <c r="G233" s="9"/>
      <c r="H233" s="32"/>
      <c r="I233" s="29"/>
      <c r="J233" s="33" t="n">
        <f aca="false">IF(OR(G233="",I233="Sí"),0,G233)</f>
        <v>0</v>
      </c>
      <c r="K233" s="34" t="n">
        <f aca="false">IF(OR(H233="",I233="Sí"),0,ROUND(H233/(1+Resumen!$B$9),0))</f>
        <v>0</v>
      </c>
    </row>
    <row r="234" customFormat="false" ht="15" hidden="false" customHeight="true" outlineLevel="0" collapsed="false">
      <c r="A234" s="29"/>
      <c r="B234" s="30"/>
      <c r="C234" s="29"/>
      <c r="D234" s="29"/>
      <c r="E234" s="31" t="str">
        <f aca="false">IF(D234="","",IFERROR(INDEX(Productos!$B$2:$B$23,MATCH(D234,Productos!$A$2:$A$23,0)),"Código no existe"))</f>
        <v/>
      </c>
      <c r="F234" s="29"/>
      <c r="G234" s="9"/>
      <c r="H234" s="32"/>
      <c r="I234" s="29"/>
      <c r="J234" s="33" t="n">
        <f aca="false">IF(OR(G234="",I234="Sí"),0,G234)</f>
        <v>0</v>
      </c>
      <c r="K234" s="34" t="n">
        <f aca="false">IF(OR(H234="",I234="Sí"),0,ROUND(H234/(1+Resumen!$B$9),0))</f>
        <v>0</v>
      </c>
    </row>
    <row r="235" customFormat="false" ht="15" hidden="false" customHeight="true" outlineLevel="0" collapsed="false">
      <c r="A235" s="29"/>
      <c r="B235" s="30"/>
      <c r="C235" s="29"/>
      <c r="D235" s="29"/>
      <c r="E235" s="31" t="str">
        <f aca="false">IF(D235="","",IFERROR(INDEX(Productos!$B$2:$B$23,MATCH(D235,Productos!$A$2:$A$23,0)),"Código no existe"))</f>
        <v/>
      </c>
      <c r="F235" s="29"/>
      <c r="G235" s="9"/>
      <c r="H235" s="32"/>
      <c r="I235" s="29"/>
      <c r="J235" s="33" t="n">
        <f aca="false">IF(OR(G235="",I235="Sí"),0,G235)</f>
        <v>0</v>
      </c>
      <c r="K235" s="34" t="n">
        <f aca="false">IF(OR(H235="",I235="Sí"),0,ROUND(H235/(1+Resumen!$B$9),0))</f>
        <v>0</v>
      </c>
    </row>
    <row r="236" customFormat="false" ht="15" hidden="false" customHeight="true" outlineLevel="0" collapsed="false">
      <c r="A236" s="29"/>
      <c r="B236" s="30"/>
      <c r="C236" s="29"/>
      <c r="D236" s="29"/>
      <c r="E236" s="31" t="str">
        <f aca="false">IF(D236="","",IFERROR(INDEX(Productos!$B$2:$B$23,MATCH(D236,Productos!$A$2:$A$23,0)),"Código no existe"))</f>
        <v/>
      </c>
      <c r="F236" s="29"/>
      <c r="G236" s="9"/>
      <c r="H236" s="32"/>
      <c r="I236" s="29"/>
      <c r="J236" s="33" t="n">
        <f aca="false">IF(OR(G236="",I236="Sí"),0,G236)</f>
        <v>0</v>
      </c>
      <c r="K236" s="34" t="n">
        <f aca="false">IF(OR(H236="",I236="Sí"),0,ROUND(H236/(1+Resumen!$B$9),0))</f>
        <v>0</v>
      </c>
    </row>
    <row r="237" customFormat="false" ht="15" hidden="false" customHeight="true" outlineLevel="0" collapsed="false">
      <c r="A237" s="29"/>
      <c r="B237" s="30"/>
      <c r="C237" s="29"/>
      <c r="D237" s="29"/>
      <c r="E237" s="31" t="str">
        <f aca="false">IF(D237="","",IFERROR(INDEX(Productos!$B$2:$B$23,MATCH(D237,Productos!$A$2:$A$23,0)),"Código no existe"))</f>
        <v/>
      </c>
      <c r="F237" s="29"/>
      <c r="G237" s="9"/>
      <c r="H237" s="32"/>
      <c r="I237" s="29"/>
      <c r="J237" s="33" t="n">
        <f aca="false">IF(OR(G237="",I237="Sí"),0,G237)</f>
        <v>0</v>
      </c>
      <c r="K237" s="34" t="n">
        <f aca="false">IF(OR(H237="",I237="Sí"),0,ROUND(H237/(1+Resumen!$B$9),0))</f>
        <v>0</v>
      </c>
    </row>
    <row r="238" customFormat="false" ht="15" hidden="false" customHeight="true" outlineLevel="0" collapsed="false">
      <c r="A238" s="29"/>
      <c r="B238" s="30"/>
      <c r="C238" s="29"/>
      <c r="D238" s="29"/>
      <c r="E238" s="31" t="str">
        <f aca="false">IF(D238="","",IFERROR(INDEX(Productos!$B$2:$B$23,MATCH(D238,Productos!$A$2:$A$23,0)),"Código no existe"))</f>
        <v/>
      </c>
      <c r="F238" s="29"/>
      <c r="G238" s="9"/>
      <c r="H238" s="32"/>
      <c r="I238" s="29"/>
      <c r="J238" s="33" t="n">
        <f aca="false">IF(OR(G238="",I238="Sí"),0,G238)</f>
        <v>0</v>
      </c>
      <c r="K238" s="34" t="n">
        <f aca="false">IF(OR(H238="",I238="Sí"),0,ROUND(H238/(1+Resumen!$B$9),0))</f>
        <v>0</v>
      </c>
    </row>
    <row r="239" customFormat="false" ht="15" hidden="false" customHeight="true" outlineLevel="0" collapsed="false">
      <c r="A239" s="29"/>
      <c r="B239" s="30"/>
      <c r="C239" s="29"/>
      <c r="D239" s="29"/>
      <c r="E239" s="31" t="str">
        <f aca="false">IF(D239="","",IFERROR(INDEX(Productos!$B$2:$B$23,MATCH(D239,Productos!$A$2:$A$23,0)),"Código no existe"))</f>
        <v/>
      </c>
      <c r="F239" s="29"/>
      <c r="G239" s="9"/>
      <c r="H239" s="32"/>
      <c r="I239" s="29"/>
      <c r="J239" s="33" t="n">
        <f aca="false">IF(OR(G239="",I239="Sí"),0,G239)</f>
        <v>0</v>
      </c>
      <c r="K239" s="34" t="n">
        <f aca="false">IF(OR(H239="",I239="Sí"),0,ROUND(H239/(1+Resumen!$B$9),0))</f>
        <v>0</v>
      </c>
    </row>
    <row r="240" customFormat="false" ht="15" hidden="false" customHeight="true" outlineLevel="0" collapsed="false">
      <c r="A240" s="29"/>
      <c r="B240" s="30"/>
      <c r="C240" s="29"/>
      <c r="D240" s="29"/>
      <c r="E240" s="31" t="str">
        <f aca="false">IF(D240="","",IFERROR(INDEX(Productos!$B$2:$B$23,MATCH(D240,Productos!$A$2:$A$23,0)),"Código no existe"))</f>
        <v/>
      </c>
      <c r="F240" s="29"/>
      <c r="G240" s="9"/>
      <c r="H240" s="32"/>
      <c r="I240" s="29"/>
      <c r="J240" s="33" t="n">
        <f aca="false">IF(OR(G240="",I240="Sí"),0,G240)</f>
        <v>0</v>
      </c>
      <c r="K240" s="34" t="n">
        <f aca="false">IF(OR(H240="",I240="Sí"),0,ROUND(H240/(1+Resumen!$B$9),0))</f>
        <v>0</v>
      </c>
    </row>
    <row r="241" customFormat="false" ht="15" hidden="false" customHeight="true" outlineLevel="0" collapsed="false">
      <c r="A241" s="29"/>
      <c r="B241" s="30"/>
      <c r="C241" s="29"/>
      <c r="D241" s="29"/>
      <c r="E241" s="31" t="str">
        <f aca="false">IF(D241="","",IFERROR(INDEX(Productos!$B$2:$B$23,MATCH(D241,Productos!$A$2:$A$23,0)),"Código no existe"))</f>
        <v/>
      </c>
      <c r="F241" s="29"/>
      <c r="G241" s="9"/>
      <c r="H241" s="32"/>
      <c r="I241" s="29"/>
      <c r="J241" s="33" t="n">
        <f aca="false">IF(OR(G241="",I241="Sí"),0,G241)</f>
        <v>0</v>
      </c>
      <c r="K241" s="34" t="n">
        <f aca="false">IF(OR(H241="",I241="Sí"),0,ROUND(H241/(1+Resumen!$B$9),0))</f>
        <v>0</v>
      </c>
    </row>
    <row r="242" customFormat="false" ht="15" hidden="false" customHeight="true" outlineLevel="0" collapsed="false">
      <c r="A242" s="29"/>
      <c r="B242" s="30"/>
      <c r="C242" s="29"/>
      <c r="D242" s="29"/>
      <c r="E242" s="31" t="str">
        <f aca="false">IF(D242="","",IFERROR(INDEX(Productos!$B$2:$B$23,MATCH(D242,Productos!$A$2:$A$23,0)),"Código no existe"))</f>
        <v/>
      </c>
      <c r="F242" s="29"/>
      <c r="G242" s="9"/>
      <c r="H242" s="32"/>
      <c r="I242" s="29"/>
      <c r="J242" s="33" t="n">
        <f aca="false">IF(OR(G242="",I242="Sí"),0,G242)</f>
        <v>0</v>
      </c>
      <c r="K242" s="34" t="n">
        <f aca="false">IF(OR(H242="",I242="Sí"),0,ROUND(H242/(1+Resumen!$B$9),0))</f>
        <v>0</v>
      </c>
    </row>
    <row r="243" customFormat="false" ht="15" hidden="false" customHeight="true" outlineLevel="0" collapsed="false">
      <c r="A243" s="29"/>
      <c r="B243" s="30"/>
      <c r="C243" s="29"/>
      <c r="D243" s="29"/>
      <c r="E243" s="31" t="str">
        <f aca="false">IF(D243="","",IFERROR(INDEX(Productos!$B$2:$B$23,MATCH(D243,Productos!$A$2:$A$23,0)),"Código no existe"))</f>
        <v/>
      </c>
      <c r="F243" s="29"/>
      <c r="G243" s="9"/>
      <c r="H243" s="32"/>
      <c r="I243" s="29"/>
      <c r="J243" s="33" t="n">
        <f aca="false">IF(OR(G243="",I243="Sí"),0,G243)</f>
        <v>0</v>
      </c>
      <c r="K243" s="34" t="n">
        <f aca="false">IF(OR(H243="",I243="Sí"),0,ROUND(H243/(1+Resumen!$B$9),0))</f>
        <v>0</v>
      </c>
    </row>
    <row r="244" customFormat="false" ht="15" hidden="false" customHeight="true" outlineLevel="0" collapsed="false">
      <c r="A244" s="29"/>
      <c r="B244" s="30"/>
      <c r="C244" s="29"/>
      <c r="D244" s="29"/>
      <c r="E244" s="31" t="str">
        <f aca="false">IF(D244="","",IFERROR(INDEX(Productos!$B$2:$B$23,MATCH(D244,Productos!$A$2:$A$23,0)),"Código no existe"))</f>
        <v/>
      </c>
      <c r="F244" s="29"/>
      <c r="G244" s="9"/>
      <c r="H244" s="32"/>
      <c r="I244" s="29"/>
      <c r="J244" s="33" t="n">
        <f aca="false">IF(OR(G244="",I244="Sí"),0,G244)</f>
        <v>0</v>
      </c>
      <c r="K244" s="34" t="n">
        <f aca="false">IF(OR(H244="",I244="Sí"),0,ROUND(H244/(1+Resumen!$B$9),0))</f>
        <v>0</v>
      </c>
    </row>
    <row r="245" customFormat="false" ht="15" hidden="false" customHeight="true" outlineLevel="0" collapsed="false">
      <c r="A245" s="29"/>
      <c r="B245" s="30"/>
      <c r="C245" s="29"/>
      <c r="D245" s="29"/>
      <c r="E245" s="31" t="str">
        <f aca="false">IF(D245="","",IFERROR(INDEX(Productos!$B$2:$B$23,MATCH(D245,Productos!$A$2:$A$23,0)),"Código no existe"))</f>
        <v/>
      </c>
      <c r="F245" s="29"/>
      <c r="G245" s="9"/>
      <c r="H245" s="32"/>
      <c r="I245" s="29"/>
      <c r="J245" s="33" t="n">
        <f aca="false">IF(OR(G245="",I245="Sí"),0,G245)</f>
        <v>0</v>
      </c>
      <c r="K245" s="34" t="n">
        <f aca="false">IF(OR(H245="",I245="Sí"),0,ROUND(H245/(1+Resumen!$B$9),0))</f>
        <v>0</v>
      </c>
    </row>
    <row r="246" customFormat="false" ht="15" hidden="false" customHeight="true" outlineLevel="0" collapsed="false">
      <c r="A246" s="29"/>
      <c r="B246" s="30"/>
      <c r="C246" s="29"/>
      <c r="D246" s="29"/>
      <c r="E246" s="31" t="str">
        <f aca="false">IF(D246="","",IFERROR(INDEX(Productos!$B$2:$B$23,MATCH(D246,Productos!$A$2:$A$23,0)),"Código no existe"))</f>
        <v/>
      </c>
      <c r="F246" s="29"/>
      <c r="G246" s="9"/>
      <c r="H246" s="32"/>
      <c r="I246" s="29"/>
      <c r="J246" s="33" t="n">
        <f aca="false">IF(OR(G246="",I246="Sí"),0,G246)</f>
        <v>0</v>
      </c>
      <c r="K246" s="34" t="n">
        <f aca="false">IF(OR(H246="",I246="Sí"),0,ROUND(H246/(1+Resumen!$B$9),0))</f>
        <v>0</v>
      </c>
    </row>
    <row r="247" customFormat="false" ht="15" hidden="false" customHeight="true" outlineLevel="0" collapsed="false">
      <c r="A247" s="29"/>
      <c r="B247" s="30"/>
      <c r="C247" s="29"/>
      <c r="D247" s="29"/>
      <c r="E247" s="31" t="str">
        <f aca="false">IF(D247="","",IFERROR(INDEX(Productos!$B$2:$B$23,MATCH(D247,Productos!$A$2:$A$23,0)),"Código no existe"))</f>
        <v/>
      </c>
      <c r="F247" s="29"/>
      <c r="G247" s="9"/>
      <c r="H247" s="32"/>
      <c r="I247" s="29"/>
      <c r="J247" s="33" t="n">
        <f aca="false">IF(OR(G247="",I247="Sí"),0,G247)</f>
        <v>0</v>
      </c>
      <c r="K247" s="34" t="n">
        <f aca="false">IF(OR(H247="",I247="Sí"),0,ROUND(H247/(1+Resumen!$B$9),0))</f>
        <v>0</v>
      </c>
    </row>
    <row r="248" customFormat="false" ht="15" hidden="false" customHeight="true" outlineLevel="0" collapsed="false">
      <c r="A248" s="29"/>
      <c r="B248" s="30"/>
      <c r="C248" s="29"/>
      <c r="D248" s="29"/>
      <c r="E248" s="31" t="str">
        <f aca="false">IF(D248="","",IFERROR(INDEX(Productos!$B$2:$B$23,MATCH(D248,Productos!$A$2:$A$23,0)),"Código no existe"))</f>
        <v/>
      </c>
      <c r="F248" s="29"/>
      <c r="G248" s="9"/>
      <c r="H248" s="32"/>
      <c r="I248" s="29"/>
      <c r="J248" s="33" t="n">
        <f aca="false">IF(OR(G248="",I248="Sí"),0,G248)</f>
        <v>0</v>
      </c>
      <c r="K248" s="34" t="n">
        <f aca="false">IF(OR(H248="",I248="Sí"),0,ROUND(H248/(1+Resumen!$B$9),0))</f>
        <v>0</v>
      </c>
    </row>
    <row r="249" customFormat="false" ht="15" hidden="false" customHeight="true" outlineLevel="0" collapsed="false">
      <c r="A249" s="29"/>
      <c r="B249" s="30"/>
      <c r="C249" s="29"/>
      <c r="D249" s="29"/>
      <c r="E249" s="31" t="str">
        <f aca="false">IF(D249="","",IFERROR(INDEX(Productos!$B$2:$B$23,MATCH(D249,Productos!$A$2:$A$23,0)),"Código no existe"))</f>
        <v/>
      </c>
      <c r="F249" s="29"/>
      <c r="G249" s="9"/>
      <c r="H249" s="32"/>
      <c r="I249" s="29"/>
      <c r="J249" s="33" t="n">
        <f aca="false">IF(OR(G249="",I249="Sí"),0,G249)</f>
        <v>0</v>
      </c>
      <c r="K249" s="34" t="n">
        <f aca="false">IF(OR(H249="",I249="Sí"),0,ROUND(H249/(1+Resumen!$B$9),0))</f>
        <v>0</v>
      </c>
    </row>
    <row r="250" customFormat="false" ht="15" hidden="false" customHeight="true" outlineLevel="0" collapsed="false">
      <c r="A250" s="29"/>
      <c r="B250" s="30"/>
      <c r="C250" s="29"/>
      <c r="D250" s="29"/>
      <c r="E250" s="31" t="str">
        <f aca="false">IF(D250="","",IFERROR(INDEX(Productos!$B$2:$B$23,MATCH(D250,Productos!$A$2:$A$23,0)),"Código no existe"))</f>
        <v/>
      </c>
      <c r="F250" s="29"/>
      <c r="G250" s="9"/>
      <c r="H250" s="32"/>
      <c r="I250" s="29"/>
      <c r="J250" s="33" t="n">
        <f aca="false">IF(OR(G250="",I250="Sí"),0,G250)</f>
        <v>0</v>
      </c>
      <c r="K250" s="34" t="n">
        <f aca="false">IF(OR(H250="",I250="Sí"),0,ROUND(H250/(1+Resumen!$B$9),0))</f>
        <v>0</v>
      </c>
    </row>
    <row r="251" customFormat="false" ht="15" hidden="false" customHeight="true" outlineLevel="0" collapsed="false">
      <c r="A251" s="29"/>
      <c r="B251" s="30"/>
      <c r="C251" s="29"/>
      <c r="D251" s="29"/>
      <c r="E251" s="31" t="str">
        <f aca="false">IF(D251="","",IFERROR(INDEX(Productos!$B$2:$B$23,MATCH(D251,Productos!$A$2:$A$23,0)),"Código no existe"))</f>
        <v/>
      </c>
      <c r="F251" s="29"/>
      <c r="G251" s="9"/>
      <c r="H251" s="32"/>
      <c r="I251" s="29"/>
      <c r="J251" s="33" t="n">
        <f aca="false">IF(OR(G251="",I251="Sí"),0,G251)</f>
        <v>0</v>
      </c>
      <c r="K251" s="34" t="n">
        <f aca="false">IF(OR(H251="",I251="Sí"),0,ROUND(H251/(1+Resumen!$B$9),0))</f>
        <v>0</v>
      </c>
    </row>
    <row r="252" customFormat="false" ht="15" hidden="false" customHeight="true" outlineLevel="0" collapsed="false">
      <c r="A252" s="29"/>
      <c r="B252" s="30"/>
      <c r="C252" s="29"/>
      <c r="D252" s="29"/>
      <c r="E252" s="31" t="str">
        <f aca="false">IF(D252="","",IFERROR(INDEX(Productos!$B$2:$B$23,MATCH(D252,Productos!$A$2:$A$23,0)),"Código no existe"))</f>
        <v/>
      </c>
      <c r="F252" s="29"/>
      <c r="G252" s="9"/>
      <c r="H252" s="32"/>
      <c r="I252" s="29"/>
      <c r="J252" s="33" t="n">
        <f aca="false">IF(OR(G252="",I252="Sí"),0,G252)</f>
        <v>0</v>
      </c>
      <c r="K252" s="34" t="n">
        <f aca="false">IF(OR(H252="",I252="Sí"),0,ROUND(H252/(1+Resumen!$B$9),0))</f>
        <v>0</v>
      </c>
    </row>
    <row r="253" customFormat="false" ht="15" hidden="false" customHeight="true" outlineLevel="0" collapsed="false">
      <c r="A253" s="29"/>
      <c r="B253" s="30"/>
      <c r="C253" s="29"/>
      <c r="D253" s="29"/>
      <c r="E253" s="31" t="str">
        <f aca="false">IF(D253="","",IFERROR(INDEX(Productos!$B$2:$B$23,MATCH(D253,Productos!$A$2:$A$23,0)),"Código no existe"))</f>
        <v/>
      </c>
      <c r="F253" s="29"/>
      <c r="G253" s="9"/>
      <c r="H253" s="32"/>
      <c r="I253" s="29"/>
      <c r="J253" s="33" t="n">
        <f aca="false">IF(OR(G253="",I253="Sí"),0,G253)</f>
        <v>0</v>
      </c>
      <c r="K253" s="34" t="n">
        <f aca="false">IF(OR(H253="",I253="Sí"),0,ROUND(H253/(1+Resumen!$B$9),0))</f>
        <v>0</v>
      </c>
    </row>
    <row r="254" customFormat="false" ht="15" hidden="false" customHeight="true" outlineLevel="0" collapsed="false">
      <c r="A254" s="29"/>
      <c r="B254" s="30"/>
      <c r="C254" s="29"/>
      <c r="D254" s="29"/>
      <c r="E254" s="31" t="str">
        <f aca="false">IF(D254="","",IFERROR(INDEX(Productos!$B$2:$B$23,MATCH(D254,Productos!$A$2:$A$23,0)),"Código no existe"))</f>
        <v/>
      </c>
      <c r="F254" s="29"/>
      <c r="G254" s="9"/>
      <c r="H254" s="32"/>
      <c r="I254" s="29"/>
      <c r="J254" s="33" t="n">
        <f aca="false">IF(OR(G254="",I254="Sí"),0,G254)</f>
        <v>0</v>
      </c>
      <c r="K254" s="34" t="n">
        <f aca="false">IF(OR(H254="",I254="Sí"),0,ROUND(H254/(1+Resumen!$B$9),0))</f>
        <v>0</v>
      </c>
    </row>
    <row r="255" customFormat="false" ht="15" hidden="false" customHeight="true" outlineLevel="0" collapsed="false">
      <c r="A255" s="29"/>
      <c r="B255" s="30"/>
      <c r="C255" s="29"/>
      <c r="D255" s="29"/>
      <c r="E255" s="31" t="str">
        <f aca="false">IF(D255="","",IFERROR(INDEX(Productos!$B$2:$B$23,MATCH(D255,Productos!$A$2:$A$23,0)),"Código no existe"))</f>
        <v/>
      </c>
      <c r="F255" s="29"/>
      <c r="G255" s="9"/>
      <c r="H255" s="32"/>
      <c r="I255" s="29"/>
      <c r="J255" s="33" t="n">
        <f aca="false">IF(OR(G255="",I255="Sí"),0,G255)</f>
        <v>0</v>
      </c>
      <c r="K255" s="34" t="n">
        <f aca="false">IF(OR(H255="",I255="Sí"),0,ROUND(H255/(1+Resumen!$B$9),0))</f>
        <v>0</v>
      </c>
    </row>
    <row r="256" customFormat="false" ht="15" hidden="false" customHeight="true" outlineLevel="0" collapsed="false">
      <c r="A256" s="29"/>
      <c r="B256" s="30"/>
      <c r="C256" s="29"/>
      <c r="D256" s="29"/>
      <c r="E256" s="31" t="str">
        <f aca="false">IF(D256="","",IFERROR(INDEX(Productos!$B$2:$B$23,MATCH(D256,Productos!$A$2:$A$23,0)),"Código no existe"))</f>
        <v/>
      </c>
      <c r="F256" s="29"/>
      <c r="G256" s="9"/>
      <c r="H256" s="32"/>
      <c r="I256" s="29"/>
      <c r="J256" s="33" t="n">
        <f aca="false">IF(OR(G256="",I256="Sí"),0,G256)</f>
        <v>0</v>
      </c>
      <c r="K256" s="34" t="n">
        <f aca="false">IF(OR(H256="",I256="Sí"),0,ROUND(H256/(1+Resumen!$B$9),0))</f>
        <v>0</v>
      </c>
    </row>
    <row r="257" customFormat="false" ht="15" hidden="false" customHeight="true" outlineLevel="0" collapsed="false">
      <c r="A257" s="29"/>
      <c r="B257" s="30"/>
      <c r="C257" s="29"/>
      <c r="D257" s="29"/>
      <c r="E257" s="31" t="str">
        <f aca="false">IF(D257="","",IFERROR(INDEX(Productos!$B$2:$B$23,MATCH(D257,Productos!$A$2:$A$23,0)),"Código no existe"))</f>
        <v/>
      </c>
      <c r="F257" s="29"/>
      <c r="G257" s="9"/>
      <c r="H257" s="32"/>
      <c r="I257" s="29"/>
      <c r="J257" s="33" t="n">
        <f aca="false">IF(OR(G257="",I257="Sí"),0,G257)</f>
        <v>0</v>
      </c>
      <c r="K257" s="34" t="n">
        <f aca="false">IF(OR(H257="",I257="Sí"),0,ROUND(H257/(1+Resumen!$B$9),0))</f>
        <v>0</v>
      </c>
    </row>
    <row r="258" customFormat="false" ht="15" hidden="false" customHeight="true" outlineLevel="0" collapsed="false">
      <c r="A258" s="29"/>
      <c r="B258" s="30"/>
      <c r="C258" s="29"/>
      <c r="D258" s="29"/>
      <c r="E258" s="31" t="str">
        <f aca="false">IF(D258="","",IFERROR(INDEX(Productos!$B$2:$B$23,MATCH(D258,Productos!$A$2:$A$23,0)),"Código no existe"))</f>
        <v/>
      </c>
      <c r="F258" s="29"/>
      <c r="G258" s="9"/>
      <c r="H258" s="32"/>
      <c r="I258" s="29"/>
      <c r="J258" s="33" t="n">
        <f aca="false">IF(OR(G258="",I258="Sí"),0,G258)</f>
        <v>0</v>
      </c>
      <c r="K258" s="34" t="n">
        <f aca="false">IF(OR(H258="",I258="Sí"),0,ROUND(H258/(1+Resumen!$B$9),0))</f>
        <v>0</v>
      </c>
    </row>
    <row r="259" customFormat="false" ht="15" hidden="false" customHeight="true" outlineLevel="0" collapsed="false">
      <c r="A259" s="29"/>
      <c r="B259" s="30"/>
      <c r="C259" s="29"/>
      <c r="D259" s="29"/>
      <c r="E259" s="31" t="str">
        <f aca="false">IF(D259="","",IFERROR(INDEX(Productos!$B$2:$B$23,MATCH(D259,Productos!$A$2:$A$23,0)),"Código no existe"))</f>
        <v/>
      </c>
      <c r="F259" s="29"/>
      <c r="G259" s="9"/>
      <c r="H259" s="32"/>
      <c r="I259" s="29"/>
      <c r="J259" s="33" t="n">
        <f aca="false">IF(OR(G259="",I259="Sí"),0,G259)</f>
        <v>0</v>
      </c>
      <c r="K259" s="34" t="n">
        <f aca="false">IF(OR(H259="",I259="Sí"),0,ROUND(H259/(1+Resumen!$B$9),0))</f>
        <v>0</v>
      </c>
    </row>
    <row r="260" customFormat="false" ht="15" hidden="false" customHeight="true" outlineLevel="0" collapsed="false">
      <c r="A260" s="29"/>
      <c r="B260" s="30"/>
      <c r="C260" s="29"/>
      <c r="D260" s="29"/>
      <c r="E260" s="31" t="str">
        <f aca="false">IF(D260="","",IFERROR(INDEX(Productos!$B$2:$B$23,MATCH(D260,Productos!$A$2:$A$23,0)),"Código no existe"))</f>
        <v/>
      </c>
      <c r="F260" s="29"/>
      <c r="G260" s="9"/>
      <c r="H260" s="32"/>
      <c r="I260" s="29"/>
      <c r="J260" s="33" t="n">
        <f aca="false">IF(OR(G260="",I260="Sí"),0,G260)</f>
        <v>0</v>
      </c>
      <c r="K260" s="34" t="n">
        <f aca="false">IF(OR(H260="",I260="Sí"),0,ROUND(H260/(1+Resumen!$B$9),0))</f>
        <v>0</v>
      </c>
    </row>
    <row r="261" customFormat="false" ht="15" hidden="false" customHeight="true" outlineLevel="0" collapsed="false">
      <c r="A261" s="29"/>
      <c r="B261" s="30"/>
      <c r="C261" s="29"/>
      <c r="D261" s="29"/>
      <c r="E261" s="31" t="str">
        <f aca="false">IF(D261="","",IFERROR(INDEX(Productos!$B$2:$B$23,MATCH(D261,Productos!$A$2:$A$23,0)),"Código no existe"))</f>
        <v/>
      </c>
      <c r="F261" s="29"/>
      <c r="G261" s="9"/>
      <c r="H261" s="32"/>
      <c r="I261" s="29"/>
      <c r="J261" s="33" t="n">
        <f aca="false">IF(OR(G261="",I261="Sí"),0,G261)</f>
        <v>0</v>
      </c>
      <c r="K261" s="34" t="n">
        <f aca="false">IF(OR(H261="",I261="Sí"),0,ROUND(H261/(1+Resumen!$B$9),0))</f>
        <v>0</v>
      </c>
    </row>
    <row r="262" customFormat="false" ht="15" hidden="false" customHeight="true" outlineLevel="0" collapsed="false">
      <c r="A262" s="29"/>
      <c r="B262" s="30"/>
      <c r="C262" s="29"/>
      <c r="D262" s="29"/>
      <c r="E262" s="31" t="str">
        <f aca="false">IF(D262="","",IFERROR(INDEX(Productos!$B$2:$B$23,MATCH(D262,Productos!$A$2:$A$23,0)),"Código no existe"))</f>
        <v/>
      </c>
      <c r="F262" s="29"/>
      <c r="G262" s="9"/>
      <c r="H262" s="32"/>
      <c r="I262" s="29"/>
      <c r="J262" s="33" t="n">
        <f aca="false">IF(OR(G262="",I262="Sí"),0,G262)</f>
        <v>0</v>
      </c>
      <c r="K262" s="34" t="n">
        <f aca="false">IF(OR(H262="",I262="Sí"),0,ROUND(H262/(1+Resumen!$B$9),0))</f>
        <v>0</v>
      </c>
    </row>
    <row r="263" customFormat="false" ht="15" hidden="false" customHeight="true" outlineLevel="0" collapsed="false">
      <c r="A263" s="29"/>
      <c r="B263" s="30"/>
      <c r="C263" s="29"/>
      <c r="D263" s="29"/>
      <c r="E263" s="31" t="str">
        <f aca="false">IF(D263="","",IFERROR(INDEX(Productos!$B$2:$B$23,MATCH(D263,Productos!$A$2:$A$23,0)),"Código no existe"))</f>
        <v/>
      </c>
      <c r="F263" s="29"/>
      <c r="G263" s="9"/>
      <c r="H263" s="32"/>
      <c r="I263" s="29"/>
      <c r="J263" s="33" t="n">
        <f aca="false">IF(OR(G263="",I263="Sí"),0,G263)</f>
        <v>0</v>
      </c>
      <c r="K263" s="34" t="n">
        <f aca="false">IF(OR(H263="",I263="Sí"),0,ROUND(H263/(1+Resumen!$B$9),0))</f>
        <v>0</v>
      </c>
    </row>
    <row r="264" customFormat="false" ht="15" hidden="false" customHeight="true" outlineLevel="0" collapsed="false">
      <c r="A264" s="29"/>
      <c r="B264" s="30"/>
      <c r="C264" s="29"/>
      <c r="D264" s="29"/>
      <c r="E264" s="31" t="str">
        <f aca="false">IF(D264="","",IFERROR(INDEX(Productos!$B$2:$B$23,MATCH(D264,Productos!$A$2:$A$23,0)),"Código no existe"))</f>
        <v/>
      </c>
      <c r="F264" s="29"/>
      <c r="G264" s="9"/>
      <c r="H264" s="32"/>
      <c r="I264" s="29"/>
      <c r="J264" s="33" t="n">
        <f aca="false">IF(OR(G264="",I264="Sí"),0,G264)</f>
        <v>0</v>
      </c>
      <c r="K264" s="34" t="n">
        <f aca="false">IF(OR(H264="",I264="Sí"),0,ROUND(H264/(1+Resumen!$B$9),0))</f>
        <v>0</v>
      </c>
    </row>
    <row r="265" customFormat="false" ht="15" hidden="false" customHeight="true" outlineLevel="0" collapsed="false">
      <c r="A265" s="29"/>
      <c r="B265" s="30"/>
      <c r="C265" s="29"/>
      <c r="D265" s="29"/>
      <c r="E265" s="31" t="str">
        <f aca="false">IF(D265="","",IFERROR(INDEX(Productos!$B$2:$B$23,MATCH(D265,Productos!$A$2:$A$23,0)),"Código no existe"))</f>
        <v/>
      </c>
      <c r="F265" s="29"/>
      <c r="G265" s="9"/>
      <c r="H265" s="32"/>
      <c r="I265" s="29"/>
      <c r="J265" s="33" t="n">
        <f aca="false">IF(OR(G265="",I265="Sí"),0,G265)</f>
        <v>0</v>
      </c>
      <c r="K265" s="34" t="n">
        <f aca="false">IF(OR(H265="",I265="Sí"),0,ROUND(H265/(1+Resumen!$B$9),0))</f>
        <v>0</v>
      </c>
    </row>
    <row r="266" customFormat="false" ht="15" hidden="false" customHeight="true" outlineLevel="0" collapsed="false">
      <c r="A266" s="29"/>
      <c r="B266" s="30"/>
      <c r="C266" s="29"/>
      <c r="D266" s="29"/>
      <c r="E266" s="31" t="str">
        <f aca="false">IF(D266="","",IFERROR(INDEX(Productos!$B$2:$B$23,MATCH(D266,Productos!$A$2:$A$23,0)),"Código no existe"))</f>
        <v/>
      </c>
      <c r="F266" s="29"/>
      <c r="G266" s="9"/>
      <c r="H266" s="32"/>
      <c r="I266" s="29"/>
      <c r="J266" s="33" t="n">
        <f aca="false">IF(OR(G266="",I266="Sí"),0,G266)</f>
        <v>0</v>
      </c>
      <c r="K266" s="34" t="n">
        <f aca="false">IF(OR(H266="",I266="Sí"),0,ROUND(H266/(1+Resumen!$B$9),0))</f>
        <v>0</v>
      </c>
    </row>
    <row r="267" customFormat="false" ht="15" hidden="false" customHeight="true" outlineLevel="0" collapsed="false">
      <c r="A267" s="29"/>
      <c r="B267" s="30"/>
      <c r="C267" s="29"/>
      <c r="D267" s="29"/>
      <c r="E267" s="31" t="str">
        <f aca="false">IF(D267="","",IFERROR(INDEX(Productos!$B$2:$B$23,MATCH(D267,Productos!$A$2:$A$23,0)),"Código no existe"))</f>
        <v/>
      </c>
      <c r="F267" s="29"/>
      <c r="G267" s="9"/>
      <c r="H267" s="32"/>
      <c r="I267" s="29"/>
      <c r="J267" s="33" t="n">
        <f aca="false">IF(OR(G267="",I267="Sí"),0,G267)</f>
        <v>0</v>
      </c>
      <c r="K267" s="34" t="n">
        <f aca="false">IF(OR(H267="",I267="Sí"),0,ROUND(H267/(1+Resumen!$B$9),0))</f>
        <v>0</v>
      </c>
    </row>
    <row r="268" customFormat="false" ht="15" hidden="false" customHeight="true" outlineLevel="0" collapsed="false">
      <c r="A268" s="29"/>
      <c r="B268" s="30"/>
      <c r="C268" s="29"/>
      <c r="D268" s="29"/>
      <c r="E268" s="31" t="str">
        <f aca="false">IF(D268="","",IFERROR(INDEX(Productos!$B$2:$B$23,MATCH(D268,Productos!$A$2:$A$23,0)),"Código no existe"))</f>
        <v/>
      </c>
      <c r="F268" s="29"/>
      <c r="G268" s="9"/>
      <c r="H268" s="32"/>
      <c r="I268" s="29"/>
      <c r="J268" s="33" t="n">
        <f aca="false">IF(OR(G268="",I268="Sí"),0,G268)</f>
        <v>0</v>
      </c>
      <c r="K268" s="34" t="n">
        <f aca="false">IF(OR(H268="",I268="Sí"),0,ROUND(H268/(1+Resumen!$B$9),0))</f>
        <v>0</v>
      </c>
    </row>
    <row r="269" customFormat="false" ht="15" hidden="false" customHeight="true" outlineLevel="0" collapsed="false">
      <c r="A269" s="29"/>
      <c r="B269" s="30"/>
      <c r="C269" s="29"/>
      <c r="D269" s="29"/>
      <c r="E269" s="31" t="str">
        <f aca="false">IF(D269="","",IFERROR(INDEX(Productos!$B$2:$B$23,MATCH(D269,Productos!$A$2:$A$23,0)),"Código no existe"))</f>
        <v/>
      </c>
      <c r="F269" s="29"/>
      <c r="G269" s="9"/>
      <c r="H269" s="32"/>
      <c r="I269" s="29"/>
      <c r="J269" s="33" t="n">
        <f aca="false">IF(OR(G269="",I269="Sí"),0,G269)</f>
        <v>0</v>
      </c>
      <c r="K269" s="34" t="n">
        <f aca="false">IF(OR(H269="",I269="Sí"),0,ROUND(H269/(1+Resumen!$B$9),0))</f>
        <v>0</v>
      </c>
    </row>
    <row r="270" customFormat="false" ht="15" hidden="false" customHeight="true" outlineLevel="0" collapsed="false">
      <c r="A270" s="29"/>
      <c r="B270" s="30"/>
      <c r="C270" s="29"/>
      <c r="D270" s="29"/>
      <c r="E270" s="31" t="str">
        <f aca="false">IF(D270="","",IFERROR(INDEX(Productos!$B$2:$B$23,MATCH(D270,Productos!$A$2:$A$23,0)),"Código no existe"))</f>
        <v/>
      </c>
      <c r="F270" s="29"/>
      <c r="G270" s="9"/>
      <c r="H270" s="32"/>
      <c r="I270" s="29"/>
      <c r="J270" s="33" t="n">
        <f aca="false">IF(OR(G270="",I270="Sí"),0,G270)</f>
        <v>0</v>
      </c>
      <c r="K270" s="34" t="n">
        <f aca="false">IF(OR(H270="",I270="Sí"),0,ROUND(H270/(1+Resumen!$B$9),0))</f>
        <v>0</v>
      </c>
    </row>
    <row r="271" customFormat="false" ht="15" hidden="false" customHeight="true" outlineLevel="0" collapsed="false">
      <c r="A271" s="29"/>
      <c r="B271" s="30"/>
      <c r="C271" s="29"/>
      <c r="D271" s="29"/>
      <c r="E271" s="31" t="str">
        <f aca="false">IF(D271="","",IFERROR(INDEX(Productos!$B$2:$B$23,MATCH(D271,Productos!$A$2:$A$23,0)),"Código no existe"))</f>
        <v/>
      </c>
      <c r="F271" s="29"/>
      <c r="G271" s="9"/>
      <c r="H271" s="32"/>
      <c r="I271" s="29"/>
      <c r="J271" s="33" t="n">
        <f aca="false">IF(OR(G271="",I271="Sí"),0,G271)</f>
        <v>0</v>
      </c>
      <c r="K271" s="34" t="n">
        <f aca="false">IF(OR(H271="",I271="Sí"),0,ROUND(H271/(1+Resumen!$B$9),0))</f>
        <v>0</v>
      </c>
    </row>
    <row r="272" customFormat="false" ht="15" hidden="false" customHeight="true" outlineLevel="0" collapsed="false">
      <c r="A272" s="29"/>
      <c r="B272" s="30"/>
      <c r="C272" s="29"/>
      <c r="D272" s="29"/>
      <c r="E272" s="31" t="str">
        <f aca="false">IF(D272="","",IFERROR(INDEX(Productos!$B$2:$B$23,MATCH(D272,Productos!$A$2:$A$23,0)),"Código no existe"))</f>
        <v/>
      </c>
      <c r="F272" s="29"/>
      <c r="G272" s="9"/>
      <c r="H272" s="32"/>
      <c r="I272" s="29"/>
      <c r="J272" s="33" t="n">
        <f aca="false">IF(OR(G272="",I272="Sí"),0,G272)</f>
        <v>0</v>
      </c>
      <c r="K272" s="34" t="n">
        <f aca="false">IF(OR(H272="",I272="Sí"),0,ROUND(H272/(1+Resumen!$B$9),0))</f>
        <v>0</v>
      </c>
    </row>
    <row r="273" customFormat="false" ht="15" hidden="false" customHeight="true" outlineLevel="0" collapsed="false">
      <c r="A273" s="29"/>
      <c r="B273" s="30"/>
      <c r="C273" s="29"/>
      <c r="D273" s="29"/>
      <c r="E273" s="31" t="str">
        <f aca="false">IF(D273="","",IFERROR(INDEX(Productos!$B$2:$B$23,MATCH(D273,Productos!$A$2:$A$23,0)),"Código no existe"))</f>
        <v/>
      </c>
      <c r="F273" s="29"/>
      <c r="G273" s="9"/>
      <c r="H273" s="32"/>
      <c r="I273" s="29"/>
      <c r="J273" s="33" t="n">
        <f aca="false">IF(OR(G273="",I273="Sí"),0,G273)</f>
        <v>0</v>
      </c>
      <c r="K273" s="34" t="n">
        <f aca="false">IF(OR(H273="",I273="Sí"),0,ROUND(H273/(1+Resumen!$B$9),0))</f>
        <v>0</v>
      </c>
    </row>
    <row r="274" customFormat="false" ht="15" hidden="false" customHeight="true" outlineLevel="0" collapsed="false">
      <c r="A274" s="29"/>
      <c r="B274" s="30"/>
      <c r="C274" s="29"/>
      <c r="D274" s="29"/>
      <c r="E274" s="31" t="str">
        <f aca="false">IF(D274="","",IFERROR(INDEX(Productos!$B$2:$B$23,MATCH(D274,Productos!$A$2:$A$23,0)),"Código no existe"))</f>
        <v/>
      </c>
      <c r="F274" s="29"/>
      <c r="G274" s="9"/>
      <c r="H274" s="32"/>
      <c r="I274" s="29"/>
      <c r="J274" s="33" t="n">
        <f aca="false">IF(OR(G274="",I274="Sí"),0,G274)</f>
        <v>0</v>
      </c>
      <c r="K274" s="34" t="n">
        <f aca="false">IF(OR(H274="",I274="Sí"),0,ROUND(H274/(1+Resumen!$B$9),0))</f>
        <v>0</v>
      </c>
    </row>
    <row r="275" customFormat="false" ht="15" hidden="false" customHeight="true" outlineLevel="0" collapsed="false">
      <c r="A275" s="29"/>
      <c r="B275" s="30"/>
      <c r="C275" s="29"/>
      <c r="D275" s="29"/>
      <c r="E275" s="31" t="str">
        <f aca="false">IF(D275="","",IFERROR(INDEX(Productos!$B$2:$B$23,MATCH(D275,Productos!$A$2:$A$23,0)),"Código no existe"))</f>
        <v/>
      </c>
      <c r="F275" s="29"/>
      <c r="G275" s="9"/>
      <c r="H275" s="32"/>
      <c r="I275" s="29"/>
      <c r="J275" s="33" t="n">
        <f aca="false">IF(OR(G275="",I275="Sí"),0,G275)</f>
        <v>0</v>
      </c>
      <c r="K275" s="34" t="n">
        <f aca="false">IF(OR(H275="",I275="Sí"),0,ROUND(H275/(1+Resumen!$B$9),0))</f>
        <v>0</v>
      </c>
    </row>
    <row r="276" customFormat="false" ht="15" hidden="false" customHeight="true" outlineLevel="0" collapsed="false">
      <c r="A276" s="29"/>
      <c r="B276" s="30"/>
      <c r="C276" s="29"/>
      <c r="D276" s="29"/>
      <c r="E276" s="31" t="str">
        <f aca="false">IF(D276="","",IFERROR(INDEX(Productos!$B$2:$B$23,MATCH(D276,Productos!$A$2:$A$23,0)),"Código no existe"))</f>
        <v/>
      </c>
      <c r="F276" s="29"/>
      <c r="G276" s="9"/>
      <c r="H276" s="32"/>
      <c r="I276" s="29"/>
      <c r="J276" s="33" t="n">
        <f aca="false">IF(OR(G276="",I276="Sí"),0,G276)</f>
        <v>0</v>
      </c>
      <c r="K276" s="34" t="n">
        <f aca="false">IF(OR(H276="",I276="Sí"),0,ROUND(H276/(1+Resumen!$B$9),0))</f>
        <v>0</v>
      </c>
    </row>
    <row r="277" customFormat="false" ht="15" hidden="false" customHeight="true" outlineLevel="0" collapsed="false">
      <c r="A277" s="29"/>
      <c r="B277" s="30"/>
      <c r="C277" s="29"/>
      <c r="D277" s="29"/>
      <c r="E277" s="31" t="str">
        <f aca="false">IF(D277="","",IFERROR(INDEX(Productos!$B$2:$B$23,MATCH(D277,Productos!$A$2:$A$23,0)),"Código no existe"))</f>
        <v/>
      </c>
      <c r="F277" s="29"/>
      <c r="G277" s="9"/>
      <c r="H277" s="32"/>
      <c r="I277" s="29"/>
      <c r="J277" s="33" t="n">
        <f aca="false">IF(OR(G277="",I277="Sí"),0,G277)</f>
        <v>0</v>
      </c>
      <c r="K277" s="34" t="n">
        <f aca="false">IF(OR(H277="",I277="Sí"),0,ROUND(H277/(1+Resumen!$B$9),0))</f>
        <v>0</v>
      </c>
    </row>
    <row r="278" customFormat="false" ht="15" hidden="false" customHeight="true" outlineLevel="0" collapsed="false">
      <c r="A278" s="29"/>
      <c r="B278" s="30"/>
      <c r="C278" s="29"/>
      <c r="D278" s="29"/>
      <c r="E278" s="31" t="str">
        <f aca="false">IF(D278="","",IFERROR(INDEX(Productos!$B$2:$B$23,MATCH(D278,Productos!$A$2:$A$23,0)),"Código no existe"))</f>
        <v/>
      </c>
      <c r="F278" s="29"/>
      <c r="G278" s="9"/>
      <c r="H278" s="32"/>
      <c r="I278" s="29"/>
      <c r="J278" s="33" t="n">
        <f aca="false">IF(OR(G278="",I278="Sí"),0,G278)</f>
        <v>0</v>
      </c>
      <c r="K278" s="34" t="n">
        <f aca="false">IF(OR(H278="",I278="Sí"),0,ROUND(H278/(1+Resumen!$B$9),0))</f>
        <v>0</v>
      </c>
    </row>
    <row r="279" customFormat="false" ht="15" hidden="false" customHeight="true" outlineLevel="0" collapsed="false">
      <c r="A279" s="29"/>
      <c r="B279" s="30"/>
      <c r="C279" s="29"/>
      <c r="D279" s="29"/>
      <c r="E279" s="31" t="str">
        <f aca="false">IF(D279="","",IFERROR(INDEX(Productos!$B$2:$B$23,MATCH(D279,Productos!$A$2:$A$23,0)),"Código no existe"))</f>
        <v/>
      </c>
      <c r="F279" s="29"/>
      <c r="G279" s="9"/>
      <c r="H279" s="32"/>
      <c r="I279" s="29"/>
      <c r="J279" s="33" t="n">
        <f aca="false">IF(OR(G279="",I279="Sí"),0,G279)</f>
        <v>0</v>
      </c>
      <c r="K279" s="34" t="n">
        <f aca="false">IF(OR(H279="",I279="Sí"),0,ROUND(H279/(1+Resumen!$B$9),0))</f>
        <v>0</v>
      </c>
    </row>
    <row r="280" customFormat="false" ht="15" hidden="false" customHeight="true" outlineLevel="0" collapsed="false">
      <c r="A280" s="29"/>
      <c r="B280" s="30"/>
      <c r="C280" s="29"/>
      <c r="D280" s="29"/>
      <c r="E280" s="31" t="str">
        <f aca="false">IF(D280="","",IFERROR(INDEX(Productos!$B$2:$B$23,MATCH(D280,Productos!$A$2:$A$23,0)),"Código no existe"))</f>
        <v/>
      </c>
      <c r="F280" s="29"/>
      <c r="G280" s="9"/>
      <c r="H280" s="32"/>
      <c r="I280" s="29"/>
      <c r="J280" s="33" t="n">
        <f aca="false">IF(OR(G280="",I280="Sí"),0,G280)</f>
        <v>0</v>
      </c>
      <c r="K280" s="34" t="n">
        <f aca="false">IF(OR(H280="",I280="Sí"),0,ROUND(H280/(1+Resumen!$B$9),0))</f>
        <v>0</v>
      </c>
    </row>
    <row r="281" customFormat="false" ht="15" hidden="false" customHeight="true" outlineLevel="0" collapsed="false">
      <c r="A281" s="29"/>
      <c r="B281" s="30"/>
      <c r="C281" s="29"/>
      <c r="D281" s="29"/>
      <c r="E281" s="31" t="str">
        <f aca="false">IF(D281="","",IFERROR(INDEX(Productos!$B$2:$B$23,MATCH(D281,Productos!$A$2:$A$23,0)),"Código no existe"))</f>
        <v/>
      </c>
      <c r="F281" s="29"/>
      <c r="G281" s="9"/>
      <c r="H281" s="32"/>
      <c r="I281" s="29"/>
      <c r="J281" s="33" t="n">
        <f aca="false">IF(OR(G281="",I281="Sí"),0,G281)</f>
        <v>0</v>
      </c>
      <c r="K281" s="34" t="n">
        <f aca="false">IF(OR(H281="",I281="Sí"),0,ROUND(H281/(1+Resumen!$B$9),0))</f>
        <v>0</v>
      </c>
    </row>
    <row r="282" customFormat="false" ht="15" hidden="false" customHeight="true" outlineLevel="0" collapsed="false">
      <c r="A282" s="29"/>
      <c r="B282" s="30"/>
      <c r="C282" s="29"/>
      <c r="D282" s="29"/>
      <c r="E282" s="31" t="str">
        <f aca="false">IF(D282="","",IFERROR(INDEX(Productos!$B$2:$B$23,MATCH(D282,Productos!$A$2:$A$23,0)),"Código no existe"))</f>
        <v/>
      </c>
      <c r="F282" s="29"/>
      <c r="G282" s="9"/>
      <c r="H282" s="32"/>
      <c r="I282" s="29"/>
      <c r="J282" s="33" t="n">
        <f aca="false">IF(OR(G282="",I282="Sí"),0,G282)</f>
        <v>0</v>
      </c>
      <c r="K282" s="34" t="n">
        <f aca="false">IF(OR(H282="",I282="Sí"),0,ROUND(H282/(1+Resumen!$B$9),0))</f>
        <v>0</v>
      </c>
    </row>
    <row r="283" customFormat="false" ht="15" hidden="false" customHeight="true" outlineLevel="0" collapsed="false">
      <c r="A283" s="29"/>
      <c r="B283" s="30"/>
      <c r="C283" s="29"/>
      <c r="D283" s="29"/>
      <c r="E283" s="31" t="str">
        <f aca="false">IF(D283="","",IFERROR(INDEX(Productos!$B$2:$B$23,MATCH(D283,Productos!$A$2:$A$23,0)),"Código no existe"))</f>
        <v/>
      </c>
      <c r="F283" s="29"/>
      <c r="G283" s="9"/>
      <c r="H283" s="32"/>
      <c r="I283" s="29"/>
      <c r="J283" s="33" t="n">
        <f aca="false">IF(OR(G283="",I283="Sí"),0,G283)</f>
        <v>0</v>
      </c>
      <c r="K283" s="34" t="n">
        <f aca="false">IF(OR(H283="",I283="Sí"),0,ROUND(H283/(1+Resumen!$B$9),0))</f>
        <v>0</v>
      </c>
    </row>
    <row r="284" customFormat="false" ht="15" hidden="false" customHeight="true" outlineLevel="0" collapsed="false">
      <c r="A284" s="29"/>
      <c r="B284" s="30"/>
      <c r="C284" s="29"/>
      <c r="D284" s="29"/>
      <c r="E284" s="31" t="str">
        <f aca="false">IF(D284="","",IFERROR(INDEX(Productos!$B$2:$B$23,MATCH(D284,Productos!$A$2:$A$23,0)),"Código no existe"))</f>
        <v/>
      </c>
      <c r="F284" s="29"/>
      <c r="G284" s="9"/>
      <c r="H284" s="32"/>
      <c r="I284" s="29"/>
      <c r="J284" s="33" t="n">
        <f aca="false">IF(OR(G284="",I284="Sí"),0,G284)</f>
        <v>0</v>
      </c>
      <c r="K284" s="34" t="n">
        <f aca="false">IF(OR(H284="",I284="Sí"),0,ROUND(H284/(1+Resumen!$B$9),0))</f>
        <v>0</v>
      </c>
    </row>
    <row r="285" customFormat="false" ht="15" hidden="false" customHeight="true" outlineLevel="0" collapsed="false">
      <c r="A285" s="29"/>
      <c r="B285" s="30"/>
      <c r="C285" s="29"/>
      <c r="D285" s="29"/>
      <c r="E285" s="31" t="str">
        <f aca="false">IF(D285="","",IFERROR(INDEX(Productos!$B$2:$B$23,MATCH(D285,Productos!$A$2:$A$23,0)),"Código no existe"))</f>
        <v/>
      </c>
      <c r="F285" s="29"/>
      <c r="G285" s="9"/>
      <c r="H285" s="32"/>
      <c r="I285" s="29"/>
      <c r="J285" s="33" t="n">
        <f aca="false">IF(OR(G285="",I285="Sí"),0,G285)</f>
        <v>0</v>
      </c>
      <c r="K285" s="34" t="n">
        <f aca="false">IF(OR(H285="",I285="Sí"),0,ROUND(H285/(1+Resumen!$B$9),0))</f>
        <v>0</v>
      </c>
    </row>
    <row r="286" customFormat="false" ht="15" hidden="false" customHeight="true" outlineLevel="0" collapsed="false">
      <c r="A286" s="29"/>
      <c r="B286" s="30"/>
      <c r="C286" s="29"/>
      <c r="D286" s="29"/>
      <c r="E286" s="31" t="str">
        <f aca="false">IF(D286="","",IFERROR(INDEX(Productos!$B$2:$B$23,MATCH(D286,Productos!$A$2:$A$23,0)),"Código no existe"))</f>
        <v/>
      </c>
      <c r="F286" s="29"/>
      <c r="G286" s="9"/>
      <c r="H286" s="32"/>
      <c r="I286" s="29"/>
      <c r="J286" s="33" t="n">
        <f aca="false">IF(OR(G286="",I286="Sí"),0,G286)</f>
        <v>0</v>
      </c>
      <c r="K286" s="34" t="n">
        <f aca="false">IF(OR(H286="",I286="Sí"),0,ROUND(H286/(1+Resumen!$B$9),0))</f>
        <v>0</v>
      </c>
    </row>
    <row r="287" customFormat="false" ht="15" hidden="false" customHeight="true" outlineLevel="0" collapsed="false">
      <c r="A287" s="29"/>
      <c r="B287" s="30"/>
      <c r="C287" s="29"/>
      <c r="D287" s="29"/>
      <c r="E287" s="31" t="str">
        <f aca="false">IF(D287="","",IFERROR(INDEX(Productos!$B$2:$B$23,MATCH(D287,Productos!$A$2:$A$23,0)),"Código no existe"))</f>
        <v/>
      </c>
      <c r="F287" s="29"/>
      <c r="G287" s="9"/>
      <c r="H287" s="32"/>
      <c r="I287" s="29"/>
      <c r="J287" s="33" t="n">
        <f aca="false">IF(OR(G287="",I287="Sí"),0,G287)</f>
        <v>0</v>
      </c>
      <c r="K287" s="34" t="n">
        <f aca="false">IF(OR(H287="",I287="Sí"),0,ROUND(H287/(1+Resumen!$B$9),0))</f>
        <v>0</v>
      </c>
    </row>
    <row r="288" customFormat="false" ht="15" hidden="false" customHeight="true" outlineLevel="0" collapsed="false">
      <c r="A288" s="29"/>
      <c r="B288" s="30"/>
      <c r="C288" s="29"/>
      <c r="D288" s="29"/>
      <c r="E288" s="31" t="str">
        <f aca="false">IF(D288="","",IFERROR(INDEX(Productos!$B$2:$B$23,MATCH(D288,Productos!$A$2:$A$23,0)),"Código no existe"))</f>
        <v/>
      </c>
      <c r="F288" s="29"/>
      <c r="G288" s="9"/>
      <c r="H288" s="32"/>
      <c r="I288" s="29"/>
      <c r="J288" s="33" t="n">
        <f aca="false">IF(OR(G288="",I288="Sí"),0,G288)</f>
        <v>0</v>
      </c>
      <c r="K288" s="34" t="n">
        <f aca="false">IF(OR(H288="",I288="Sí"),0,ROUND(H288/(1+Resumen!$B$9),0))</f>
        <v>0</v>
      </c>
    </row>
    <row r="289" customFormat="false" ht="15" hidden="false" customHeight="true" outlineLevel="0" collapsed="false">
      <c r="A289" s="29"/>
      <c r="B289" s="30"/>
      <c r="C289" s="29"/>
      <c r="D289" s="29"/>
      <c r="E289" s="31" t="str">
        <f aca="false">IF(D289="","",IFERROR(INDEX(Productos!$B$2:$B$23,MATCH(D289,Productos!$A$2:$A$23,0)),"Código no existe"))</f>
        <v/>
      </c>
      <c r="F289" s="29"/>
      <c r="G289" s="9"/>
      <c r="H289" s="32"/>
      <c r="I289" s="29"/>
      <c r="J289" s="33" t="n">
        <f aca="false">IF(OR(G289="",I289="Sí"),0,G289)</f>
        <v>0</v>
      </c>
      <c r="K289" s="34" t="n">
        <f aca="false">IF(OR(H289="",I289="Sí"),0,ROUND(H289/(1+Resumen!$B$9),0))</f>
        <v>0</v>
      </c>
    </row>
    <row r="290" customFormat="false" ht="15" hidden="false" customHeight="true" outlineLevel="0" collapsed="false">
      <c r="A290" s="29"/>
      <c r="B290" s="30"/>
      <c r="C290" s="29"/>
      <c r="D290" s="29"/>
      <c r="E290" s="31" t="str">
        <f aca="false">IF(D290="","",IFERROR(INDEX(Productos!$B$2:$B$23,MATCH(D290,Productos!$A$2:$A$23,0)),"Código no existe"))</f>
        <v/>
      </c>
      <c r="F290" s="29"/>
      <c r="G290" s="9"/>
      <c r="H290" s="32"/>
      <c r="I290" s="29"/>
      <c r="J290" s="33" t="n">
        <f aca="false">IF(OR(G290="",I290="Sí"),0,G290)</f>
        <v>0</v>
      </c>
      <c r="K290" s="34" t="n">
        <f aca="false">IF(OR(H290="",I290="Sí"),0,ROUND(H290/(1+Resumen!$B$9),0))</f>
        <v>0</v>
      </c>
    </row>
    <row r="291" customFormat="false" ht="15" hidden="false" customHeight="true" outlineLevel="0" collapsed="false">
      <c r="A291" s="29"/>
      <c r="B291" s="30"/>
      <c r="C291" s="29"/>
      <c r="D291" s="29"/>
      <c r="E291" s="31" t="str">
        <f aca="false">IF(D291="","",IFERROR(INDEX(Productos!$B$2:$B$23,MATCH(D291,Productos!$A$2:$A$23,0)),"Código no existe"))</f>
        <v/>
      </c>
      <c r="F291" s="29"/>
      <c r="G291" s="9"/>
      <c r="H291" s="32"/>
      <c r="I291" s="29"/>
      <c r="J291" s="33" t="n">
        <f aca="false">IF(OR(G291="",I291="Sí"),0,G291)</f>
        <v>0</v>
      </c>
      <c r="K291" s="34" t="n">
        <f aca="false">IF(OR(H291="",I291="Sí"),0,ROUND(H291/(1+Resumen!$B$9),0))</f>
        <v>0</v>
      </c>
    </row>
    <row r="292" customFormat="false" ht="15" hidden="false" customHeight="true" outlineLevel="0" collapsed="false">
      <c r="A292" s="29"/>
      <c r="B292" s="30"/>
      <c r="C292" s="29"/>
      <c r="D292" s="29"/>
      <c r="E292" s="31" t="str">
        <f aca="false">IF(D292="","",IFERROR(INDEX(Productos!$B$2:$B$23,MATCH(D292,Productos!$A$2:$A$23,0)),"Código no existe"))</f>
        <v/>
      </c>
      <c r="F292" s="29"/>
      <c r="G292" s="9"/>
      <c r="H292" s="32"/>
      <c r="I292" s="29"/>
      <c r="J292" s="33" t="n">
        <f aca="false">IF(OR(G292="",I292="Sí"),0,G292)</f>
        <v>0</v>
      </c>
      <c r="K292" s="34" t="n">
        <f aca="false">IF(OR(H292="",I292="Sí"),0,ROUND(H292/(1+Resumen!$B$9),0))</f>
        <v>0</v>
      </c>
    </row>
    <row r="293" customFormat="false" ht="15" hidden="false" customHeight="true" outlineLevel="0" collapsed="false">
      <c r="A293" s="29"/>
      <c r="B293" s="30"/>
      <c r="C293" s="29"/>
      <c r="D293" s="29"/>
      <c r="E293" s="31" t="str">
        <f aca="false">IF(D293="","",IFERROR(INDEX(Productos!$B$2:$B$23,MATCH(D293,Productos!$A$2:$A$23,0)),"Código no existe"))</f>
        <v/>
      </c>
      <c r="F293" s="29"/>
      <c r="G293" s="9"/>
      <c r="H293" s="32"/>
      <c r="I293" s="29"/>
      <c r="J293" s="33" t="n">
        <f aca="false">IF(OR(G293="",I293="Sí"),0,G293)</f>
        <v>0</v>
      </c>
      <c r="K293" s="34" t="n">
        <f aca="false">IF(OR(H293="",I293="Sí"),0,ROUND(H293/(1+Resumen!$B$9),0))</f>
        <v>0</v>
      </c>
    </row>
    <row r="294" customFormat="false" ht="15" hidden="false" customHeight="true" outlineLevel="0" collapsed="false">
      <c r="A294" s="29"/>
      <c r="B294" s="30"/>
      <c r="C294" s="29"/>
      <c r="D294" s="29"/>
      <c r="E294" s="31" t="str">
        <f aca="false">IF(D294="","",IFERROR(INDEX(Productos!$B$2:$B$23,MATCH(D294,Productos!$A$2:$A$23,0)),"Código no existe"))</f>
        <v/>
      </c>
      <c r="F294" s="29"/>
      <c r="G294" s="9"/>
      <c r="H294" s="32"/>
      <c r="I294" s="29"/>
      <c r="J294" s="33" t="n">
        <f aca="false">IF(OR(G294="",I294="Sí"),0,G294)</f>
        <v>0</v>
      </c>
      <c r="K294" s="34" t="n">
        <f aca="false">IF(OR(H294="",I294="Sí"),0,ROUND(H294/(1+Resumen!$B$9),0))</f>
        <v>0</v>
      </c>
    </row>
    <row r="295" customFormat="false" ht="15" hidden="false" customHeight="true" outlineLevel="0" collapsed="false">
      <c r="A295" s="29"/>
      <c r="B295" s="30"/>
      <c r="C295" s="29"/>
      <c r="D295" s="29"/>
      <c r="E295" s="31" t="str">
        <f aca="false">IF(D295="","",IFERROR(INDEX(Productos!$B$2:$B$23,MATCH(D295,Productos!$A$2:$A$23,0)),"Código no existe"))</f>
        <v/>
      </c>
      <c r="F295" s="29"/>
      <c r="G295" s="9"/>
      <c r="H295" s="32"/>
      <c r="I295" s="29"/>
      <c r="J295" s="33" t="n">
        <f aca="false">IF(OR(G295="",I295="Sí"),0,G295)</f>
        <v>0</v>
      </c>
      <c r="K295" s="34" t="n">
        <f aca="false">IF(OR(H295="",I295="Sí"),0,ROUND(H295/(1+Resumen!$B$9),0))</f>
        <v>0</v>
      </c>
    </row>
    <row r="296" customFormat="false" ht="15" hidden="false" customHeight="true" outlineLevel="0" collapsed="false">
      <c r="A296" s="29"/>
      <c r="B296" s="30"/>
      <c r="C296" s="29"/>
      <c r="D296" s="29"/>
      <c r="E296" s="31" t="str">
        <f aca="false">IF(D296="","",IFERROR(INDEX(Productos!$B$2:$B$23,MATCH(D296,Productos!$A$2:$A$23,0)),"Código no existe"))</f>
        <v/>
      </c>
      <c r="F296" s="29"/>
      <c r="G296" s="9"/>
      <c r="H296" s="32"/>
      <c r="I296" s="29"/>
      <c r="J296" s="33" t="n">
        <f aca="false">IF(OR(G296="",I296="Sí"),0,G296)</f>
        <v>0</v>
      </c>
      <c r="K296" s="34" t="n">
        <f aca="false">IF(OR(H296="",I296="Sí"),0,ROUND(H296/(1+Resumen!$B$9),0))</f>
        <v>0</v>
      </c>
    </row>
    <row r="297" customFormat="false" ht="15" hidden="false" customHeight="true" outlineLevel="0" collapsed="false">
      <c r="A297" s="29"/>
      <c r="B297" s="30"/>
      <c r="C297" s="29"/>
      <c r="D297" s="29"/>
      <c r="E297" s="31" t="str">
        <f aca="false">IF(D297="","",IFERROR(INDEX(Productos!$B$2:$B$23,MATCH(D297,Productos!$A$2:$A$23,0)),"Código no existe"))</f>
        <v/>
      </c>
      <c r="F297" s="29"/>
      <c r="G297" s="9"/>
      <c r="H297" s="32"/>
      <c r="I297" s="29"/>
      <c r="J297" s="33" t="n">
        <f aca="false">IF(OR(G297="",I297="Sí"),0,G297)</f>
        <v>0</v>
      </c>
      <c r="K297" s="34" t="n">
        <f aca="false">IF(OR(H297="",I297="Sí"),0,ROUND(H297/(1+Resumen!$B$9),0))</f>
        <v>0</v>
      </c>
    </row>
    <row r="298" customFormat="false" ht="15" hidden="false" customHeight="true" outlineLevel="0" collapsed="false">
      <c r="A298" s="29"/>
      <c r="B298" s="30"/>
      <c r="C298" s="29"/>
      <c r="D298" s="29"/>
      <c r="E298" s="31" t="str">
        <f aca="false">IF(D298="","",IFERROR(INDEX(Productos!$B$2:$B$23,MATCH(D298,Productos!$A$2:$A$23,0)),"Código no existe"))</f>
        <v/>
      </c>
      <c r="F298" s="29"/>
      <c r="G298" s="9"/>
      <c r="H298" s="32"/>
      <c r="I298" s="29"/>
      <c r="J298" s="33" t="n">
        <f aca="false">IF(OR(G298="",I298="Sí"),0,G298)</f>
        <v>0</v>
      </c>
      <c r="K298" s="34" t="n">
        <f aca="false">IF(OR(H298="",I298="Sí"),0,ROUND(H298/(1+Resumen!$B$9),0))</f>
        <v>0</v>
      </c>
    </row>
    <row r="299" customFormat="false" ht="15" hidden="false" customHeight="true" outlineLevel="0" collapsed="false">
      <c r="A299" s="29"/>
      <c r="B299" s="30"/>
      <c r="C299" s="29"/>
      <c r="D299" s="29"/>
      <c r="E299" s="31" t="str">
        <f aca="false">IF(D299="","",IFERROR(INDEX(Productos!$B$2:$B$23,MATCH(D299,Productos!$A$2:$A$23,0)),"Código no existe"))</f>
        <v/>
      </c>
      <c r="F299" s="29"/>
      <c r="G299" s="9"/>
      <c r="H299" s="32"/>
      <c r="I299" s="29"/>
      <c r="J299" s="33" t="n">
        <f aca="false">IF(OR(G299="",I299="Sí"),0,G299)</f>
        <v>0</v>
      </c>
      <c r="K299" s="34" t="n">
        <f aca="false">IF(OR(H299="",I299="Sí"),0,ROUND(H299/(1+Resumen!$B$9),0))</f>
        <v>0</v>
      </c>
    </row>
    <row r="300" customFormat="false" ht="15" hidden="false" customHeight="true" outlineLevel="0" collapsed="false">
      <c r="A300" s="29"/>
      <c r="B300" s="30"/>
      <c r="C300" s="29"/>
      <c r="D300" s="29"/>
      <c r="E300" s="31" t="str">
        <f aca="false">IF(D300="","",IFERROR(INDEX(Productos!$B$2:$B$23,MATCH(D300,Productos!$A$2:$A$23,0)),"Código no existe"))</f>
        <v/>
      </c>
      <c r="F300" s="29"/>
      <c r="G300" s="9"/>
      <c r="H300" s="32"/>
      <c r="I300" s="29"/>
      <c r="J300" s="33" t="n">
        <f aca="false">IF(OR(G300="",I300="Sí"),0,G300)</f>
        <v>0</v>
      </c>
      <c r="K300" s="34" t="n">
        <f aca="false">IF(OR(H300="",I300="Sí"),0,ROUND(H300/(1+Resumen!$B$9),0))</f>
        <v>0</v>
      </c>
    </row>
    <row r="301" customFormat="false" ht="15" hidden="false" customHeight="true" outlineLevel="0" collapsed="false">
      <c r="A301" s="29"/>
      <c r="B301" s="30"/>
      <c r="C301" s="29"/>
      <c r="D301" s="29"/>
      <c r="E301" s="31" t="str">
        <f aca="false">IF(D301="","",IFERROR(INDEX(Productos!$B$2:$B$23,MATCH(D301,Productos!$A$2:$A$23,0)),"Código no existe"))</f>
        <v/>
      </c>
      <c r="F301" s="29"/>
      <c r="G301" s="9"/>
      <c r="H301" s="32"/>
      <c r="I301" s="29"/>
      <c r="J301" s="33" t="n">
        <f aca="false">IF(OR(G301="",I301="Sí"),0,G301)</f>
        <v>0</v>
      </c>
      <c r="K301" s="34" t="n">
        <f aca="false">IF(OR(H301="",I301="Sí"),0,ROUND(H301/(1+Resumen!$B$9),0))</f>
        <v>0</v>
      </c>
    </row>
    <row r="302" customFormat="false" ht="15" hidden="false" customHeight="true" outlineLevel="0" collapsed="false">
      <c r="A302" s="29"/>
      <c r="B302" s="30"/>
      <c r="C302" s="29"/>
      <c r="D302" s="29"/>
      <c r="E302" s="31" t="str">
        <f aca="false">IF(D302="","",IFERROR(INDEX(Productos!$B$2:$B$23,MATCH(D302,Productos!$A$2:$A$23,0)),"Código no existe"))</f>
        <v/>
      </c>
      <c r="F302" s="29"/>
      <c r="G302" s="9"/>
      <c r="H302" s="32"/>
      <c r="I302" s="29"/>
      <c r="J302" s="33" t="n">
        <f aca="false">IF(OR(G302="",I302="Sí"),0,G302)</f>
        <v>0</v>
      </c>
      <c r="K302" s="34" t="n">
        <f aca="false">IF(OR(H302="",I302="Sí"),0,ROUND(H302/(1+Resumen!$B$9),0))</f>
        <v>0</v>
      </c>
    </row>
    <row r="303" customFormat="false" ht="15" hidden="false" customHeight="true" outlineLevel="0" collapsed="false">
      <c r="A303" s="29"/>
      <c r="B303" s="30"/>
      <c r="C303" s="29"/>
      <c r="D303" s="29"/>
      <c r="E303" s="31" t="str">
        <f aca="false">IF(D303="","",IFERROR(INDEX(Productos!$B$2:$B$23,MATCH(D303,Productos!$A$2:$A$23,0)),"Código no existe"))</f>
        <v/>
      </c>
      <c r="F303" s="29"/>
      <c r="G303" s="9"/>
      <c r="H303" s="32"/>
      <c r="I303" s="29"/>
      <c r="J303" s="33" t="n">
        <f aca="false">IF(OR(G303="",I303="Sí"),0,G303)</f>
        <v>0</v>
      </c>
      <c r="K303" s="34" t="n">
        <f aca="false">IF(OR(H303="",I303="Sí"),0,ROUND(H303/(1+Resumen!$B$9),0))</f>
        <v>0</v>
      </c>
    </row>
  </sheetData>
  <dataValidations count="2">
    <dataValidation allowBlank="true" errorStyle="stop" operator="between" showDropDown="false" showErrorMessage="false" showInputMessage="false" sqref="I4:I303" type="list">
      <formula1>"Sí,No"</formula1>
      <formula2>0</formula2>
    </dataValidation>
    <dataValidation allowBlank="true" errorStyle="stop" operator="between" showDropDown="false" showErrorMessage="false" showInputMessage="false" sqref="D4:D303" type="list">
      <formula1>Productos!$A$2:$A$23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4"/>
  </cols>
  <sheetData>
    <row r="1" customFormat="false" ht="15" hidden="false" customHeight="true" outlineLevel="0" collapsed="false">
      <c r="A1" s="35" t="s">
        <v>42</v>
      </c>
      <c r="B1" s="35" t="s">
        <v>43</v>
      </c>
    </row>
    <row r="2" customFormat="false" ht="15" hidden="false" customHeight="true" outlineLevel="0" collapsed="false">
      <c r="A2" s="36" t="s">
        <v>50</v>
      </c>
      <c r="B2" s="36" t="s">
        <v>51</v>
      </c>
    </row>
    <row r="3" customFormat="false" ht="15" hidden="false" customHeight="true" outlineLevel="0" collapsed="false">
      <c r="A3" s="36" t="s">
        <v>52</v>
      </c>
      <c r="B3" s="36" t="s">
        <v>53</v>
      </c>
    </row>
    <row r="4" customFormat="false" ht="15" hidden="false" customHeight="true" outlineLevel="0" collapsed="false">
      <c r="A4" s="36" t="s">
        <v>54</v>
      </c>
      <c r="B4" s="36" t="s">
        <v>55</v>
      </c>
    </row>
    <row r="5" customFormat="false" ht="15" hidden="false" customHeight="true" outlineLevel="0" collapsed="false">
      <c r="A5" s="36" t="s">
        <v>56</v>
      </c>
      <c r="B5" s="36" t="s">
        <v>57</v>
      </c>
    </row>
    <row r="6" customFormat="false" ht="15" hidden="false" customHeight="true" outlineLevel="0" collapsed="false">
      <c r="A6" s="36" t="s">
        <v>58</v>
      </c>
      <c r="B6" s="36" t="s">
        <v>59</v>
      </c>
    </row>
    <row r="7" customFormat="false" ht="15" hidden="false" customHeight="true" outlineLevel="0" collapsed="false">
      <c r="A7" s="36" t="s">
        <v>60</v>
      </c>
      <c r="B7" s="36" t="s">
        <v>61</v>
      </c>
    </row>
    <row r="8" customFormat="false" ht="15" hidden="false" customHeight="true" outlineLevel="0" collapsed="false">
      <c r="A8" s="36" t="s">
        <v>62</v>
      </c>
      <c r="B8" s="36" t="s">
        <v>63</v>
      </c>
    </row>
    <row r="9" customFormat="false" ht="15" hidden="false" customHeight="true" outlineLevel="0" collapsed="false">
      <c r="A9" s="36" t="s">
        <v>64</v>
      </c>
      <c r="B9" s="36" t="s">
        <v>65</v>
      </c>
    </row>
    <row r="10" customFormat="false" ht="15" hidden="false" customHeight="true" outlineLevel="0" collapsed="false">
      <c r="A10" s="36" t="s">
        <v>35</v>
      </c>
      <c r="B10" s="36" t="s">
        <v>36</v>
      </c>
    </row>
    <row r="11" customFormat="false" ht="15" hidden="false" customHeight="true" outlineLevel="0" collapsed="false">
      <c r="A11" s="36" t="s">
        <v>66</v>
      </c>
      <c r="B11" s="36" t="s">
        <v>67</v>
      </c>
    </row>
    <row r="12" customFormat="false" ht="15" hidden="false" customHeight="true" outlineLevel="0" collapsed="false">
      <c r="A12" s="36" t="s">
        <v>68</v>
      </c>
      <c r="B12" s="36" t="s">
        <v>69</v>
      </c>
    </row>
    <row r="13" customFormat="false" ht="15" hidden="false" customHeight="true" outlineLevel="0" collapsed="false">
      <c r="A13" s="36" t="s">
        <v>70</v>
      </c>
      <c r="B13" s="36" t="s">
        <v>71</v>
      </c>
    </row>
    <row r="14" customFormat="false" ht="15" hidden="false" customHeight="true" outlineLevel="0" collapsed="false">
      <c r="A14" s="36" t="s">
        <v>72</v>
      </c>
      <c r="B14" s="36" t="s">
        <v>73</v>
      </c>
    </row>
    <row r="15" customFormat="false" ht="15" hidden="false" customHeight="true" outlineLevel="0" collapsed="false">
      <c r="A15" s="36" t="s">
        <v>74</v>
      </c>
      <c r="B15" s="36" t="s">
        <v>75</v>
      </c>
    </row>
    <row r="16" customFormat="false" ht="15" hidden="false" customHeight="true" outlineLevel="0" collapsed="false">
      <c r="A16" s="36" t="s">
        <v>76</v>
      </c>
      <c r="B16" s="36" t="s">
        <v>77</v>
      </c>
    </row>
    <row r="17" customFormat="false" ht="15" hidden="false" customHeight="true" outlineLevel="0" collapsed="false">
      <c r="A17" s="36" t="s">
        <v>78</v>
      </c>
      <c r="B17" s="36" t="s">
        <v>79</v>
      </c>
    </row>
    <row r="18" customFormat="false" ht="15" hidden="false" customHeight="true" outlineLevel="0" collapsed="false">
      <c r="A18" s="36" t="s">
        <v>80</v>
      </c>
      <c r="B18" s="36" t="s">
        <v>81</v>
      </c>
    </row>
    <row r="19" customFormat="false" ht="15" hidden="false" customHeight="true" outlineLevel="0" collapsed="false">
      <c r="A19" s="36" t="s">
        <v>82</v>
      </c>
      <c r="B19" s="36" t="s">
        <v>83</v>
      </c>
    </row>
    <row r="20" customFormat="false" ht="15" hidden="false" customHeight="true" outlineLevel="0" collapsed="false">
      <c r="A20" s="36" t="s">
        <v>84</v>
      </c>
      <c r="B20" s="36" t="s">
        <v>85</v>
      </c>
    </row>
    <row r="21" customFormat="false" ht="15" hidden="false" customHeight="true" outlineLevel="0" collapsed="false">
      <c r="A21" s="36" t="s">
        <v>86</v>
      </c>
      <c r="B21" s="36" t="s">
        <v>87</v>
      </c>
    </row>
    <row r="22" customFormat="false" ht="15" hidden="false" customHeight="true" outlineLevel="0" collapsed="false">
      <c r="A22" s="36" t="s">
        <v>88</v>
      </c>
      <c r="B22" s="36" t="s">
        <v>89</v>
      </c>
    </row>
    <row r="23" customFormat="false" ht="15" hidden="false" customHeight="true" outlineLevel="0" collapsed="false">
      <c r="A23" s="36" t="s">
        <v>90</v>
      </c>
      <c r="B23" s="36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2026-10-09T16:39:14Z</dcterms:created>
  <dc:creator>openpyxl</dc:creator>
  <dc:description/>
  <dc:language>en-US</dc:language>
  <cp:lastModifiedBy/>
  <dcterms:modified xsi:type="dcterms:W3CDTF">2026-10-09T21:15:26Z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