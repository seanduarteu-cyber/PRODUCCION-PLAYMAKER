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yección" sheetId="1" state="visible" r:id="rId3"/>
    <sheet name="Escenari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Precio final que paga el socio en playmaker.cl (valores entregados por Playmaker).</t>
        </r>
      </text>
    </comment>
    <comment ref="E5" authorId="0">
      <text>
        <r>
          <rPr>
            <sz val="10"/>
            <rFont val="Arial"/>
            <family val="2"/>
          </rPr>
          <t xml:space="preserve">Unidades vendidas a socios en toda la temporada (todas las preventas). Viene con 10 por producto como ejemplo.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8" authorId="0">
      <text>
        <r>
          <rPr>
            <sz val="10"/>
            <rFont val="Arial"/>
            <family val="2"/>
          </rPr>
          <t xml:space="preserve">Puedes cambiar estas cantidades para probar otros escenarios.</t>
        </r>
      </text>
    </comment>
  </commentList>
</comments>
</file>

<file path=xl/sharedStrings.xml><?xml version="1.0" encoding="utf-8"?>
<sst xmlns="http://schemas.openxmlformats.org/spreadsheetml/2006/main" count="91" uniqueCount="91">
  <si>
    <t xml:space="preserve">PREVENTA OFICIAL GAUCHOS — PROYECCIÓN DE ROYALTY PARA EL CLUB</t>
  </si>
  <si>
    <t xml:space="preserve">Escribe en las celdas amarillas cuántas unidades se venderían de cada producto en la temporada. El resto se calcula solo. Valores en pesos chilenos.</t>
  </si>
  <si>
    <t xml:space="preserve">Código</t>
  </si>
  <si>
    <t xml:space="preserve">Producto</t>
  </si>
  <si>
    <t xml:space="preserve">Precio socio
(con IVA)</t>
  </si>
  <si>
    <t xml:space="preserve">Precio neto
(sin IVA)</t>
  </si>
  <si>
    <t xml:space="preserve">Unidades
proyectadas</t>
  </si>
  <si>
    <t xml:space="preserve">Venta neta</t>
  </si>
  <si>
    <t xml:space="preserve">PARÁMETROS</t>
  </si>
  <si>
    <t xml:space="preserve">GAU-01</t>
  </si>
  <si>
    <t xml:space="preserve">Camiseta de juego — Local OP1</t>
  </si>
  <si>
    <t xml:space="preserve">IVA</t>
  </si>
  <si>
    <t xml:space="preserve">GAU-02</t>
  </si>
  <si>
    <t xml:space="preserve">Camiseta de juego — Local 02</t>
  </si>
  <si>
    <t xml:space="preserve">Bono si el royalty se recibe en productos</t>
  </si>
  <si>
    <t xml:space="preserve">GAU-03</t>
  </si>
  <si>
    <t xml:space="preserve">Camiseta de juego — Visita 01</t>
  </si>
  <si>
    <t xml:space="preserve">GAU-04</t>
  </si>
  <si>
    <t xml:space="preserve">Camiseta de juego — Visita 02</t>
  </si>
  <si>
    <t xml:space="preserve">TRAMOS DE ROYALTY</t>
  </si>
  <si>
    <t xml:space="preserve">GAU-05</t>
  </si>
  <si>
    <t xml:space="preserve">Short de juego</t>
  </si>
  <si>
    <t xml:space="preserve">Unidades en la temporada</t>
  </si>
  <si>
    <t xml:space="preserve">Royalty</t>
  </si>
  <si>
    <t xml:space="preserve">Desde</t>
  </si>
  <si>
    <t xml:space="preserve">GAU-06</t>
  </si>
  <si>
    <t xml:space="preserve">Medias de juego</t>
  </si>
  <si>
    <t xml:space="preserve">Hasta 100</t>
  </si>
  <si>
    <t xml:space="preserve">GAU-07</t>
  </si>
  <si>
    <t xml:space="preserve">Match Day Shirt</t>
  </si>
  <si>
    <t xml:space="preserve">101 a 200</t>
  </si>
  <si>
    <t xml:space="preserve">GAU-08</t>
  </si>
  <si>
    <t xml:space="preserve">Camiseta de entrenamiento</t>
  </si>
  <si>
    <t xml:space="preserve">201 a 350</t>
  </si>
  <si>
    <t xml:space="preserve">GAU-09</t>
  </si>
  <si>
    <t xml:space="preserve">Polerón medio cierre</t>
  </si>
  <si>
    <t xml:space="preserve">351 a 500</t>
  </si>
  <si>
    <t xml:space="preserve">GAU-10</t>
  </si>
  <si>
    <t xml:space="preserve">Buzo de contacto manga larga</t>
  </si>
  <si>
    <t xml:space="preserve">Más de 500</t>
  </si>
  <si>
    <t xml:space="preserve">GAU-11</t>
  </si>
  <si>
    <t xml:space="preserve">Camiseta sin mangas</t>
  </si>
  <si>
    <t xml:space="preserve">El tramo alcanzado se aplica a todas las unidades de la temporada. Si cambias un límite, ajusta también su columna Desde.</t>
  </si>
  <si>
    <t xml:space="preserve">GAU-12</t>
  </si>
  <si>
    <t xml:space="preserve">Short tipo básquet</t>
  </si>
  <si>
    <t xml:space="preserve">GAU-13</t>
  </si>
  <si>
    <t xml:space="preserve">Polo piqué</t>
  </si>
  <si>
    <t xml:space="preserve">RESULTADO DE LA TEMPORADA</t>
  </si>
  <si>
    <t xml:space="preserve">GAU-14</t>
  </si>
  <si>
    <t xml:space="preserve">Chaqueta cierre completo</t>
  </si>
  <si>
    <t xml:space="preserve">Unidades vendidas</t>
  </si>
  <si>
    <t xml:space="preserve">GAU-15</t>
  </si>
  <si>
    <t xml:space="preserve">Cortaviento con capucha</t>
  </si>
  <si>
    <t xml:space="preserve">Venta total a socios (con IVA)</t>
  </si>
  <si>
    <t xml:space="preserve">GAU-16</t>
  </si>
  <si>
    <t xml:space="preserve">Polerón cuello redondo</t>
  </si>
  <si>
    <t xml:space="preserve">Venta neta (sin IVA)</t>
  </si>
  <si>
    <t xml:space="preserve">GAU-17</t>
  </si>
  <si>
    <t xml:space="preserve">Hoodie</t>
  </si>
  <si>
    <t xml:space="preserve">Tramo alcanzado</t>
  </si>
  <si>
    <t xml:space="preserve">GAU-18</t>
  </si>
  <si>
    <t xml:space="preserve">Chaqueta varsity</t>
  </si>
  <si>
    <t xml:space="preserve">Royalty para el club (efectivo)</t>
  </si>
  <si>
    <t xml:space="preserve">GAU-19</t>
  </si>
  <si>
    <t xml:space="preserve">Polera de algodón</t>
  </si>
  <si>
    <t xml:space="preserve">Royalty si se recibe en productos</t>
  </si>
  <si>
    <t xml:space="preserve">GAU-20</t>
  </si>
  <si>
    <t xml:space="preserve">Bermuda deportiva</t>
  </si>
  <si>
    <t xml:space="preserve">Royalty promedio por unidad</t>
  </si>
  <si>
    <t xml:space="preserve">GAU-21</t>
  </si>
  <si>
    <t xml:space="preserve">Pantalón pitillo</t>
  </si>
  <si>
    <t xml:space="preserve">GAU-22</t>
  </si>
  <si>
    <t xml:space="preserve">Parka larga</t>
  </si>
  <si>
    <t xml:space="preserve">TOTAL</t>
  </si>
  <si>
    <t xml:space="preserve">ESCENARIOS: ¿CUÁNTO RECIBE EL CLUB SEGÚN LO QUE SE VENDA?</t>
  </si>
  <si>
    <t xml:space="preserve">Royalty de la temporada según el total de unidades vendidas a socios. Usa el precio neto promedio de la hoja Proyección (ponderado por las unidades que escribiste ahí).</t>
  </si>
  <si>
    <t xml:space="preserve">Precio neto promedio por unidad</t>
  </si>
  <si>
    <t xml:space="preserve">Precio promedio con IVA</t>
  </si>
  <si>
    <t xml:space="preserve">Unidades vendidas
en la temporada</t>
  </si>
  <si>
    <t xml:space="preserve">Tramo</t>
  </si>
  <si>
    <t xml:space="preserve">Venta a socios
(con IVA)</t>
  </si>
  <si>
    <t xml:space="preserve">Venta neta
(sin IVA)</t>
  </si>
  <si>
    <t xml:space="preserve">Royalty para el club
(efectivo)</t>
  </si>
  <si>
    <t xml:space="preserve">Royalty si se recibe
en productos (+bono)</t>
  </si>
  <si>
    <t xml:space="preserve">Royalty promedio
por unidad</t>
  </si>
  <si>
    <t xml:space="preserve">CÓMO FUNCIONAN LOS TRAMOS</t>
  </si>
  <si>
    <t xml:space="preserve">1. Se suman las unidades vendidas a socios en toda la temporada (todas las preventas juntas).</t>
  </si>
  <si>
    <t xml:space="preserve">2. Ese total define el tramo: hasta 100 unidades 11%, de 101 a 200 12%, de 201 a 350 13%, de 351 a 500 14% y más de 500 15%.</t>
  </si>
  <si>
    <t xml:space="preserve">3. El porcentaje del tramo alcanzado se aplica a TODAS las unidades de la temporada, no solo a las que superan el límite.</t>
  </si>
  <si>
    <t xml:space="preserve">4. El royalty se calcula sobre la venta neta (sin IVA y sin devoluciones). Si el club lo recibe en productos, se suma el bono.</t>
  </si>
  <si>
    <t xml:space="preserve">Ejemplo: con 220 unidades la temporada queda en el tramo de 13%, y ese 13% se aplica a las 220.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</si>
</sst>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#,##0;\-#,##0;\-"/>
    <numFmt numFmtId="167" formatCode="0%"/>
    <numFmt numFmtId="168" formatCode="0%;\-0%;\-"/>
    <numFmt numFmtId="169" formatCode="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41E3C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8C7F1E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color rgb="FF555555"/>
      <name val="Arial"/>
      <family val="0"/>
      <charset val="1"/>
    </font>
    <font>
      <b val="true"/>
      <sz val="11"/>
      <color rgb="FF141E3C"/>
      <name val="Arial"/>
      <family val="0"/>
      <charset val="1"/>
    </font>
    <font>
      <sz val="10"/>
      <name val="Arial"/>
      <family val="2"/>
    </font>
    <font>
      <b val="true"/>
      <sz val="10"/>
      <color rgb="FF141E3C"/>
      <name val="Arial"/>
      <family val="0"/>
      <charset val="1"/>
    </font>
    <font>
      <sz val="9"/>
      <color rgb="FF333333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41E3C"/>
        <bgColor rgb="FF333333"/>
      </patternFill>
    </fill>
    <fill>
      <patternFill patternType="solid">
        <fgColor rgb="FFFFF2A8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C7F1E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41E3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4"/>
    <col collapsed="false" customWidth="true" hidden="false" outlineLevel="0" max="3" min="3" style="1" width="15"/>
    <col collapsed="false" customWidth="true" hidden="false" outlineLevel="0" max="4" min="4" style="1" width="14"/>
    <col collapsed="false" customWidth="true" hidden="false" outlineLevel="0" max="5" min="5" style="1" width="13"/>
    <col collapsed="false" customWidth="true" hidden="false" outlineLevel="0" max="6" min="6" style="1" width="16"/>
    <col collapsed="false" customWidth="true" hidden="false" outlineLevel="0" max="7" min="7" style="1" width="4"/>
    <col collapsed="false" customWidth="true" hidden="false" outlineLevel="0" max="8" min="8" style="1" width="40"/>
    <col collapsed="false" customWidth="true" hidden="false" outlineLevel="0" max="9" min="9" style="1" width="14"/>
    <col collapsed="false" customWidth="true" hidden="false" outlineLevel="0" max="10" min="10" style="1" width="12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30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H4" s="5" t="s">
        <v>8</v>
      </c>
    </row>
    <row r="5" customFormat="false" ht="15" hidden="false" customHeight="true" outlineLevel="0" collapsed="false">
      <c r="A5" s="6" t="s">
        <v>9</v>
      </c>
      <c r="B5" s="6" t="s">
        <v>10</v>
      </c>
      <c r="C5" s="7" t="n">
        <v>29900</v>
      </c>
      <c r="D5" s="8" t="n">
        <f aca="false">ROUND(C5/(1+$I$5),0)</f>
        <v>25126</v>
      </c>
      <c r="E5" s="9" t="n">
        <v>10</v>
      </c>
      <c r="F5" s="8" t="n">
        <f aca="false">D5*E5</f>
        <v>251260</v>
      </c>
      <c r="H5" s="10" t="s">
        <v>11</v>
      </c>
      <c r="I5" s="11" t="n">
        <v>0.19</v>
      </c>
    </row>
    <row r="6" customFormat="false" ht="15" hidden="false" customHeight="true" outlineLevel="0" collapsed="false">
      <c r="A6" s="6" t="s">
        <v>12</v>
      </c>
      <c r="B6" s="6" t="s">
        <v>13</v>
      </c>
      <c r="C6" s="7" t="n">
        <v>29900</v>
      </c>
      <c r="D6" s="8" t="n">
        <f aca="false">ROUND(C6/(1+$I$5),0)</f>
        <v>25126</v>
      </c>
      <c r="E6" s="9" t="n">
        <v>10</v>
      </c>
      <c r="F6" s="8" t="n">
        <f aca="false">D6*E6</f>
        <v>251260</v>
      </c>
      <c r="H6" s="10" t="s">
        <v>14</v>
      </c>
      <c r="I6" s="11" t="n">
        <v>0.3</v>
      </c>
    </row>
    <row r="7" customFormat="false" ht="15" hidden="false" customHeight="true" outlineLevel="0" collapsed="false">
      <c r="A7" s="6" t="s">
        <v>15</v>
      </c>
      <c r="B7" s="6" t="s">
        <v>16</v>
      </c>
      <c r="C7" s="7" t="n">
        <v>29900</v>
      </c>
      <c r="D7" s="8" t="n">
        <f aca="false">ROUND(C7/(1+$I$5),0)</f>
        <v>25126</v>
      </c>
      <c r="E7" s="9" t="n">
        <v>10</v>
      </c>
      <c r="F7" s="8" t="n">
        <f aca="false">D7*E7</f>
        <v>251260</v>
      </c>
    </row>
    <row r="8" customFormat="false" ht="15" hidden="false" customHeight="true" outlineLevel="0" collapsed="false">
      <c r="A8" s="6" t="s">
        <v>17</v>
      </c>
      <c r="B8" s="6" t="s">
        <v>18</v>
      </c>
      <c r="C8" s="7" t="n">
        <v>29900</v>
      </c>
      <c r="D8" s="8" t="n">
        <f aca="false">ROUND(C8/(1+$I$5),0)</f>
        <v>25126</v>
      </c>
      <c r="E8" s="9" t="n">
        <v>10</v>
      </c>
      <c r="F8" s="8" t="n">
        <f aca="false">D8*E8</f>
        <v>251260</v>
      </c>
      <c r="H8" s="5" t="s">
        <v>19</v>
      </c>
    </row>
    <row r="9" customFormat="false" ht="15" hidden="false" customHeight="false" outlineLevel="0" collapsed="false">
      <c r="A9" s="6" t="s">
        <v>20</v>
      </c>
      <c r="B9" s="6" t="s">
        <v>21</v>
      </c>
      <c r="C9" s="7" t="n">
        <v>19900</v>
      </c>
      <c r="D9" s="8" t="n">
        <f aca="false">ROUND(C9/(1+$I$5),0)</f>
        <v>16723</v>
      </c>
      <c r="E9" s="9" t="n">
        <v>10</v>
      </c>
      <c r="F9" s="8" t="n">
        <f aca="false">D9*E9</f>
        <v>167230</v>
      </c>
      <c r="H9" s="4" t="s">
        <v>22</v>
      </c>
      <c r="I9" s="4" t="s">
        <v>23</v>
      </c>
      <c r="J9" s="4" t="s">
        <v>24</v>
      </c>
    </row>
    <row r="10" customFormat="false" ht="15" hidden="false" customHeight="true" outlineLevel="0" collapsed="false">
      <c r="A10" s="6" t="s">
        <v>25</v>
      </c>
      <c r="B10" s="6" t="s">
        <v>26</v>
      </c>
      <c r="C10" s="7" t="n">
        <v>10900</v>
      </c>
      <c r="D10" s="8" t="n">
        <f aca="false">ROUND(C10/(1+$I$5),0)</f>
        <v>9160</v>
      </c>
      <c r="E10" s="9" t="n">
        <v>10</v>
      </c>
      <c r="F10" s="8" t="n">
        <f aca="false">D10*E10</f>
        <v>91600</v>
      </c>
      <c r="H10" s="6" t="s">
        <v>27</v>
      </c>
      <c r="I10" s="12" t="n">
        <v>0.11</v>
      </c>
      <c r="J10" s="13" t="n">
        <v>0</v>
      </c>
    </row>
    <row r="11" customFormat="false" ht="15" hidden="false" customHeight="true" outlineLevel="0" collapsed="false">
      <c r="A11" s="6" t="s">
        <v>28</v>
      </c>
      <c r="B11" s="6" t="s">
        <v>29</v>
      </c>
      <c r="C11" s="7" t="n">
        <v>21900</v>
      </c>
      <c r="D11" s="8" t="n">
        <f aca="false">ROUND(C11/(1+$I$5),0)</f>
        <v>18403</v>
      </c>
      <c r="E11" s="9" t="n">
        <v>10</v>
      </c>
      <c r="F11" s="8" t="n">
        <f aca="false">D11*E11</f>
        <v>184030</v>
      </c>
      <c r="H11" s="6" t="s">
        <v>30</v>
      </c>
      <c r="I11" s="12" t="n">
        <v>0.12</v>
      </c>
      <c r="J11" s="13" t="n">
        <v>101</v>
      </c>
    </row>
    <row r="12" customFormat="false" ht="15" hidden="false" customHeight="true" outlineLevel="0" collapsed="false">
      <c r="A12" s="6" t="s">
        <v>31</v>
      </c>
      <c r="B12" s="6" t="s">
        <v>32</v>
      </c>
      <c r="C12" s="7" t="n">
        <v>22900</v>
      </c>
      <c r="D12" s="8" t="n">
        <f aca="false">ROUND(C12/(1+$I$5),0)</f>
        <v>19244</v>
      </c>
      <c r="E12" s="9" t="n">
        <v>10</v>
      </c>
      <c r="F12" s="8" t="n">
        <f aca="false">D12*E12</f>
        <v>192440</v>
      </c>
      <c r="H12" s="6" t="s">
        <v>33</v>
      </c>
      <c r="I12" s="12" t="n">
        <v>0.13</v>
      </c>
      <c r="J12" s="13" t="n">
        <v>201</v>
      </c>
    </row>
    <row r="13" customFormat="false" ht="15" hidden="false" customHeight="true" outlineLevel="0" collapsed="false">
      <c r="A13" s="6" t="s">
        <v>34</v>
      </c>
      <c r="B13" s="6" t="s">
        <v>35</v>
      </c>
      <c r="C13" s="7" t="n">
        <v>34900</v>
      </c>
      <c r="D13" s="8" t="n">
        <f aca="false">ROUND(C13/(1+$I$5),0)</f>
        <v>29328</v>
      </c>
      <c r="E13" s="9" t="n">
        <v>10</v>
      </c>
      <c r="F13" s="8" t="n">
        <f aca="false">D13*E13</f>
        <v>293280</v>
      </c>
      <c r="H13" s="6" t="s">
        <v>36</v>
      </c>
      <c r="I13" s="12" t="n">
        <v>0.14</v>
      </c>
      <c r="J13" s="13" t="n">
        <v>351</v>
      </c>
    </row>
    <row r="14" customFormat="false" ht="15" hidden="false" customHeight="true" outlineLevel="0" collapsed="false">
      <c r="A14" s="6" t="s">
        <v>37</v>
      </c>
      <c r="B14" s="6" t="s">
        <v>38</v>
      </c>
      <c r="C14" s="7" t="n">
        <v>28900</v>
      </c>
      <c r="D14" s="8" t="n">
        <f aca="false">ROUND(C14/(1+$I$5),0)</f>
        <v>24286</v>
      </c>
      <c r="E14" s="9" t="n">
        <v>10</v>
      </c>
      <c r="F14" s="8" t="n">
        <f aca="false">D14*E14</f>
        <v>242860</v>
      </c>
      <c r="H14" s="6" t="s">
        <v>39</v>
      </c>
      <c r="I14" s="12" t="n">
        <v>0.15</v>
      </c>
      <c r="J14" s="13" t="n">
        <v>501</v>
      </c>
    </row>
    <row r="15" customFormat="false" ht="15" hidden="false" customHeight="true" outlineLevel="0" collapsed="false">
      <c r="A15" s="6" t="s">
        <v>40</v>
      </c>
      <c r="B15" s="6" t="s">
        <v>41</v>
      </c>
      <c r="C15" s="7" t="n">
        <v>21900</v>
      </c>
      <c r="D15" s="8" t="n">
        <f aca="false">ROUND(C15/(1+$I$5),0)</f>
        <v>18403</v>
      </c>
      <c r="E15" s="9" t="n">
        <v>10</v>
      </c>
      <c r="F15" s="8" t="n">
        <f aca="false">D15*E15</f>
        <v>184030</v>
      </c>
      <c r="H15" s="14" t="s">
        <v>42</v>
      </c>
    </row>
    <row r="16" customFormat="false" ht="15" hidden="false" customHeight="true" outlineLevel="0" collapsed="false">
      <c r="A16" s="6" t="s">
        <v>43</v>
      </c>
      <c r="B16" s="6" t="s">
        <v>44</v>
      </c>
      <c r="C16" s="7" t="n">
        <v>19900</v>
      </c>
      <c r="D16" s="8" t="n">
        <f aca="false">ROUND(C16/(1+$I$5),0)</f>
        <v>16723</v>
      </c>
      <c r="E16" s="9" t="n">
        <v>10</v>
      </c>
      <c r="F16" s="8" t="n">
        <f aca="false">D16*E16</f>
        <v>167230</v>
      </c>
    </row>
    <row r="17" customFormat="false" ht="15" hidden="false" customHeight="true" outlineLevel="0" collapsed="false">
      <c r="A17" s="6" t="s">
        <v>45</v>
      </c>
      <c r="B17" s="6" t="s">
        <v>46</v>
      </c>
      <c r="C17" s="7" t="n">
        <v>23900</v>
      </c>
      <c r="D17" s="8" t="n">
        <f aca="false">ROUND(C17/(1+$I$5),0)</f>
        <v>20084</v>
      </c>
      <c r="E17" s="9" t="n">
        <v>10</v>
      </c>
      <c r="F17" s="8" t="n">
        <f aca="false">D17*E17</f>
        <v>200840</v>
      </c>
      <c r="H17" s="5" t="s">
        <v>47</v>
      </c>
    </row>
    <row r="18" customFormat="false" ht="15" hidden="false" customHeight="true" outlineLevel="0" collapsed="false">
      <c r="A18" s="6" t="s">
        <v>48</v>
      </c>
      <c r="B18" s="6" t="s">
        <v>49</v>
      </c>
      <c r="C18" s="7" t="n">
        <v>37900</v>
      </c>
      <c r="D18" s="8" t="n">
        <f aca="false">ROUND(C18/(1+$I$5),0)</f>
        <v>31849</v>
      </c>
      <c r="E18" s="9" t="n">
        <v>10</v>
      </c>
      <c r="F18" s="8" t="n">
        <f aca="false">D18*E18</f>
        <v>318490</v>
      </c>
      <c r="H18" s="10" t="s">
        <v>50</v>
      </c>
      <c r="I18" s="15" t="n">
        <f aca="false">E27</f>
        <v>220</v>
      </c>
    </row>
    <row r="19" customFormat="false" ht="15" hidden="false" customHeight="true" outlineLevel="0" collapsed="false">
      <c r="A19" s="6" t="s">
        <v>51</v>
      </c>
      <c r="B19" s="6" t="s">
        <v>52</v>
      </c>
      <c r="C19" s="7" t="n">
        <v>40900</v>
      </c>
      <c r="D19" s="8" t="n">
        <f aca="false">ROUND(C19/(1+$I$5),0)</f>
        <v>34370</v>
      </c>
      <c r="E19" s="9" t="n">
        <v>10</v>
      </c>
      <c r="F19" s="8" t="n">
        <f aca="false">D19*E19</f>
        <v>343700</v>
      </c>
      <c r="H19" s="10" t="s">
        <v>53</v>
      </c>
      <c r="I19" s="8" t="n">
        <f aca="false">SUMPRODUCT(C5:C26,E5:E26)</f>
        <v>6518000</v>
      </c>
    </row>
    <row r="20" customFormat="false" ht="15" hidden="false" customHeight="true" outlineLevel="0" collapsed="false">
      <c r="A20" s="6" t="s">
        <v>54</v>
      </c>
      <c r="B20" s="6" t="s">
        <v>55</v>
      </c>
      <c r="C20" s="7" t="n">
        <v>22900</v>
      </c>
      <c r="D20" s="8" t="n">
        <f aca="false">ROUND(C20/(1+$I$5),0)</f>
        <v>19244</v>
      </c>
      <c r="E20" s="9" t="n">
        <v>10</v>
      </c>
      <c r="F20" s="8" t="n">
        <f aca="false">D20*E20</f>
        <v>192440</v>
      </c>
      <c r="H20" s="10" t="s">
        <v>56</v>
      </c>
      <c r="I20" s="8" t="n">
        <f aca="false">F27</f>
        <v>5477330</v>
      </c>
    </row>
    <row r="21" customFormat="false" ht="15" hidden="false" customHeight="true" outlineLevel="0" collapsed="false">
      <c r="A21" s="6" t="s">
        <v>57</v>
      </c>
      <c r="B21" s="6" t="s">
        <v>58</v>
      </c>
      <c r="C21" s="7" t="n">
        <v>31900</v>
      </c>
      <c r="D21" s="8" t="n">
        <f aca="false">ROUND(C21/(1+$I$5),0)</f>
        <v>26807</v>
      </c>
      <c r="E21" s="9" t="n">
        <v>10</v>
      </c>
      <c r="F21" s="8" t="n">
        <f aca="false">D21*E21</f>
        <v>268070</v>
      </c>
      <c r="H21" s="10" t="s">
        <v>59</v>
      </c>
      <c r="I21" s="16" t="n">
        <f aca="false">IF(I18=0,0,INDEX($I$10:$I$14,MATCH(I18,$J$10:$J$14,1)))</f>
        <v>0.13</v>
      </c>
    </row>
    <row r="22" customFormat="false" ht="15" hidden="false" customHeight="true" outlineLevel="0" collapsed="false">
      <c r="A22" s="6" t="s">
        <v>60</v>
      </c>
      <c r="B22" s="6" t="s">
        <v>61</v>
      </c>
      <c r="C22" s="7" t="n">
        <v>47900</v>
      </c>
      <c r="D22" s="8" t="n">
        <f aca="false">ROUND(C22/(1+$I$5),0)</f>
        <v>40252</v>
      </c>
      <c r="E22" s="9" t="n">
        <v>10</v>
      </c>
      <c r="F22" s="8" t="n">
        <f aca="false">D22*E22</f>
        <v>402520</v>
      </c>
      <c r="H22" s="17" t="s">
        <v>62</v>
      </c>
      <c r="I22" s="18" t="n">
        <f aca="false">ROUND(I20*I21,0)</f>
        <v>712053</v>
      </c>
    </row>
    <row r="23" customFormat="false" ht="15" hidden="false" customHeight="true" outlineLevel="0" collapsed="false">
      <c r="A23" s="6" t="s">
        <v>63</v>
      </c>
      <c r="B23" s="6" t="s">
        <v>64</v>
      </c>
      <c r="C23" s="7" t="n">
        <v>17900</v>
      </c>
      <c r="D23" s="8" t="n">
        <f aca="false">ROUND(C23/(1+$I$5),0)</f>
        <v>15042</v>
      </c>
      <c r="E23" s="9" t="n">
        <v>10</v>
      </c>
      <c r="F23" s="8" t="n">
        <f aca="false">D23*E23</f>
        <v>150420</v>
      </c>
      <c r="H23" s="17" t="s">
        <v>65</v>
      </c>
      <c r="I23" s="18" t="n">
        <f aca="false">ROUND(I22*(1+I6),0)</f>
        <v>925669</v>
      </c>
    </row>
    <row r="24" customFormat="false" ht="15" hidden="false" customHeight="true" outlineLevel="0" collapsed="false">
      <c r="A24" s="6" t="s">
        <v>66</v>
      </c>
      <c r="B24" s="6" t="s">
        <v>67</v>
      </c>
      <c r="C24" s="7" t="n">
        <v>21900</v>
      </c>
      <c r="D24" s="8" t="n">
        <f aca="false">ROUND(C24/(1+$I$5),0)</f>
        <v>18403</v>
      </c>
      <c r="E24" s="9" t="n">
        <v>10</v>
      </c>
      <c r="F24" s="8" t="n">
        <f aca="false">D24*E24</f>
        <v>184030</v>
      </c>
      <c r="H24" s="10" t="s">
        <v>68</v>
      </c>
      <c r="I24" s="8" t="n">
        <f aca="false">IF(I18=0,0,ROUND(I22/I18,0))</f>
        <v>3237</v>
      </c>
    </row>
    <row r="25" customFormat="false" ht="15" hidden="false" customHeight="true" outlineLevel="0" collapsed="false">
      <c r="A25" s="6" t="s">
        <v>69</v>
      </c>
      <c r="B25" s="6" t="s">
        <v>70</v>
      </c>
      <c r="C25" s="7" t="n">
        <v>25900</v>
      </c>
      <c r="D25" s="8" t="n">
        <f aca="false">ROUND(C25/(1+$I$5),0)</f>
        <v>21765</v>
      </c>
      <c r="E25" s="9" t="n">
        <v>10</v>
      </c>
      <c r="F25" s="8" t="n">
        <f aca="false">D25*E25</f>
        <v>217650</v>
      </c>
    </row>
    <row r="26" customFormat="false" ht="15" hidden="false" customHeight="true" outlineLevel="0" collapsed="false">
      <c r="A26" s="6" t="s">
        <v>71</v>
      </c>
      <c r="B26" s="6" t="s">
        <v>72</v>
      </c>
      <c r="C26" s="7" t="n">
        <v>79900</v>
      </c>
      <c r="D26" s="8" t="n">
        <f aca="false">ROUND(C26/(1+$I$5),0)</f>
        <v>67143</v>
      </c>
      <c r="E26" s="9" t="n">
        <v>10</v>
      </c>
      <c r="F26" s="8" t="n">
        <f aca="false">D26*E26</f>
        <v>671430</v>
      </c>
    </row>
    <row r="27" customFormat="false" ht="15" hidden="false" customHeight="true" outlineLevel="0" collapsed="false">
      <c r="B27" s="19" t="s">
        <v>73</v>
      </c>
      <c r="E27" s="20" t="n">
        <f aca="false">SUM(E5:E26)</f>
        <v>220</v>
      </c>
      <c r="F27" s="21" t="n">
        <f aca="false">SUM(F5:F26)</f>
        <v>5477330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1"/>
    <col collapsed="false" customWidth="true" hidden="false" outlineLevel="0" max="5" min="3" style="1" width="18"/>
    <col collapsed="false" customWidth="true" hidden="false" outlineLevel="0" max="6" min="6" style="1" width="20"/>
    <col collapsed="false" customWidth="true" hidden="false" outlineLevel="0" max="7" min="7" style="1" width="18"/>
  </cols>
  <sheetData>
    <row r="1" customFormat="false" ht="17.25" hidden="false" customHeight="true" outlineLevel="0" collapsed="false">
      <c r="A1" s="2" t="s">
        <v>74</v>
      </c>
    </row>
    <row r="2" customFormat="false" ht="15" hidden="false" customHeight="true" outlineLevel="0" collapsed="false">
      <c r="A2" s="3" t="s">
        <v>75</v>
      </c>
    </row>
    <row r="4" customFormat="false" ht="15" hidden="false" customHeight="true" outlineLevel="0" collapsed="false">
      <c r="A4" s="22" t="s">
        <v>76</v>
      </c>
      <c r="B4" s="22"/>
      <c r="C4" s="22"/>
      <c r="D4" s="8" t="n">
        <f aca="false">IF(Proyección!I18&gt;0,Proyección!I20/Proyección!I18,AVERAGE(Proyección!D5:D26))</f>
        <v>24896.9545454545</v>
      </c>
    </row>
    <row r="5" customFormat="false" ht="15" hidden="false" customHeight="true" outlineLevel="0" collapsed="false">
      <c r="A5" s="22" t="s">
        <v>77</v>
      </c>
      <c r="B5" s="22"/>
      <c r="C5" s="22"/>
      <c r="D5" s="8" t="n">
        <f aca="false">IF(Proyección!I18&gt;0,Proyección!I19/Proyección!I18,AVERAGE(Proyección!C5:C26))</f>
        <v>29627.2727272727</v>
      </c>
    </row>
    <row r="7" customFormat="false" ht="31.5" hidden="false" customHeight="true" outlineLevel="0" collapsed="false">
      <c r="A7" s="4" t="s">
        <v>78</v>
      </c>
      <c r="B7" s="4" t="s">
        <v>79</v>
      </c>
      <c r="C7" s="4" t="s">
        <v>80</v>
      </c>
      <c r="D7" s="4" t="s">
        <v>81</v>
      </c>
      <c r="E7" s="4" t="s">
        <v>82</v>
      </c>
      <c r="F7" s="4" t="s">
        <v>83</v>
      </c>
      <c r="G7" s="4" t="s">
        <v>84</v>
      </c>
    </row>
    <row r="8" customFormat="false" ht="15" hidden="false" customHeight="true" outlineLevel="0" collapsed="false">
      <c r="A8" s="9" t="n">
        <v>50</v>
      </c>
      <c r="B8" s="16" t="n">
        <f aca="false">IF(A8=0,0,INDEX(Proyección!$I$10:$I$14,MATCH(A8,Proyección!$J$10:$J$14,1)))</f>
        <v>0.11</v>
      </c>
      <c r="C8" s="8" t="n">
        <f aca="false">ROUND(A8*$D$5,0)</f>
        <v>1481364</v>
      </c>
      <c r="D8" s="8" t="n">
        <f aca="false">ROUND(A8*$D$4,0)</f>
        <v>1244848</v>
      </c>
      <c r="E8" s="23" t="n">
        <f aca="false">ROUND(D8*B8,0)</f>
        <v>136933</v>
      </c>
      <c r="F8" s="8" t="n">
        <f aca="false">ROUND(E8*(1+Proyección!$I$6),0)</f>
        <v>178013</v>
      </c>
      <c r="G8" s="8" t="n">
        <f aca="false">IF(A8=0,0,ROUND(E8/A8,0))</f>
        <v>2739</v>
      </c>
    </row>
    <row r="9" customFormat="false" ht="15" hidden="false" customHeight="true" outlineLevel="0" collapsed="false">
      <c r="A9" s="9" t="n">
        <v>100</v>
      </c>
      <c r="B9" s="16" t="n">
        <f aca="false">IF(A9=0,0,INDEX(Proyección!$I$10:$I$14,MATCH(A9,Proyección!$J$10:$J$14,1)))</f>
        <v>0.11</v>
      </c>
      <c r="C9" s="8" t="n">
        <f aca="false">ROUND(A9*$D$5,0)</f>
        <v>2962727</v>
      </c>
      <c r="D9" s="8" t="n">
        <f aca="false">ROUND(A9*$D$4,0)</f>
        <v>2489695</v>
      </c>
      <c r="E9" s="23" t="n">
        <f aca="false">ROUND(D9*B9,0)</f>
        <v>273866</v>
      </c>
      <c r="F9" s="8" t="n">
        <f aca="false">ROUND(E9*(1+Proyección!$I$6),0)</f>
        <v>356026</v>
      </c>
      <c r="G9" s="8" t="n">
        <f aca="false">IF(A9=0,0,ROUND(E9/A9,0))</f>
        <v>2739</v>
      </c>
    </row>
    <row r="10" customFormat="false" ht="15" hidden="false" customHeight="true" outlineLevel="0" collapsed="false">
      <c r="A10" s="9" t="n">
        <v>150</v>
      </c>
      <c r="B10" s="16" t="n">
        <f aca="false">IF(A10=0,0,INDEX(Proyección!$I$10:$I$14,MATCH(A10,Proyección!$J$10:$J$14,1)))</f>
        <v>0.12</v>
      </c>
      <c r="C10" s="8" t="n">
        <f aca="false">ROUND(A10*$D$5,0)</f>
        <v>4444091</v>
      </c>
      <c r="D10" s="8" t="n">
        <f aca="false">ROUND(A10*$D$4,0)</f>
        <v>3734543</v>
      </c>
      <c r="E10" s="23" t="n">
        <f aca="false">ROUND(D10*B10,0)</f>
        <v>448145</v>
      </c>
      <c r="F10" s="8" t="n">
        <f aca="false">ROUND(E10*(1+Proyección!$I$6),0)</f>
        <v>582589</v>
      </c>
      <c r="G10" s="8" t="n">
        <f aca="false">IF(A10=0,0,ROUND(E10/A10,0))</f>
        <v>2988</v>
      </c>
    </row>
    <row r="11" customFormat="false" ht="15" hidden="false" customHeight="true" outlineLevel="0" collapsed="false">
      <c r="A11" s="9" t="n">
        <v>200</v>
      </c>
      <c r="B11" s="16" t="n">
        <f aca="false">IF(A11=0,0,INDEX(Proyección!$I$10:$I$14,MATCH(A11,Proyección!$J$10:$J$14,1)))</f>
        <v>0.12</v>
      </c>
      <c r="C11" s="8" t="n">
        <f aca="false">ROUND(A11*$D$5,0)</f>
        <v>5925455</v>
      </c>
      <c r="D11" s="8" t="n">
        <f aca="false">ROUND(A11*$D$4,0)</f>
        <v>4979391</v>
      </c>
      <c r="E11" s="23" t="n">
        <f aca="false">ROUND(D11*B11,0)</f>
        <v>597527</v>
      </c>
      <c r="F11" s="8" t="n">
        <f aca="false">ROUND(E11*(1+Proyección!$I$6),0)</f>
        <v>776785</v>
      </c>
      <c r="G11" s="8" t="n">
        <f aca="false">IF(A11=0,0,ROUND(E11/A11,0))</f>
        <v>2988</v>
      </c>
    </row>
    <row r="12" customFormat="false" ht="15" hidden="false" customHeight="true" outlineLevel="0" collapsed="false">
      <c r="A12" s="9" t="n">
        <v>250</v>
      </c>
      <c r="B12" s="16" t="n">
        <f aca="false">IF(A12=0,0,INDEX(Proyección!$I$10:$I$14,MATCH(A12,Proyección!$J$10:$J$14,1)))</f>
        <v>0.13</v>
      </c>
      <c r="C12" s="8" t="n">
        <f aca="false">ROUND(A12*$D$5,0)</f>
        <v>7406818</v>
      </c>
      <c r="D12" s="8" t="n">
        <f aca="false">ROUND(A12*$D$4,0)</f>
        <v>6224239</v>
      </c>
      <c r="E12" s="23" t="n">
        <f aca="false">ROUND(D12*B12,0)</f>
        <v>809151</v>
      </c>
      <c r="F12" s="8" t="n">
        <f aca="false">ROUND(E12*(1+Proyección!$I$6),0)</f>
        <v>1051896</v>
      </c>
      <c r="G12" s="8" t="n">
        <f aca="false">IF(A12=0,0,ROUND(E12/A12,0))</f>
        <v>3237</v>
      </c>
    </row>
    <row r="13" customFormat="false" ht="15" hidden="false" customHeight="true" outlineLevel="0" collapsed="false">
      <c r="A13" s="9" t="n">
        <v>300</v>
      </c>
      <c r="B13" s="16" t="n">
        <f aca="false">IF(A13=0,0,INDEX(Proyección!$I$10:$I$14,MATCH(A13,Proyección!$J$10:$J$14,1)))</f>
        <v>0.13</v>
      </c>
      <c r="C13" s="8" t="n">
        <f aca="false">ROUND(A13*$D$5,0)</f>
        <v>8888182</v>
      </c>
      <c r="D13" s="8" t="n">
        <f aca="false">ROUND(A13*$D$4,0)</f>
        <v>7469086</v>
      </c>
      <c r="E13" s="23" t="n">
        <f aca="false">ROUND(D13*B13,0)</f>
        <v>970981</v>
      </c>
      <c r="F13" s="8" t="n">
        <f aca="false">ROUND(E13*(1+Proyección!$I$6),0)</f>
        <v>1262275</v>
      </c>
      <c r="G13" s="8" t="n">
        <f aca="false">IF(A13=0,0,ROUND(E13/A13,0))</f>
        <v>3237</v>
      </c>
    </row>
    <row r="14" customFormat="false" ht="15" hidden="false" customHeight="true" outlineLevel="0" collapsed="false">
      <c r="A14" s="9" t="n">
        <v>350</v>
      </c>
      <c r="B14" s="16" t="n">
        <f aca="false">IF(A14=0,0,INDEX(Proyección!$I$10:$I$14,MATCH(A14,Proyección!$J$10:$J$14,1)))</f>
        <v>0.13</v>
      </c>
      <c r="C14" s="8" t="n">
        <f aca="false">ROUND(A14*$D$5,0)</f>
        <v>10369545</v>
      </c>
      <c r="D14" s="8" t="n">
        <f aca="false">ROUND(A14*$D$4,0)</f>
        <v>8713934</v>
      </c>
      <c r="E14" s="23" t="n">
        <f aca="false">ROUND(D14*B14,0)</f>
        <v>1132811</v>
      </c>
      <c r="F14" s="8" t="n">
        <f aca="false">ROUND(E14*(1+Proyección!$I$6),0)</f>
        <v>1472654</v>
      </c>
      <c r="G14" s="8" t="n">
        <f aca="false">IF(A14=0,0,ROUND(E14/A14,0))</f>
        <v>3237</v>
      </c>
    </row>
    <row r="15" customFormat="false" ht="15" hidden="false" customHeight="true" outlineLevel="0" collapsed="false">
      <c r="A15" s="9" t="n">
        <v>400</v>
      </c>
      <c r="B15" s="16" t="n">
        <f aca="false">IF(A15=0,0,INDEX(Proyección!$I$10:$I$14,MATCH(A15,Proyección!$J$10:$J$14,1)))</f>
        <v>0.14</v>
      </c>
      <c r="C15" s="8" t="n">
        <f aca="false">ROUND(A15*$D$5,0)</f>
        <v>11850909</v>
      </c>
      <c r="D15" s="8" t="n">
        <f aca="false">ROUND(A15*$D$4,0)</f>
        <v>9958782</v>
      </c>
      <c r="E15" s="23" t="n">
        <f aca="false">ROUND(D15*B15,0)</f>
        <v>1394229</v>
      </c>
      <c r="F15" s="8" t="n">
        <f aca="false">ROUND(E15*(1+Proyección!$I$6),0)</f>
        <v>1812498</v>
      </c>
      <c r="G15" s="8" t="n">
        <f aca="false">IF(A15=0,0,ROUND(E15/A15,0))</f>
        <v>3486</v>
      </c>
    </row>
    <row r="16" customFormat="false" ht="15" hidden="false" customHeight="true" outlineLevel="0" collapsed="false">
      <c r="A16" s="9" t="n">
        <v>500</v>
      </c>
      <c r="B16" s="16" t="n">
        <f aca="false">IF(A16=0,0,INDEX(Proyección!$I$10:$I$14,MATCH(A16,Proyección!$J$10:$J$14,1)))</f>
        <v>0.14</v>
      </c>
      <c r="C16" s="8" t="n">
        <f aca="false">ROUND(A16*$D$5,0)</f>
        <v>14813636</v>
      </c>
      <c r="D16" s="8" t="n">
        <f aca="false">ROUND(A16*$D$4,0)</f>
        <v>12448477</v>
      </c>
      <c r="E16" s="23" t="n">
        <f aca="false">ROUND(D16*B16,0)</f>
        <v>1742787</v>
      </c>
      <c r="F16" s="8" t="n">
        <f aca="false">ROUND(E16*(1+Proyección!$I$6),0)</f>
        <v>2265623</v>
      </c>
      <c r="G16" s="8" t="n">
        <f aca="false">IF(A16=0,0,ROUND(E16/A16,0))</f>
        <v>3486</v>
      </c>
    </row>
    <row r="17" customFormat="false" ht="15" hidden="false" customHeight="true" outlineLevel="0" collapsed="false">
      <c r="A17" s="9" t="n">
        <v>600</v>
      </c>
      <c r="B17" s="16" t="n">
        <f aca="false">IF(A17=0,0,INDEX(Proyección!$I$10:$I$14,MATCH(A17,Proyección!$J$10:$J$14,1)))</f>
        <v>0.15</v>
      </c>
      <c r="C17" s="8" t="n">
        <f aca="false">ROUND(A17*$D$5,0)</f>
        <v>17776364</v>
      </c>
      <c r="D17" s="8" t="n">
        <f aca="false">ROUND(A17*$D$4,0)</f>
        <v>14938173</v>
      </c>
      <c r="E17" s="23" t="n">
        <f aca="false">ROUND(D17*B17,0)</f>
        <v>2240726</v>
      </c>
      <c r="F17" s="8" t="n">
        <f aca="false">ROUND(E17*(1+Proyección!$I$6),0)</f>
        <v>2912944</v>
      </c>
      <c r="G17" s="8" t="n">
        <f aca="false">IF(A17=0,0,ROUND(E17/A17,0))</f>
        <v>3735</v>
      </c>
    </row>
    <row r="18" customFormat="false" ht="15" hidden="false" customHeight="true" outlineLevel="0" collapsed="false">
      <c r="A18" s="9" t="n">
        <v>750</v>
      </c>
      <c r="B18" s="16" t="n">
        <f aca="false">IF(A18=0,0,INDEX(Proyección!$I$10:$I$14,MATCH(A18,Proyección!$J$10:$J$14,1)))</f>
        <v>0.15</v>
      </c>
      <c r="C18" s="8" t="n">
        <f aca="false">ROUND(A18*$D$5,0)</f>
        <v>22220455</v>
      </c>
      <c r="D18" s="8" t="n">
        <f aca="false">ROUND(A18*$D$4,0)</f>
        <v>18672716</v>
      </c>
      <c r="E18" s="23" t="n">
        <f aca="false">ROUND(D18*B18,0)</f>
        <v>2800907</v>
      </c>
      <c r="F18" s="8" t="n">
        <f aca="false">ROUND(E18*(1+Proyección!$I$6),0)</f>
        <v>3641179</v>
      </c>
      <c r="G18" s="8" t="n">
        <f aca="false">IF(A18=0,0,ROUND(E18/A18,0))</f>
        <v>3735</v>
      </c>
    </row>
    <row r="19" customFormat="false" ht="15" hidden="false" customHeight="true" outlineLevel="0" collapsed="false">
      <c r="A19" s="9" t="n">
        <v>1000</v>
      </c>
      <c r="B19" s="16" t="n">
        <f aca="false">IF(A19=0,0,INDEX(Proyección!$I$10:$I$14,MATCH(A19,Proyección!$J$10:$J$14,1)))</f>
        <v>0.15</v>
      </c>
      <c r="C19" s="8" t="n">
        <f aca="false">ROUND(A19*$D$5,0)</f>
        <v>29627273</v>
      </c>
      <c r="D19" s="8" t="n">
        <f aca="false">ROUND(A19*$D$4,0)</f>
        <v>24896955</v>
      </c>
      <c r="E19" s="23" t="n">
        <f aca="false">ROUND(D19*B19,0)</f>
        <v>3734543</v>
      </c>
      <c r="F19" s="8" t="n">
        <f aca="false">ROUND(E19*(1+Proyección!$I$6),0)</f>
        <v>4854906</v>
      </c>
      <c r="G19" s="8" t="n">
        <f aca="false">IF(A19=0,0,ROUND(E19/A19,0))</f>
        <v>3735</v>
      </c>
    </row>
    <row r="21" customFormat="false" ht="15" hidden="false" customHeight="true" outlineLevel="0" collapsed="false">
      <c r="A21" s="5" t="s">
        <v>85</v>
      </c>
    </row>
    <row r="22" customFormat="false" ht="15" hidden="false" customHeight="true" outlineLevel="0" collapsed="false">
      <c r="A22" s="24" t="s">
        <v>86</v>
      </c>
    </row>
    <row r="23" customFormat="false" ht="15" hidden="false" customHeight="true" outlineLevel="0" collapsed="false">
      <c r="A23" s="24" t="s">
        <v>87</v>
      </c>
    </row>
    <row r="24" customFormat="false" ht="15" hidden="false" customHeight="true" outlineLevel="0" collapsed="false">
      <c r="A24" s="24" t="s">
        <v>88</v>
      </c>
    </row>
    <row r="25" customFormat="false" ht="15" hidden="false" customHeight="true" outlineLevel="0" collapsed="false">
      <c r="A25" s="24" t="s">
        <v>89</v>
      </c>
    </row>
    <row r="26" customFormat="false" ht="15" hidden="false" customHeight="true" outlineLevel="0" collapsed="false">
      <c r="A26" s="24" t="s">
        <v>90</v>
      </c>
    </row>
  </sheetData>
  <mergeCells count="2">
    <mergeCell ref="A4:C4"/>
    <mergeCell ref="A5:C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2026-10-09T20:59:36Z</dcterms:created>
  <dc:creator>openpyxl</dc:creator>
  <dc:description/>
  <dc:language>en-US</dc:language>
  <cp:lastModifiedBy/>
  <dcterms:modified xsi:type="dcterms:W3CDTF">2026-10-09T21:00:33Z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