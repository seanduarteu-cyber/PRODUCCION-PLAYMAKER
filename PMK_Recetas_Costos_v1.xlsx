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EEME" sheetId="1" state="visible" r:id="rId1"/>
    <sheet name="Recetas" sheetId="2" state="visible" r:id="rId2"/>
    <sheet name="Parametros" sheetId="3" state="visible" r:id="rId3"/>
    <sheet name="Gastos_Fijos" sheetId="4" state="visible" r:id="rId4"/>
    <sheet name="Insumos" sheetId="5" state="visible" r:id="rId5"/>
    <sheet name="Confeccion" sheetId="6" state="visible" r:id="rId6"/>
    <sheet name="Catalogo" sheetId="7" state="visible" r:id="rId7"/>
  </sheets>
  <definedNames>
    <definedName name="_xlnm._FilterDatabase" localSheetId="6" hidden="1">'Catalogo'!$A$4:$F$142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-"/>
    <numFmt numFmtId="165" formatCode="0.0%"/>
    <numFmt numFmtId="166" formatCode="0.0"/>
    <numFmt numFmtId="167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1F2A4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</fonts>
  <fills count="9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9C4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wrapText="1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167" fontId="6" fillId="3" borderId="1" pivotButton="0" quotePrefix="0" xfId="0"/>
    <xf numFmtId="166" fontId="6" fillId="3" borderId="1" pivotButton="0" quotePrefix="0" xfId="0"/>
    <xf numFmtId="164" fontId="6" fillId="3" borderId="1" pivotButton="0" quotePrefix="0" xfId="0"/>
    <xf numFmtId="0" fontId="6" fillId="3" borderId="1" applyAlignment="1" pivotButton="0" quotePrefix="0" xfId="0">
      <alignment/>
    </xf>
    <xf numFmtId="164" fontId="5" fillId="4" borderId="1" pivotButton="0" quotePrefix="0" xfId="0"/>
    <xf numFmtId="164" fontId="7" fillId="4" borderId="1" pivotButton="0" quotePrefix="0" xfId="0"/>
    <xf numFmtId="165" fontId="5" fillId="4" borderId="1" pivotButton="0" quotePrefix="0" xfId="0"/>
    <xf numFmtId="0" fontId="7" fillId="4" borderId="1" pivotButton="0" quotePrefix="0" xfId="0"/>
    <xf numFmtId="0" fontId="5" fillId="4" borderId="1" pivotButton="0" quotePrefix="0" xfId="0"/>
    <xf numFmtId="0" fontId="5" fillId="0" borderId="1" pivotButton="0" quotePrefix="0" xfId="0"/>
    <xf numFmtId="164" fontId="8" fillId="4" borderId="1" pivotButton="0" quotePrefix="0" xfId="0"/>
    <xf numFmtId="165" fontId="6" fillId="3" borderId="1" pivotButton="0" quotePrefix="0" xfId="0"/>
    <xf numFmtId="0" fontId="7" fillId="0" borderId="1" pivotButton="0" quotePrefix="0" xfId="0"/>
    <xf numFmtId="165" fontId="7" fillId="4" borderId="1" pivotButton="0" quotePrefix="0" xfId="0"/>
    <xf numFmtId="164" fontId="6" fillId="5" borderId="1" pivotButton="0" quotePrefix="0" xfId="0"/>
    <xf numFmtId="0" fontId="4" fillId="3" borderId="1" applyAlignment="1" pivotButton="0" quotePrefix="0" xfId="0">
      <alignment horizontal="center" vertical="center" wrapText="1"/>
    </xf>
    <xf numFmtId="3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dxfs count="5">
    <dxf>
      <font>
        <name val="Arial"/>
        <b val="1"/>
        <color rgb="009C0006"/>
      </font>
      <fill>
        <patternFill patternType="solid">
          <bgColor rgb="00F8CBAD"/>
        </patternFill>
      </fill>
    </dxf>
    <dxf>
      <fill>
        <patternFill patternType="solid">
          <bgColor rgb="00FFE699"/>
        </patternFill>
      </fill>
    </dxf>
    <dxf>
      <fill>
        <patternFill patternType="solid">
          <bgColor rgb="00C6E0B4"/>
        </patternFill>
      </fill>
    </dxf>
    <dxf>
      <fill>
        <patternFill patternType="solid">
          <bgColor rgb="00D9D9D9"/>
        </patternFill>
      </fill>
    </dxf>
    <dxf>
      <fill>
        <patternFill patternType="solid"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1" t="inlineStr">
        <is>
          <t>RECETAS DE COSTO — PLAYMAKER</t>
        </is>
      </c>
    </row>
    <row r="2">
      <c r="A2" s="2" t="inlineStr">
        <is>
          <t>Versión 1 · armada desde el Sistema de Costeo v2. Todo dato figura "Por confirmar" hasta que lo valides.</t>
        </is>
      </c>
    </row>
    <row r="4">
      <c r="A4" s="3" t="inlineStr">
        <is>
          <t>QUÉ HACE</t>
        </is>
      </c>
    </row>
    <row r="5">
      <c r="B5" s="4" t="inlineStr">
        <is>
          <t>Por cada producto calcula: costo de producción + gastos de fábrica + gastos comerciales = ganancia real, y el precio mínimo para no perder.</t>
        </is>
      </c>
    </row>
    <row r="6">
      <c r="B6" s="4" t="inlineStr">
        <is>
          <t>Fórmula del precio mínimo:  costo de producción ÷ (1 − recargo − ganancia deseada).</t>
        </is>
      </c>
    </row>
    <row r="7">
      <c r="A7" s="3" t="inlineStr">
        <is>
          <t>COLORES</t>
        </is>
      </c>
    </row>
    <row r="8">
      <c r="B8" s="4" t="inlineStr">
        <is>
          <t>AMARILLO con letra azul = lo escribes tú.   GRIS = se calcula solo, no tocar.   VERDE = viene de otra hoja.</t>
        </is>
      </c>
    </row>
    <row r="9">
      <c r="A9" s="3" t="inlineStr">
        <is>
          <t>HOJAS</t>
        </is>
      </c>
    </row>
    <row r="10">
      <c r="B10" s="4" t="inlineStr">
        <is>
          <t>Recetas: una fila por producto. Aquí está el resultado (ganancia, precio mínimo, semáforo).</t>
        </is>
      </c>
    </row>
    <row r="11">
      <c r="B11" s="4" t="inlineStr">
        <is>
          <t>Parametros: recargo %, meta de ganancia, tinta/papel y costo de ploteo, sublimación, corte y estampado.</t>
        </is>
      </c>
    </row>
    <row r="12">
      <c r="B12" s="4" t="inlineStr">
        <is>
          <t>Gastos_Fijos: gastos y ventas de los últimos 3 meses. De aquí sale el recargo.</t>
        </is>
      </c>
    </row>
    <row r="13">
      <c r="B13" s="4" t="inlineStr">
        <is>
          <t>Insumos: precio de cada tela, avío y consumible.   Confeccion: lo que se paga al taller por prenda.</t>
        </is>
      </c>
    </row>
    <row r="14">
      <c r="B14" s="4" t="inlineStr">
        <is>
          <t>Catalogo: los 131 productos vendidos y cuáles ya tienen receta.</t>
        </is>
      </c>
    </row>
    <row r="15">
      <c r="A15" s="3" t="inlineStr">
        <is>
          <t>PARA AGREGAR UN PRODUCTO (4 pasos)</t>
        </is>
      </c>
    </row>
    <row r="16">
      <c r="B16" s="4" t="inlineStr">
        <is>
          <t>1) En Recetas, usa la primera fila vacía y elige el producto del catálogo (columna A).</t>
        </is>
      </c>
    </row>
    <row r="17">
      <c r="B17" s="4" t="inlineStr">
        <is>
          <t>2) Elige tela y confección en las listas. Escribe los kg de tela por prenda y los metros de ploteo y sublimación.</t>
        </is>
      </c>
    </row>
    <row r="18">
      <c r="B18" s="4" t="inlineStr">
        <is>
          <t>3) Escribe el precio de venta neto.   4) Revisa el semáforo y las alertas de la derecha.</t>
        </is>
      </c>
    </row>
    <row r="19">
      <c r="A19" s="3" t="inlineStr">
        <is>
          <t>CADA TRIMESTRE (reajuste)</t>
        </is>
      </c>
    </row>
    <row r="20">
      <c r="B20" s="4" t="inlineStr">
        <is>
          <t>En Gastos_Fijos: reemplaza los nombres de mes y los montos de gastos y ventas de los últimos 3 meses. El recargo se recalcula solo.</t>
        </is>
      </c>
    </row>
    <row r="21">
      <c r="B21" s="4" t="inlineStr">
        <is>
          <t>Revisa en Insumos y Confeccion si cambiaron precios de tela o valores de taller.</t>
        </is>
      </c>
    </row>
    <row r="22">
      <c r="A22" s="3" t="inlineStr">
        <is>
          <t>SEMÁFORO</t>
        </is>
      </c>
    </row>
    <row r="23">
      <c r="B23" s="4" t="inlineStr">
        <is>
          <t>PIERDE = el precio no cubre costo + gastos.   BAJO META = gana, pero menos que tu ganancia deseada.   OK = cumple la meta.</t>
        </is>
      </c>
    </row>
    <row r="24">
      <c r="A24" s="3" t="inlineStr">
        <is>
          <t>PENDIENTES IMPORTANTES (afectan los resultados)</t>
        </is>
      </c>
    </row>
    <row r="25">
      <c r="B25" s="4">
        <f>"• Tinta y papel de sublimación: "&amp;IF(Parametros!B17=0,"SIN DATO — los costos están subestimados.","ingresado.")</f>
        <v/>
      </c>
    </row>
    <row r="26">
      <c r="B26" s="4">
        <f>"• Datos de precio por confirmar: "&amp;(COUNTIF(Insumos!E6:E200,"Por confirmar")+COUNTIF(Confeccion!D5:D200,"Por confirmar")+COUNTIF(Parametros!J21:J24,"Por confirmar"))&amp;" (insumos, confección y procesos). Cambia el estado a Confirmado al verificar."</f>
        <v/>
      </c>
    </row>
    <row r="27">
      <c r="B27" s="4">
        <f>"• Precios de insumos PENDIENTES (sin precio): "&amp;COUNTIF(Insumos!E6:E200,"PENDIENTE")</f>
        <v/>
      </c>
    </row>
    <row r="28">
      <c r="B28" s="4" t="inlineStr">
        <is>
          <t>• Avíos (hilo, etiqueta, cuello, etc.) no estaban en las recetas originales: usa la columna "Otros avíos" para incluirlos.</t>
        </is>
      </c>
    </row>
    <row r="29">
      <c r="B29" s="4" t="inlineStr">
        <is>
          <t>• Gastos de los 3 meses: el archivo original solo traía un mes, repetido en los tres. Reemplazar con datos reales.</t>
        </is>
      </c>
    </row>
    <row r="30">
      <c r="B30" s="4" t="inlineStr">
        <is>
          <t>• Consumos de tela: la mayoría viene de 1 o 2 proyectos (estado Observado/Preliminar). Mejoran al sumar más cortes.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30" customWidth="1" min="3" max="3"/>
    <col width="13" customWidth="1" min="4" max="4"/>
    <col width="9" customWidth="1" min="5" max="5"/>
    <col width="12" customWidth="1" min="6" max="6"/>
    <col width="30" customWidth="1" min="7" max="7"/>
    <col width="12" customWidth="1" min="8" max="8"/>
    <col width="12" customWidth="1" min="9" max="9"/>
    <col width="13" customWidth="1" min="10" max="10"/>
    <col width="14" customWidth="1" min="11" max="11"/>
    <col width="50" customWidth="1" min="12" max="12"/>
    <col width="11" customWidth="1" min="13" max="13"/>
    <col width="10" customWidth="1" min="14" max="14"/>
    <col width="12" customWidth="1" min="15" max="15"/>
    <col width="11" customWidth="1" min="16" max="16"/>
    <col width="10" customWidth="1" min="17" max="17"/>
    <col width="11" customWidth="1" min="18" max="18"/>
    <col width="12" customWidth="1" min="19" max="19"/>
    <col width="14" customWidth="1" min="20" max="20"/>
    <col width="12" customWidth="1" min="21" max="21"/>
    <col width="12" customWidth="1" min="22" max="22"/>
    <col width="13" customWidth="1" min="23" max="23"/>
    <col width="12" customWidth="1" min="24" max="24"/>
    <col width="12" customWidth="1" min="25" max="25"/>
    <col width="13" customWidth="1" min="26" max="26"/>
    <col width="13" customWidth="1" min="27" max="27"/>
    <col width="38" customWidth="1" min="28" max="28"/>
  </cols>
  <sheetData>
    <row r="1">
      <c r="A1" s="1" t="inlineStr">
        <is>
          <t>RECETAS — costo de producción, gastos y ganancia por prenda</t>
        </is>
      </c>
    </row>
    <row r="2">
      <c r="A2" s="2" t="inlineStr">
        <is>
          <t>Una fila = un producto. Solo llenas las columnas amarillas (A a L). Todo lo demás se calcula solo.</t>
        </is>
      </c>
    </row>
    <row r="3">
      <c r="A3" s="3">
        <f>"Recargo usado: "&amp;TEXT(Parametros!B15,"0.0%")&amp;" del precio (fábrica "&amp;TEXT(Parametros!B13,"0.0%")&amp;" + comercial "&amp;TEXT(Parametros!B14,"0.0%")&amp;")  ·  Meta de ganancia: "&amp;TEXT(Parametros!B16,"0%")</f>
        <v/>
      </c>
    </row>
    <row r="4">
      <c r="A4" s="5" t="inlineStr">
        <is>
          <t>DATOS DEL PRODUCTO (los llenas tú)</t>
        </is>
      </c>
      <c r="M4" s="6" t="inlineStr">
        <is>
          <t>COSTO DE PRODUCCIÓN ($ por prenda)</t>
        </is>
      </c>
      <c r="U4" s="7" t="inlineStr">
        <is>
          <t>RESULTADO COMERCIAL</t>
        </is>
      </c>
    </row>
    <row r="5" ht="42" customHeight="1">
      <c r="A5" s="8" t="inlineStr">
        <is>
          <t>Producto (catálogo)</t>
        </is>
      </c>
      <c r="B5" s="8" t="inlineStr">
        <is>
          <t>Variante / segmento</t>
        </is>
      </c>
      <c r="C5" s="8" t="inlineStr">
        <is>
          <t>Tela</t>
        </is>
      </c>
      <c r="D5" s="8" t="inlineStr">
        <is>
          <t>Consumo tela
(kg por prenda)</t>
        </is>
      </c>
      <c r="E5" s="8" t="inlineStr">
        <is>
          <t>Metros
ploteo</t>
        </is>
      </c>
      <c r="F5" s="8" t="inlineStr">
        <is>
          <t>Metros
sublimación</t>
        </is>
      </c>
      <c r="G5" s="8" t="inlineStr">
        <is>
          <t>Confección (tipo)</t>
        </is>
      </c>
      <c r="H5" s="8" t="inlineStr">
        <is>
          <t>Estampado
(1 = sí, 0 = no)</t>
        </is>
      </c>
      <c r="I5" s="8" t="inlineStr">
        <is>
          <t>Otros avíos
($ por prenda)</t>
        </is>
      </c>
      <c r="J5" s="8" t="inlineStr">
        <is>
          <t>Precio venta
neto ($)</t>
        </is>
      </c>
      <c r="K5" s="8" t="inlineStr">
        <is>
          <t>Estado del dato</t>
        </is>
      </c>
      <c r="L5" s="8" t="inlineStr">
        <is>
          <t>Notas</t>
        </is>
      </c>
      <c r="M5" s="8" t="inlineStr">
        <is>
          <t>Tela</t>
        </is>
      </c>
      <c r="N5" s="8" t="inlineStr">
        <is>
          <t>Ploteo</t>
        </is>
      </c>
      <c r="O5" s="8" t="inlineStr">
        <is>
          <t>Sublimación</t>
        </is>
      </c>
      <c r="P5" s="8" t="inlineStr">
        <is>
          <t>Tinta y papel</t>
        </is>
      </c>
      <c r="Q5" s="8" t="inlineStr">
        <is>
          <t>Corte</t>
        </is>
      </c>
      <c r="R5" s="8" t="inlineStr">
        <is>
          <t>Estampado</t>
        </is>
      </c>
      <c r="S5" s="8" t="inlineStr">
        <is>
          <t>Confección</t>
        </is>
      </c>
      <c r="T5" s="8" t="inlineStr">
        <is>
          <t>COSTO DE
PRODUCCIÓN</t>
        </is>
      </c>
      <c r="U5" s="8" t="inlineStr">
        <is>
          <t>Gastos de
fábrica</t>
        </is>
      </c>
      <c r="V5" s="8" t="inlineStr">
        <is>
          <t>Gastos
comerciales</t>
        </is>
      </c>
      <c r="W5" s="8" t="inlineStr">
        <is>
          <t>GANANCIA ($)</t>
        </is>
      </c>
      <c r="X5" s="8" t="inlineStr">
        <is>
          <t>GANANCIA (%)</t>
        </is>
      </c>
      <c r="Y5" s="8" t="inlineStr">
        <is>
          <t>Precio de
equilibrio</t>
        </is>
      </c>
      <c r="Z5" s="8" t="inlineStr">
        <is>
          <t>Precio mínimo
con meta</t>
        </is>
      </c>
      <c r="AA5" s="8" t="inlineStr">
        <is>
          <t>Semáforo</t>
        </is>
      </c>
      <c r="AB5" s="8" t="inlineStr">
        <is>
          <t>Alertas de datos</t>
        </is>
      </c>
    </row>
    <row r="6">
      <c r="A6" s="9" t="inlineStr">
        <is>
          <t>Camiseta Fútbol Pro Playmaker, m/c</t>
        </is>
      </c>
      <c r="B6" s="9" t="inlineStr">
        <is>
          <t>Pro Masculino</t>
        </is>
      </c>
      <c r="C6" s="9" t="inlineStr">
        <is>
          <t>MONTESIMONE TRAINING (fut pro)</t>
        </is>
      </c>
      <c r="D6" s="10" t="n">
        <v>0.12</v>
      </c>
      <c r="E6" s="11" t="n">
        <v>1.2</v>
      </c>
      <c r="F6" s="11" t="n">
        <v>1.9</v>
      </c>
      <c r="G6" s="9" t="inlineStr">
        <is>
          <t>Camiseta De Futbol</t>
        </is>
      </c>
      <c r="H6" s="9" t="n">
        <v>1</v>
      </c>
      <c r="I6" s="12" t="n">
        <v>0</v>
      </c>
      <c r="J6" s="12" t="n">
        <v>18403</v>
      </c>
      <c r="K6" s="9" t="inlineStr">
        <is>
          <t>Observado</t>
        </is>
      </c>
      <c r="L6" s="13" t="inlineStr">
        <is>
          <t>Consumo basado en 1 proyecto (20 prendas)</t>
        </is>
      </c>
      <c r="M6" s="14">
        <f>IF($A6="","",IFERROR(D6*INDEX(Insumos!$D$6:$D$98,MATCH(C6,Insumos!$A$6:$A$98,0)),0))</f>
        <v/>
      </c>
      <c r="N6" s="14">
        <f>IF($A6="","",E6*Parametros!$H$21)</f>
        <v/>
      </c>
      <c r="O6" s="14">
        <f>IF($A6="","",F6*Parametros!$H$22)</f>
        <v/>
      </c>
      <c r="P6" s="14">
        <f>IF($A6="","",F6*Parametros!$B$17)</f>
        <v/>
      </c>
      <c r="Q6" s="14">
        <f>IF($A6="","",D6*Parametros!$H$23)</f>
        <v/>
      </c>
      <c r="R6" s="14">
        <f>IF($A6="","",H6*Parametros!$H$24)</f>
        <v/>
      </c>
      <c r="S6" s="14">
        <f>IF($A6="","",IFERROR(INDEX(Confeccion!$B$5:$B$80,MATCH(G6,Confeccion!$A$5:$A$80,0)),0))</f>
        <v/>
      </c>
      <c r="T6" s="15">
        <f>IF($A6="","",SUM(M6:S6)+I6)</f>
        <v/>
      </c>
      <c r="U6" s="14">
        <f>IF($A6="","",IF(J6="","",J6*Parametros!$B$13))</f>
        <v/>
      </c>
      <c r="V6" s="14">
        <f>IF($A6="","",IF(J6="","",J6*Parametros!$B$14))</f>
        <v/>
      </c>
      <c r="W6" s="15">
        <f>IF($A6="","",IF(J6="","",J6-T6-U6-V6))</f>
        <v/>
      </c>
      <c r="X6" s="16">
        <f>IF($A6="","",IF(J6="","",W6/J6))</f>
        <v/>
      </c>
      <c r="Y6" s="14">
        <f>IF($A6="","",IF(Parametros!$B$15&gt;=1,"",T6/(1-Parametros!$B$15)))</f>
        <v/>
      </c>
      <c r="Z6" s="14">
        <f>IF($A6="","",IF(Parametros!$B$15+Parametros!$B$16&gt;=1,"",T6/(1-Parametros!$B$15-Parametros!$B$16)))</f>
        <v/>
      </c>
      <c r="AA6" s="17">
        <f>IF($A6="","",IF(J6="","Falta precio",IF(W6&lt;0,"PIERDE",IF(X6&lt;Parametros!$B$16,"BAJO META","OK"))))</f>
        <v/>
      </c>
      <c r="AB6" s="18">
        <f>IF($A6="","",IF(OR(C6="",D6=""),"Falta tela o consumo. ","")&amp;IF(AND(C6&lt;&gt;"",M6=0),"Tela sin precio. ","")&amp;IF(S6=0,"Confección sin valor. ","")&amp;IF(J6="","Falta precio de venta. ",""))</f>
        <v/>
      </c>
    </row>
    <row r="7">
      <c r="A7" s="9" t="inlineStr">
        <is>
          <t>Camiseta Fútbol Pro Playmaker, m/c</t>
        </is>
      </c>
      <c r="B7" s="9" t="inlineStr">
        <is>
          <t>Pro Femenino</t>
        </is>
      </c>
      <c r="C7" s="9" t="inlineStr">
        <is>
          <t>MONTESIMONE TRAINING (fut pro)</t>
        </is>
      </c>
      <c r="D7" s="10" t="n">
        <v>0.1225</v>
      </c>
      <c r="E7" s="11" t="n">
        <v>1.2</v>
      </c>
      <c r="F7" s="11" t="n">
        <v>1.9</v>
      </c>
      <c r="G7" s="9" t="inlineStr">
        <is>
          <t>Camiseta De Futbol</t>
        </is>
      </c>
      <c r="H7" s="9" t="n">
        <v>1</v>
      </c>
      <c r="I7" s="12" t="n">
        <v>0</v>
      </c>
      <c r="J7" s="12" t="n">
        <v>18403</v>
      </c>
      <c r="K7" s="9" t="inlineStr">
        <is>
          <t>Observado</t>
        </is>
      </c>
      <c r="L7" s="13" t="inlineStr">
        <is>
          <t>Consumo basado en 1 proyecto (20 prendas)</t>
        </is>
      </c>
      <c r="M7" s="14">
        <f>IF($A7="","",IFERROR(D7*INDEX(Insumos!$D$6:$D$98,MATCH(C7,Insumos!$A$6:$A$98,0)),0))</f>
        <v/>
      </c>
      <c r="N7" s="14">
        <f>IF($A7="","",E7*Parametros!$H$21)</f>
        <v/>
      </c>
      <c r="O7" s="14">
        <f>IF($A7="","",F7*Parametros!$H$22)</f>
        <v/>
      </c>
      <c r="P7" s="14">
        <f>IF($A7="","",F7*Parametros!$B$17)</f>
        <v/>
      </c>
      <c r="Q7" s="14">
        <f>IF($A7="","",D7*Parametros!$H$23)</f>
        <v/>
      </c>
      <c r="R7" s="14">
        <f>IF($A7="","",H7*Parametros!$H$24)</f>
        <v/>
      </c>
      <c r="S7" s="14">
        <f>IF($A7="","",IFERROR(INDEX(Confeccion!$B$5:$B$80,MATCH(G7,Confeccion!$A$5:$A$80,0)),0))</f>
        <v/>
      </c>
      <c r="T7" s="15">
        <f>IF($A7="","",SUM(M7:S7)+I7)</f>
        <v/>
      </c>
      <c r="U7" s="14">
        <f>IF($A7="","",IF(J7="","",J7*Parametros!$B$13))</f>
        <v/>
      </c>
      <c r="V7" s="14">
        <f>IF($A7="","",IF(J7="","",J7*Parametros!$B$14))</f>
        <v/>
      </c>
      <c r="W7" s="15">
        <f>IF($A7="","",IF(J7="","",J7-T7-U7-V7))</f>
        <v/>
      </c>
      <c r="X7" s="16">
        <f>IF($A7="","",IF(J7="","",W7/J7))</f>
        <v/>
      </c>
      <c r="Y7" s="14">
        <f>IF($A7="","",IF(Parametros!$B$15&gt;=1,"",T7/(1-Parametros!$B$15)))</f>
        <v/>
      </c>
      <c r="Z7" s="14">
        <f>IF($A7="","",IF(Parametros!$B$15+Parametros!$B$16&gt;=1,"",T7/(1-Parametros!$B$15-Parametros!$B$16)))</f>
        <v/>
      </c>
      <c r="AA7" s="17">
        <f>IF($A7="","",IF(J7="","Falta precio",IF(W7&lt;0,"PIERDE",IF(X7&lt;Parametros!$B$16,"BAJO META","OK"))))</f>
        <v/>
      </c>
      <c r="AB7" s="18">
        <f>IF($A7="","",IF(OR(C7="",D7=""),"Falta tela o consumo. ","")&amp;IF(AND(C7&lt;&gt;"",M7=0),"Tela sin precio. ","")&amp;IF(S7=0,"Confección sin valor. ","")&amp;IF(J7="","Falta precio de venta. ",""))</f>
        <v/>
      </c>
    </row>
    <row r="8">
      <c r="A8" s="9" t="inlineStr">
        <is>
          <t>Camiseta Fútbol Playmaker, m/c</t>
        </is>
      </c>
      <c r="B8" s="9" t="inlineStr">
        <is>
          <t>Nacional Infantil</t>
        </is>
      </c>
      <c r="C8" s="9" t="inlineStr">
        <is>
          <t>CIRE BLANCO</t>
        </is>
      </c>
      <c r="D8" s="10" t="n">
        <v>0.0375</v>
      </c>
      <c r="E8" s="11" t="n">
        <v>1.2</v>
      </c>
      <c r="F8" s="11" t="n">
        <v>1.2</v>
      </c>
      <c r="G8" s="9" t="inlineStr">
        <is>
          <t>Camiseta De Futbol</t>
        </is>
      </c>
      <c r="H8" s="9" t="n">
        <v>1</v>
      </c>
      <c r="I8" s="12" t="n">
        <v>0</v>
      </c>
      <c r="J8" s="12" t="n">
        <v>15994</v>
      </c>
      <c r="K8" s="9" t="inlineStr">
        <is>
          <t>Observado</t>
        </is>
      </c>
      <c r="L8" s="13" t="inlineStr">
        <is>
          <t>Consumo basado en 1 proyecto (48 prendas)</t>
        </is>
      </c>
      <c r="M8" s="14">
        <f>IF($A8="","",IFERROR(D8*INDEX(Insumos!$D$6:$D$98,MATCH(C8,Insumos!$A$6:$A$98,0)),0))</f>
        <v/>
      </c>
      <c r="N8" s="14">
        <f>IF($A8="","",E8*Parametros!$H$21)</f>
        <v/>
      </c>
      <c r="O8" s="14">
        <f>IF($A8="","",F8*Parametros!$H$22)</f>
        <v/>
      </c>
      <c r="P8" s="14">
        <f>IF($A8="","",F8*Parametros!$B$17)</f>
        <v/>
      </c>
      <c r="Q8" s="14">
        <f>IF($A8="","",D8*Parametros!$H$23)</f>
        <v/>
      </c>
      <c r="R8" s="14">
        <f>IF($A8="","",H8*Parametros!$H$24)</f>
        <v/>
      </c>
      <c r="S8" s="14">
        <f>IF($A8="","",IFERROR(INDEX(Confeccion!$B$5:$B$80,MATCH(G8,Confeccion!$A$5:$A$80,0)),0))</f>
        <v/>
      </c>
      <c r="T8" s="15">
        <f>IF($A8="","",SUM(M8:S8)+I8)</f>
        <v/>
      </c>
      <c r="U8" s="14">
        <f>IF($A8="","",IF(J8="","",J8*Parametros!$B$13))</f>
        <v/>
      </c>
      <c r="V8" s="14">
        <f>IF($A8="","",IF(J8="","",J8*Parametros!$B$14))</f>
        <v/>
      </c>
      <c r="W8" s="15">
        <f>IF($A8="","",IF(J8="","",J8-T8-U8-V8))</f>
        <v/>
      </c>
      <c r="X8" s="16">
        <f>IF($A8="","",IF(J8="","",W8/J8))</f>
        <v/>
      </c>
      <c r="Y8" s="14">
        <f>IF($A8="","",IF(Parametros!$B$15&gt;=1,"",T8/(1-Parametros!$B$15)))</f>
        <v/>
      </c>
      <c r="Z8" s="14">
        <f>IF($A8="","",IF(Parametros!$B$15+Parametros!$B$16&gt;=1,"",T8/(1-Parametros!$B$15-Parametros!$B$16)))</f>
        <v/>
      </c>
      <c r="AA8" s="17">
        <f>IF($A8="","",IF(J8="","Falta precio",IF(W8&lt;0,"PIERDE",IF(X8&lt;Parametros!$B$16,"BAJO META","OK"))))</f>
        <v/>
      </c>
      <c r="AB8" s="18">
        <f>IF($A8="","",IF(OR(C8="",D8=""),"Falta tela o consumo. ","")&amp;IF(AND(C8&lt;&gt;"",M8=0),"Tela sin precio. ","")&amp;IF(S8=0,"Confección sin valor. ","")&amp;IF(J8="","Falta precio de venta. ",""))</f>
        <v/>
      </c>
    </row>
    <row r="9">
      <c r="A9" s="9" t="inlineStr">
        <is>
          <t>Camiseta Fútbol Playmaker, m/c</t>
        </is>
      </c>
      <c r="B9" s="9" t="inlineStr">
        <is>
          <t>Nacional Masculino</t>
        </is>
      </c>
      <c r="C9" s="9" t="inlineStr">
        <is>
          <t>CIRE BLANCO</t>
        </is>
      </c>
      <c r="D9" s="10" t="n">
        <v>0.1609375</v>
      </c>
      <c r="E9" s="11" t="n">
        <v>1.2</v>
      </c>
      <c r="F9" s="11" t="n">
        <v>1.2</v>
      </c>
      <c r="G9" s="9" t="inlineStr">
        <is>
          <t>Camiseta De Futbol</t>
        </is>
      </c>
      <c r="H9" s="9" t="n">
        <v>1</v>
      </c>
      <c r="I9" s="12" t="n">
        <v>0</v>
      </c>
      <c r="J9" s="12" t="n">
        <v>15994</v>
      </c>
      <c r="K9" s="9" t="inlineStr">
        <is>
          <t>Preliminar</t>
        </is>
      </c>
      <c r="L9" s="13" t="inlineStr">
        <is>
          <t>Consumo promedio de 2 proyectos (32 prendas)</t>
        </is>
      </c>
      <c r="M9" s="14">
        <f>IF($A9="","",IFERROR(D9*INDEX(Insumos!$D$6:$D$98,MATCH(C9,Insumos!$A$6:$A$98,0)),0))</f>
        <v/>
      </c>
      <c r="N9" s="14">
        <f>IF($A9="","",E9*Parametros!$H$21)</f>
        <v/>
      </c>
      <c r="O9" s="14">
        <f>IF($A9="","",F9*Parametros!$H$22)</f>
        <v/>
      </c>
      <c r="P9" s="14">
        <f>IF($A9="","",F9*Parametros!$B$17)</f>
        <v/>
      </c>
      <c r="Q9" s="14">
        <f>IF($A9="","",D9*Parametros!$H$23)</f>
        <v/>
      </c>
      <c r="R9" s="14">
        <f>IF($A9="","",H9*Parametros!$H$24)</f>
        <v/>
      </c>
      <c r="S9" s="14">
        <f>IF($A9="","",IFERROR(INDEX(Confeccion!$B$5:$B$80,MATCH(G9,Confeccion!$A$5:$A$80,0)),0))</f>
        <v/>
      </c>
      <c r="T9" s="15">
        <f>IF($A9="","",SUM(M9:S9)+I9)</f>
        <v/>
      </c>
      <c r="U9" s="14">
        <f>IF($A9="","",IF(J9="","",J9*Parametros!$B$13))</f>
        <v/>
      </c>
      <c r="V9" s="14">
        <f>IF($A9="","",IF(J9="","",J9*Parametros!$B$14))</f>
        <v/>
      </c>
      <c r="W9" s="15">
        <f>IF($A9="","",IF(J9="","",J9-T9-U9-V9))</f>
        <v/>
      </c>
      <c r="X9" s="16">
        <f>IF($A9="","",IF(J9="","",W9/J9))</f>
        <v/>
      </c>
      <c r="Y9" s="14">
        <f>IF($A9="","",IF(Parametros!$B$15&gt;=1,"",T9/(1-Parametros!$B$15)))</f>
        <v/>
      </c>
      <c r="Z9" s="14">
        <f>IF($A9="","",IF(Parametros!$B$15+Parametros!$B$16&gt;=1,"",T9/(1-Parametros!$B$15-Parametros!$B$16)))</f>
        <v/>
      </c>
      <c r="AA9" s="17">
        <f>IF($A9="","",IF(J9="","Falta precio",IF(W9&lt;0,"PIERDE",IF(X9&lt;Parametros!$B$16,"BAJO META","OK"))))</f>
        <v/>
      </c>
      <c r="AB9" s="18">
        <f>IF($A9="","",IF(OR(C9="",D9=""),"Falta tela o consumo. ","")&amp;IF(AND(C9&lt;&gt;"",M9=0),"Tela sin precio. ","")&amp;IF(S9=0,"Confección sin valor. ","")&amp;IF(J9="","Falta precio de venta. ",""))</f>
        <v/>
      </c>
    </row>
    <row r="10">
      <c r="A10" s="9" t="inlineStr">
        <is>
          <t>Camiseta Básquet Nacional s/m</t>
        </is>
      </c>
      <c r="B10" s="9" t="inlineStr">
        <is>
          <t>Nacional Masculino</t>
        </is>
      </c>
      <c r="C10" s="9" t="inlineStr">
        <is>
          <t>QUICKDRY</t>
        </is>
      </c>
      <c r="D10" s="10" t="n">
        <v>0.1779412</v>
      </c>
      <c r="E10" s="11" t="n">
        <v>1.2</v>
      </c>
      <c r="F10" s="11" t="n">
        <v>1.2</v>
      </c>
      <c r="G10" s="9" t="inlineStr">
        <is>
          <t>Camiseta De Basket</t>
        </is>
      </c>
      <c r="H10" s="9" t="n">
        <v>1</v>
      </c>
      <c r="I10" s="12" t="n">
        <v>0</v>
      </c>
      <c r="J10" s="12" t="n"/>
      <c r="K10" s="9" t="inlineStr">
        <is>
          <t>Preliminar</t>
        </is>
      </c>
      <c r="L10" s="13" t="inlineStr">
        <is>
          <t>No hay ítem de camiseta de básquet en el catálogo: ingresar precio de venta</t>
        </is>
      </c>
      <c r="M10" s="14">
        <f>IF($A10="","",IFERROR(D10*INDEX(Insumos!$D$6:$D$98,MATCH(C10,Insumos!$A$6:$A$98,0)),0))</f>
        <v/>
      </c>
      <c r="N10" s="14">
        <f>IF($A10="","",E10*Parametros!$H$21)</f>
        <v/>
      </c>
      <c r="O10" s="14">
        <f>IF($A10="","",F10*Parametros!$H$22)</f>
        <v/>
      </c>
      <c r="P10" s="14">
        <f>IF($A10="","",F10*Parametros!$B$17)</f>
        <v/>
      </c>
      <c r="Q10" s="14">
        <f>IF($A10="","",D10*Parametros!$H$23)</f>
        <v/>
      </c>
      <c r="R10" s="14">
        <f>IF($A10="","",H10*Parametros!$H$24)</f>
        <v/>
      </c>
      <c r="S10" s="14">
        <f>IF($A10="","",IFERROR(INDEX(Confeccion!$B$5:$B$80,MATCH(G10,Confeccion!$A$5:$A$80,0)),0))</f>
        <v/>
      </c>
      <c r="T10" s="15">
        <f>IF($A10="","",SUM(M10:S10)+I10)</f>
        <v/>
      </c>
      <c r="U10" s="14">
        <f>IF($A10="","",IF(J10="","",J10*Parametros!$B$13))</f>
        <v/>
      </c>
      <c r="V10" s="14">
        <f>IF($A10="","",IF(J10="","",J10*Parametros!$B$14))</f>
        <v/>
      </c>
      <c r="W10" s="15">
        <f>IF($A10="","",IF(J10="","",J10-T10-U10-V10))</f>
        <v/>
      </c>
      <c r="X10" s="16">
        <f>IF($A10="","",IF(J10="","",W10/J10))</f>
        <v/>
      </c>
      <c r="Y10" s="14">
        <f>IF($A10="","",IF(Parametros!$B$15&gt;=1,"",T10/(1-Parametros!$B$15)))</f>
        <v/>
      </c>
      <c r="Z10" s="14">
        <f>IF($A10="","",IF(Parametros!$B$15+Parametros!$B$16&gt;=1,"",T10/(1-Parametros!$B$15-Parametros!$B$16)))</f>
        <v/>
      </c>
      <c r="AA10" s="17">
        <f>IF($A10="","",IF(J10="","Falta precio",IF(W10&lt;0,"PIERDE",IF(X10&lt;Parametros!$B$16,"BAJO META","OK"))))</f>
        <v/>
      </c>
      <c r="AB10" s="18">
        <f>IF($A10="","",IF(OR(C10="",D10=""),"Falta tela o consumo. ","")&amp;IF(AND(C10&lt;&gt;"",M10=0),"Tela sin precio. ","")&amp;IF(S10=0,"Confección sin valor. ","")&amp;IF(J10="","Falta precio de venta. ",""))</f>
        <v/>
      </c>
    </row>
    <row r="11">
      <c r="A11" s="9" t="inlineStr">
        <is>
          <t>Camiseta Running Pro m/c</t>
        </is>
      </c>
      <c r="B11" s="9" t="inlineStr">
        <is>
          <t>Pro Masculino</t>
        </is>
      </c>
      <c r="C11" s="9" t="inlineStr">
        <is>
          <t>5K NACIONAL (running pro)</t>
        </is>
      </c>
      <c r="D11" s="10" t="n">
        <v>0.082</v>
      </c>
      <c r="E11" s="11" t="n">
        <v>1.2</v>
      </c>
      <c r="F11" s="11" t="n">
        <v>1.2</v>
      </c>
      <c r="G11" s="9" t="inlineStr">
        <is>
          <t>Camiseta De Running</t>
        </is>
      </c>
      <c r="H11" s="9" t="n">
        <v>1</v>
      </c>
      <c r="I11" s="12" t="n">
        <v>0</v>
      </c>
      <c r="J11" s="12" t="n">
        <v>19244</v>
      </c>
      <c r="K11" s="9" t="inlineStr">
        <is>
          <t>Observado</t>
        </is>
      </c>
      <c r="L11" s="13" t="inlineStr">
        <is>
          <t>Consumo basado en 1 proyecto (25 prendas)</t>
        </is>
      </c>
      <c r="M11" s="14">
        <f>IF($A11="","",IFERROR(D11*INDEX(Insumos!$D$6:$D$98,MATCH(C11,Insumos!$A$6:$A$98,0)),0))</f>
        <v/>
      </c>
      <c r="N11" s="14">
        <f>IF($A11="","",E11*Parametros!$H$21)</f>
        <v/>
      </c>
      <c r="O11" s="14">
        <f>IF($A11="","",F11*Parametros!$H$22)</f>
        <v/>
      </c>
      <c r="P11" s="14">
        <f>IF($A11="","",F11*Parametros!$B$17)</f>
        <v/>
      </c>
      <c r="Q11" s="14">
        <f>IF($A11="","",D11*Parametros!$H$23)</f>
        <v/>
      </c>
      <c r="R11" s="14">
        <f>IF($A11="","",H11*Parametros!$H$24)</f>
        <v/>
      </c>
      <c r="S11" s="14">
        <f>IF($A11="","",IFERROR(INDEX(Confeccion!$B$5:$B$80,MATCH(G11,Confeccion!$A$5:$A$80,0)),0))</f>
        <v/>
      </c>
      <c r="T11" s="15">
        <f>IF($A11="","",SUM(M11:S11)+I11)</f>
        <v/>
      </c>
      <c r="U11" s="14">
        <f>IF($A11="","",IF(J11="","",J11*Parametros!$B$13))</f>
        <v/>
      </c>
      <c r="V11" s="14">
        <f>IF($A11="","",IF(J11="","",J11*Parametros!$B$14))</f>
        <v/>
      </c>
      <c r="W11" s="15">
        <f>IF($A11="","",IF(J11="","",J11-T11-U11-V11))</f>
        <v/>
      </c>
      <c r="X11" s="16">
        <f>IF($A11="","",IF(J11="","",W11/J11))</f>
        <v/>
      </c>
      <c r="Y11" s="14">
        <f>IF($A11="","",IF(Parametros!$B$15&gt;=1,"",T11/(1-Parametros!$B$15)))</f>
        <v/>
      </c>
      <c r="Z11" s="14">
        <f>IF($A11="","",IF(Parametros!$B$15+Parametros!$B$16&gt;=1,"",T11/(1-Parametros!$B$15-Parametros!$B$16)))</f>
        <v/>
      </c>
      <c r="AA11" s="17">
        <f>IF($A11="","",IF(J11="","Falta precio",IF(W11&lt;0,"PIERDE",IF(X11&lt;Parametros!$B$16,"BAJO META","OK"))))</f>
        <v/>
      </c>
      <c r="AB11" s="18">
        <f>IF($A11="","",IF(OR(C11="",D11=""),"Falta tela o consumo. ","")&amp;IF(AND(C11&lt;&gt;"",M11=0),"Tela sin precio. ","")&amp;IF(S11=0,"Confección sin valor. ","")&amp;IF(J11="","Falta precio de venta. ",""))</f>
        <v/>
      </c>
    </row>
    <row r="12">
      <c r="A12" s="9" t="inlineStr">
        <is>
          <t>Short Fútbol Playmaker Liso</t>
        </is>
      </c>
      <c r="B12" s="9" t="inlineStr">
        <is>
          <t>Nacional Masculino</t>
        </is>
      </c>
      <c r="C12" s="9" t="inlineStr">
        <is>
          <t>CIRE BLANCO</t>
        </is>
      </c>
      <c r="D12" s="10" t="n">
        <v>0.1609375</v>
      </c>
      <c r="E12" s="11" t="n">
        <v>0</v>
      </c>
      <c r="F12" s="11" t="n">
        <v>1.2</v>
      </c>
      <c r="G12" s="9" t="inlineStr">
        <is>
          <t>Short De Futbol</t>
        </is>
      </c>
      <c r="H12" s="9" t="n">
        <v>1</v>
      </c>
      <c r="I12" s="12" t="n">
        <v>0</v>
      </c>
      <c r="J12" s="12" t="n">
        <v>8059</v>
      </c>
      <c r="K12" s="9" t="inlineStr">
        <is>
          <t>Preliminar</t>
        </is>
      </c>
      <c r="L12" s="13" t="inlineStr">
        <is>
          <t>Ploteo en 0 metros viene así del archivo original: confirmar</t>
        </is>
      </c>
      <c r="M12" s="14">
        <f>IF($A12="","",IFERROR(D12*INDEX(Insumos!$D$6:$D$98,MATCH(C12,Insumos!$A$6:$A$98,0)),0))</f>
        <v/>
      </c>
      <c r="N12" s="14">
        <f>IF($A12="","",E12*Parametros!$H$21)</f>
        <v/>
      </c>
      <c r="O12" s="14">
        <f>IF($A12="","",F12*Parametros!$H$22)</f>
        <v/>
      </c>
      <c r="P12" s="14">
        <f>IF($A12="","",F12*Parametros!$B$17)</f>
        <v/>
      </c>
      <c r="Q12" s="14">
        <f>IF($A12="","",D12*Parametros!$H$23)</f>
        <v/>
      </c>
      <c r="R12" s="14">
        <f>IF($A12="","",H12*Parametros!$H$24)</f>
        <v/>
      </c>
      <c r="S12" s="14">
        <f>IF($A12="","",IFERROR(INDEX(Confeccion!$B$5:$B$80,MATCH(G12,Confeccion!$A$5:$A$80,0)),0))</f>
        <v/>
      </c>
      <c r="T12" s="15">
        <f>IF($A12="","",SUM(M12:S12)+I12)</f>
        <v/>
      </c>
      <c r="U12" s="14">
        <f>IF($A12="","",IF(J12="","",J12*Parametros!$B$13))</f>
        <v/>
      </c>
      <c r="V12" s="14">
        <f>IF($A12="","",IF(J12="","",J12*Parametros!$B$14))</f>
        <v/>
      </c>
      <c r="W12" s="15">
        <f>IF($A12="","",IF(J12="","",J12-T12-U12-V12))</f>
        <v/>
      </c>
      <c r="X12" s="16">
        <f>IF($A12="","",IF(J12="","",W12/J12))</f>
        <v/>
      </c>
      <c r="Y12" s="14">
        <f>IF($A12="","",IF(Parametros!$B$15&gt;=1,"",T12/(1-Parametros!$B$15)))</f>
        <v/>
      </c>
      <c r="Z12" s="14">
        <f>IF($A12="","",IF(Parametros!$B$15+Parametros!$B$16&gt;=1,"",T12/(1-Parametros!$B$15-Parametros!$B$16)))</f>
        <v/>
      </c>
      <c r="AA12" s="17">
        <f>IF($A12="","",IF(J12="","Falta precio",IF(W12&lt;0,"PIERDE",IF(X12&lt;Parametros!$B$16,"BAJO META","OK"))))</f>
        <v/>
      </c>
      <c r="AB12" s="18">
        <f>IF($A12="","",IF(OR(C12="",D12=""),"Falta tela o consumo. ","")&amp;IF(AND(C12&lt;&gt;"",M12=0),"Tela sin precio. ","")&amp;IF(S12=0,"Confección sin valor. ","")&amp;IF(J12="","Falta precio de venta. ",""))</f>
        <v/>
      </c>
    </row>
    <row r="13">
      <c r="A13" s="9" t="inlineStr">
        <is>
          <t>Short Rugby Basic</t>
        </is>
      </c>
      <c r="B13" s="9" t="inlineStr">
        <is>
          <t>Nacional Masculino</t>
        </is>
      </c>
      <c r="C13" s="9" t="inlineStr">
        <is>
          <t>GABARDINA</t>
        </is>
      </c>
      <c r="D13" s="10" t="n">
        <v>0.1842105</v>
      </c>
      <c r="E13" s="11" t="n">
        <v>0</v>
      </c>
      <c r="F13" s="11" t="n">
        <v>1.2</v>
      </c>
      <c r="G13" s="9" t="inlineStr">
        <is>
          <t>Short De Futbol</t>
        </is>
      </c>
      <c r="H13" s="9" t="n">
        <v>1</v>
      </c>
      <c r="I13" s="12" t="n">
        <v>0</v>
      </c>
      <c r="J13" s="12" t="n">
        <v>12507</v>
      </c>
      <c r="K13" s="9" t="inlineStr">
        <is>
          <t>Observado</t>
        </is>
      </c>
      <c r="L13" s="13" t="inlineStr">
        <is>
          <t>Confirmar: usa confección "Short De Futbol" ($1.700); existe "Short De Rugby" ($2.200). Ploteo en 0 viene del original</t>
        </is>
      </c>
      <c r="M13" s="14">
        <f>IF($A13="","",IFERROR(D13*INDEX(Insumos!$D$6:$D$98,MATCH(C13,Insumos!$A$6:$A$98,0)),0))</f>
        <v/>
      </c>
      <c r="N13" s="14">
        <f>IF($A13="","",E13*Parametros!$H$21)</f>
        <v/>
      </c>
      <c r="O13" s="14">
        <f>IF($A13="","",F13*Parametros!$H$22)</f>
        <v/>
      </c>
      <c r="P13" s="14">
        <f>IF($A13="","",F13*Parametros!$B$17)</f>
        <v/>
      </c>
      <c r="Q13" s="14">
        <f>IF($A13="","",D13*Parametros!$H$23)</f>
        <v/>
      </c>
      <c r="R13" s="14">
        <f>IF($A13="","",H13*Parametros!$H$24)</f>
        <v/>
      </c>
      <c r="S13" s="14">
        <f>IF($A13="","",IFERROR(INDEX(Confeccion!$B$5:$B$80,MATCH(G13,Confeccion!$A$5:$A$80,0)),0))</f>
        <v/>
      </c>
      <c r="T13" s="15">
        <f>IF($A13="","",SUM(M13:S13)+I13)</f>
        <v/>
      </c>
      <c r="U13" s="14">
        <f>IF($A13="","",IF(J13="","",J13*Parametros!$B$13))</f>
        <v/>
      </c>
      <c r="V13" s="14">
        <f>IF($A13="","",IF(J13="","",J13*Parametros!$B$14))</f>
        <v/>
      </c>
      <c r="W13" s="15">
        <f>IF($A13="","",IF(J13="","",J13-T13-U13-V13))</f>
        <v/>
      </c>
      <c r="X13" s="16">
        <f>IF($A13="","",IF(J13="","",W13/J13))</f>
        <v/>
      </c>
      <c r="Y13" s="14">
        <f>IF($A13="","",IF(Parametros!$B$15&gt;=1,"",T13/(1-Parametros!$B$15)))</f>
        <v/>
      </c>
      <c r="Z13" s="14">
        <f>IF($A13="","",IF(Parametros!$B$15+Parametros!$B$16&gt;=1,"",T13/(1-Parametros!$B$15-Parametros!$B$16)))</f>
        <v/>
      </c>
      <c r="AA13" s="17">
        <f>IF($A13="","",IF(J13="","Falta precio",IF(W13&lt;0,"PIERDE",IF(X13&lt;Parametros!$B$16,"BAJO META","OK"))))</f>
        <v/>
      </c>
      <c r="AB13" s="18">
        <f>IF($A13="","",IF(OR(C13="",D13=""),"Falta tela o consumo. ","")&amp;IF(AND(C13&lt;&gt;"",M13=0),"Tela sin precio. ","")&amp;IF(S13=0,"Confección sin valor. ","")&amp;IF(J13="","Falta precio de venta. ",""))</f>
        <v/>
      </c>
    </row>
    <row r="14">
      <c r="A14" s="9" t="inlineStr">
        <is>
          <t>Calza Vóley Femenino</t>
        </is>
      </c>
      <c r="B14" s="9" t="inlineStr">
        <is>
          <t>Nacional Femenino</t>
        </is>
      </c>
      <c r="C14" s="9" t="inlineStr">
        <is>
          <t>LYCRA</t>
        </is>
      </c>
      <c r="D14" s="10" t="n">
        <v>0.074</v>
      </c>
      <c r="E14" s="11" t="n">
        <v>0</v>
      </c>
      <c r="F14" s="11" t="n">
        <v>1.2</v>
      </c>
      <c r="G14" s="9" t="inlineStr">
        <is>
          <t>Calza</t>
        </is>
      </c>
      <c r="H14" s="9" t="n">
        <v>1</v>
      </c>
      <c r="I14" s="12" t="n">
        <v>0</v>
      </c>
      <c r="J14" s="12" t="n"/>
      <c r="K14" s="9" t="inlineStr">
        <is>
          <t>Observado</t>
        </is>
      </c>
      <c r="L14" s="13" t="inlineStr">
        <is>
          <t>Falta precio de la Lycra y precio de venta; confirmar a qué ítem del catálogo corresponde</t>
        </is>
      </c>
      <c r="M14" s="14">
        <f>IF($A14="","",IFERROR(D14*INDEX(Insumos!$D$6:$D$98,MATCH(C14,Insumos!$A$6:$A$98,0)),0))</f>
        <v/>
      </c>
      <c r="N14" s="14">
        <f>IF($A14="","",E14*Parametros!$H$21)</f>
        <v/>
      </c>
      <c r="O14" s="14">
        <f>IF($A14="","",F14*Parametros!$H$22)</f>
        <v/>
      </c>
      <c r="P14" s="14">
        <f>IF($A14="","",F14*Parametros!$B$17)</f>
        <v/>
      </c>
      <c r="Q14" s="14">
        <f>IF($A14="","",D14*Parametros!$H$23)</f>
        <v/>
      </c>
      <c r="R14" s="14">
        <f>IF($A14="","",H14*Parametros!$H$24)</f>
        <v/>
      </c>
      <c r="S14" s="14">
        <f>IF($A14="","",IFERROR(INDEX(Confeccion!$B$5:$B$80,MATCH(G14,Confeccion!$A$5:$A$80,0)),0))</f>
        <v/>
      </c>
      <c r="T14" s="15">
        <f>IF($A14="","",SUM(M14:S14)+I14)</f>
        <v/>
      </c>
      <c r="U14" s="14">
        <f>IF($A14="","",IF(J14="","",J14*Parametros!$B$13))</f>
        <v/>
      </c>
      <c r="V14" s="14">
        <f>IF($A14="","",IF(J14="","",J14*Parametros!$B$14))</f>
        <v/>
      </c>
      <c r="W14" s="15">
        <f>IF($A14="","",IF(J14="","",J14-T14-U14-V14))</f>
        <v/>
      </c>
      <c r="X14" s="16">
        <f>IF($A14="","",IF(J14="","",W14/J14))</f>
        <v/>
      </c>
      <c r="Y14" s="14">
        <f>IF($A14="","",IF(Parametros!$B$15&gt;=1,"",T14/(1-Parametros!$B$15)))</f>
        <v/>
      </c>
      <c r="Z14" s="14">
        <f>IF($A14="","",IF(Parametros!$B$15+Parametros!$B$16&gt;=1,"",T14/(1-Parametros!$B$15-Parametros!$B$16)))</f>
        <v/>
      </c>
      <c r="AA14" s="17">
        <f>IF($A14="","",IF(J14="","Falta precio",IF(W14&lt;0,"PIERDE",IF(X14&lt;Parametros!$B$16,"BAJO META","OK"))))</f>
        <v/>
      </c>
      <c r="AB14" s="18">
        <f>IF($A14="","",IF(OR(C14="",D14=""),"Falta tela o consumo. ","")&amp;IF(AND(C14&lt;&gt;"",M14=0),"Tela sin precio. ","")&amp;IF(S14=0,"Confección sin valor. ","")&amp;IF(J14="","Falta precio de venta. ",""))</f>
        <v/>
      </c>
    </row>
    <row r="15">
      <c r="A15" s="9" t="n"/>
      <c r="B15" s="9" t="n"/>
      <c r="C15" s="9" t="n"/>
      <c r="D15" s="10" t="n"/>
      <c r="E15" s="11" t="n"/>
      <c r="F15" s="11" t="n"/>
      <c r="G15" s="9" t="n"/>
      <c r="H15" s="9" t="n"/>
      <c r="I15" s="12" t="n"/>
      <c r="J15" s="12" t="n"/>
      <c r="K15" s="9" t="n"/>
      <c r="L15" s="13" t="n"/>
      <c r="M15" s="14">
        <f>IF($A15="","",IFERROR(D15*INDEX(Insumos!$D$6:$D$98,MATCH(C15,Insumos!$A$6:$A$98,0)),0))</f>
        <v/>
      </c>
      <c r="N15" s="14">
        <f>IF($A15="","",E15*Parametros!$H$21)</f>
        <v/>
      </c>
      <c r="O15" s="14">
        <f>IF($A15="","",F15*Parametros!$H$22)</f>
        <v/>
      </c>
      <c r="P15" s="14">
        <f>IF($A15="","",F15*Parametros!$B$17)</f>
        <v/>
      </c>
      <c r="Q15" s="14">
        <f>IF($A15="","",D15*Parametros!$H$23)</f>
        <v/>
      </c>
      <c r="R15" s="14">
        <f>IF($A15="","",H15*Parametros!$H$24)</f>
        <v/>
      </c>
      <c r="S15" s="14">
        <f>IF($A15="","",IFERROR(INDEX(Confeccion!$B$5:$B$80,MATCH(G15,Confeccion!$A$5:$A$80,0)),0))</f>
        <v/>
      </c>
      <c r="T15" s="15">
        <f>IF($A15="","",SUM(M15:S15)+I15)</f>
        <v/>
      </c>
      <c r="U15" s="14">
        <f>IF($A15="","",IF(J15="","",J15*Parametros!$B$13))</f>
        <v/>
      </c>
      <c r="V15" s="14">
        <f>IF($A15="","",IF(J15="","",J15*Parametros!$B$14))</f>
        <v/>
      </c>
      <c r="W15" s="15">
        <f>IF($A15="","",IF(J15="","",J15-T15-U15-V15))</f>
        <v/>
      </c>
      <c r="X15" s="16">
        <f>IF($A15="","",IF(J15="","",W15/J15))</f>
        <v/>
      </c>
      <c r="Y15" s="14">
        <f>IF($A15="","",IF(Parametros!$B$15&gt;=1,"",T15/(1-Parametros!$B$15)))</f>
        <v/>
      </c>
      <c r="Z15" s="14">
        <f>IF($A15="","",IF(Parametros!$B$15+Parametros!$B$16&gt;=1,"",T15/(1-Parametros!$B$15-Parametros!$B$16)))</f>
        <v/>
      </c>
      <c r="AA15" s="17">
        <f>IF($A15="","",IF(J15="","Falta precio",IF(W15&lt;0,"PIERDE",IF(X15&lt;Parametros!$B$16,"BAJO META","OK"))))</f>
        <v/>
      </c>
      <c r="AB15" s="18">
        <f>IF($A15="","",IF(OR(C15="",D15=""),"Falta tela o consumo. ","")&amp;IF(AND(C15&lt;&gt;"",M15=0),"Tela sin precio. ","")&amp;IF(S15=0,"Confección sin valor. ","")&amp;IF(J15="","Falta precio de venta. ",""))</f>
        <v/>
      </c>
    </row>
    <row r="16">
      <c r="A16" s="9" t="n"/>
      <c r="B16" s="9" t="n"/>
      <c r="C16" s="9" t="n"/>
      <c r="D16" s="10" t="n"/>
      <c r="E16" s="11" t="n"/>
      <c r="F16" s="11" t="n"/>
      <c r="G16" s="9" t="n"/>
      <c r="H16" s="9" t="n"/>
      <c r="I16" s="12" t="n"/>
      <c r="J16" s="12" t="n"/>
      <c r="K16" s="9" t="n"/>
      <c r="L16" s="13" t="n"/>
      <c r="M16" s="14">
        <f>IF($A16="","",IFERROR(D16*INDEX(Insumos!$D$6:$D$98,MATCH(C16,Insumos!$A$6:$A$98,0)),0))</f>
        <v/>
      </c>
      <c r="N16" s="14">
        <f>IF($A16="","",E16*Parametros!$H$21)</f>
        <v/>
      </c>
      <c r="O16" s="14">
        <f>IF($A16="","",F16*Parametros!$H$22)</f>
        <v/>
      </c>
      <c r="P16" s="14">
        <f>IF($A16="","",F16*Parametros!$B$17)</f>
        <v/>
      </c>
      <c r="Q16" s="14">
        <f>IF($A16="","",D16*Parametros!$H$23)</f>
        <v/>
      </c>
      <c r="R16" s="14">
        <f>IF($A16="","",H16*Parametros!$H$24)</f>
        <v/>
      </c>
      <c r="S16" s="14">
        <f>IF($A16="","",IFERROR(INDEX(Confeccion!$B$5:$B$80,MATCH(G16,Confeccion!$A$5:$A$80,0)),0))</f>
        <v/>
      </c>
      <c r="T16" s="15">
        <f>IF($A16="","",SUM(M16:S16)+I16)</f>
        <v/>
      </c>
      <c r="U16" s="14">
        <f>IF($A16="","",IF(J16="","",J16*Parametros!$B$13))</f>
        <v/>
      </c>
      <c r="V16" s="14">
        <f>IF($A16="","",IF(J16="","",J16*Parametros!$B$14))</f>
        <v/>
      </c>
      <c r="W16" s="15">
        <f>IF($A16="","",IF(J16="","",J16-T16-U16-V16))</f>
        <v/>
      </c>
      <c r="X16" s="16">
        <f>IF($A16="","",IF(J16="","",W16/J16))</f>
        <v/>
      </c>
      <c r="Y16" s="14">
        <f>IF($A16="","",IF(Parametros!$B$15&gt;=1,"",T16/(1-Parametros!$B$15)))</f>
        <v/>
      </c>
      <c r="Z16" s="14">
        <f>IF($A16="","",IF(Parametros!$B$15+Parametros!$B$16&gt;=1,"",T16/(1-Parametros!$B$15-Parametros!$B$16)))</f>
        <v/>
      </c>
      <c r="AA16" s="17">
        <f>IF($A16="","",IF(J16="","Falta precio",IF(W16&lt;0,"PIERDE",IF(X16&lt;Parametros!$B$16,"BAJO META","OK"))))</f>
        <v/>
      </c>
      <c r="AB16" s="18">
        <f>IF($A16="","",IF(OR(C16="",D16=""),"Falta tela o consumo. ","")&amp;IF(AND(C16&lt;&gt;"",M16=0),"Tela sin precio. ","")&amp;IF(S16=0,"Confección sin valor. ","")&amp;IF(J16="","Falta precio de venta. ",""))</f>
        <v/>
      </c>
    </row>
    <row r="17">
      <c r="A17" s="9" t="n"/>
      <c r="B17" s="9" t="n"/>
      <c r="C17" s="9" t="n"/>
      <c r="D17" s="10" t="n"/>
      <c r="E17" s="11" t="n"/>
      <c r="F17" s="11" t="n"/>
      <c r="G17" s="9" t="n"/>
      <c r="H17" s="9" t="n"/>
      <c r="I17" s="12" t="n"/>
      <c r="J17" s="12" t="n"/>
      <c r="K17" s="9" t="n"/>
      <c r="L17" s="13" t="n"/>
      <c r="M17" s="14">
        <f>IF($A17="","",IFERROR(D17*INDEX(Insumos!$D$6:$D$98,MATCH(C17,Insumos!$A$6:$A$98,0)),0))</f>
        <v/>
      </c>
      <c r="N17" s="14">
        <f>IF($A17="","",E17*Parametros!$H$21)</f>
        <v/>
      </c>
      <c r="O17" s="14">
        <f>IF($A17="","",F17*Parametros!$H$22)</f>
        <v/>
      </c>
      <c r="P17" s="14">
        <f>IF($A17="","",F17*Parametros!$B$17)</f>
        <v/>
      </c>
      <c r="Q17" s="14">
        <f>IF($A17="","",D17*Parametros!$H$23)</f>
        <v/>
      </c>
      <c r="R17" s="14">
        <f>IF($A17="","",H17*Parametros!$H$24)</f>
        <v/>
      </c>
      <c r="S17" s="14">
        <f>IF($A17="","",IFERROR(INDEX(Confeccion!$B$5:$B$80,MATCH(G17,Confeccion!$A$5:$A$80,0)),0))</f>
        <v/>
      </c>
      <c r="T17" s="15">
        <f>IF($A17="","",SUM(M17:S17)+I17)</f>
        <v/>
      </c>
      <c r="U17" s="14">
        <f>IF($A17="","",IF(J17="","",J17*Parametros!$B$13))</f>
        <v/>
      </c>
      <c r="V17" s="14">
        <f>IF($A17="","",IF(J17="","",J17*Parametros!$B$14))</f>
        <v/>
      </c>
      <c r="W17" s="15">
        <f>IF($A17="","",IF(J17="","",J17-T17-U17-V17))</f>
        <v/>
      </c>
      <c r="X17" s="16">
        <f>IF($A17="","",IF(J17="","",W17/J17))</f>
        <v/>
      </c>
      <c r="Y17" s="14">
        <f>IF($A17="","",IF(Parametros!$B$15&gt;=1,"",T17/(1-Parametros!$B$15)))</f>
        <v/>
      </c>
      <c r="Z17" s="14">
        <f>IF($A17="","",IF(Parametros!$B$15+Parametros!$B$16&gt;=1,"",T17/(1-Parametros!$B$15-Parametros!$B$16)))</f>
        <v/>
      </c>
      <c r="AA17" s="17">
        <f>IF($A17="","",IF(J17="","Falta precio",IF(W17&lt;0,"PIERDE",IF(X17&lt;Parametros!$B$16,"BAJO META","OK"))))</f>
        <v/>
      </c>
      <c r="AB17" s="18">
        <f>IF($A17="","",IF(OR(C17="",D17=""),"Falta tela o consumo. ","")&amp;IF(AND(C17&lt;&gt;"",M17=0),"Tela sin precio. ","")&amp;IF(S17=0,"Confección sin valor. ","")&amp;IF(J17="","Falta precio de venta. ",""))</f>
        <v/>
      </c>
    </row>
    <row r="18">
      <c r="A18" s="9" t="n"/>
      <c r="B18" s="9" t="n"/>
      <c r="C18" s="9" t="n"/>
      <c r="D18" s="10" t="n"/>
      <c r="E18" s="11" t="n"/>
      <c r="F18" s="11" t="n"/>
      <c r="G18" s="9" t="n"/>
      <c r="H18" s="9" t="n"/>
      <c r="I18" s="12" t="n"/>
      <c r="J18" s="12" t="n"/>
      <c r="K18" s="9" t="n"/>
      <c r="L18" s="13" t="n"/>
      <c r="M18" s="14">
        <f>IF($A18="","",IFERROR(D18*INDEX(Insumos!$D$6:$D$98,MATCH(C18,Insumos!$A$6:$A$98,0)),0))</f>
        <v/>
      </c>
      <c r="N18" s="14">
        <f>IF($A18="","",E18*Parametros!$H$21)</f>
        <v/>
      </c>
      <c r="O18" s="14">
        <f>IF($A18="","",F18*Parametros!$H$22)</f>
        <v/>
      </c>
      <c r="P18" s="14">
        <f>IF($A18="","",F18*Parametros!$B$17)</f>
        <v/>
      </c>
      <c r="Q18" s="14">
        <f>IF($A18="","",D18*Parametros!$H$23)</f>
        <v/>
      </c>
      <c r="R18" s="14">
        <f>IF($A18="","",H18*Parametros!$H$24)</f>
        <v/>
      </c>
      <c r="S18" s="14">
        <f>IF($A18="","",IFERROR(INDEX(Confeccion!$B$5:$B$80,MATCH(G18,Confeccion!$A$5:$A$80,0)),0))</f>
        <v/>
      </c>
      <c r="T18" s="15">
        <f>IF($A18="","",SUM(M18:S18)+I18)</f>
        <v/>
      </c>
      <c r="U18" s="14">
        <f>IF($A18="","",IF(J18="","",J18*Parametros!$B$13))</f>
        <v/>
      </c>
      <c r="V18" s="14">
        <f>IF($A18="","",IF(J18="","",J18*Parametros!$B$14))</f>
        <v/>
      </c>
      <c r="W18" s="15">
        <f>IF($A18="","",IF(J18="","",J18-T18-U18-V18))</f>
        <v/>
      </c>
      <c r="X18" s="16">
        <f>IF($A18="","",IF(J18="","",W18/J18))</f>
        <v/>
      </c>
      <c r="Y18" s="14">
        <f>IF($A18="","",IF(Parametros!$B$15&gt;=1,"",T18/(1-Parametros!$B$15)))</f>
        <v/>
      </c>
      <c r="Z18" s="14">
        <f>IF($A18="","",IF(Parametros!$B$15+Parametros!$B$16&gt;=1,"",T18/(1-Parametros!$B$15-Parametros!$B$16)))</f>
        <v/>
      </c>
      <c r="AA18" s="17">
        <f>IF($A18="","",IF(J18="","Falta precio",IF(W18&lt;0,"PIERDE",IF(X18&lt;Parametros!$B$16,"BAJO META","OK"))))</f>
        <v/>
      </c>
      <c r="AB18" s="18">
        <f>IF($A18="","",IF(OR(C18="",D18=""),"Falta tela o consumo. ","")&amp;IF(AND(C18&lt;&gt;"",M18=0),"Tela sin precio. ","")&amp;IF(S18=0,"Confección sin valor. ","")&amp;IF(J18="","Falta precio de venta. ",""))</f>
        <v/>
      </c>
    </row>
    <row r="19">
      <c r="A19" s="9" t="n"/>
      <c r="B19" s="9" t="n"/>
      <c r="C19" s="9" t="n"/>
      <c r="D19" s="10" t="n"/>
      <c r="E19" s="11" t="n"/>
      <c r="F19" s="11" t="n"/>
      <c r="G19" s="9" t="n"/>
      <c r="H19" s="9" t="n"/>
      <c r="I19" s="12" t="n"/>
      <c r="J19" s="12" t="n"/>
      <c r="K19" s="9" t="n"/>
      <c r="L19" s="13" t="n"/>
      <c r="M19" s="14">
        <f>IF($A19="","",IFERROR(D19*INDEX(Insumos!$D$6:$D$98,MATCH(C19,Insumos!$A$6:$A$98,0)),0))</f>
        <v/>
      </c>
      <c r="N19" s="14">
        <f>IF($A19="","",E19*Parametros!$H$21)</f>
        <v/>
      </c>
      <c r="O19" s="14">
        <f>IF($A19="","",F19*Parametros!$H$22)</f>
        <v/>
      </c>
      <c r="P19" s="14">
        <f>IF($A19="","",F19*Parametros!$B$17)</f>
        <v/>
      </c>
      <c r="Q19" s="14">
        <f>IF($A19="","",D19*Parametros!$H$23)</f>
        <v/>
      </c>
      <c r="R19" s="14">
        <f>IF($A19="","",H19*Parametros!$H$24)</f>
        <v/>
      </c>
      <c r="S19" s="14">
        <f>IF($A19="","",IFERROR(INDEX(Confeccion!$B$5:$B$80,MATCH(G19,Confeccion!$A$5:$A$80,0)),0))</f>
        <v/>
      </c>
      <c r="T19" s="15">
        <f>IF($A19="","",SUM(M19:S19)+I19)</f>
        <v/>
      </c>
      <c r="U19" s="14">
        <f>IF($A19="","",IF(J19="","",J19*Parametros!$B$13))</f>
        <v/>
      </c>
      <c r="V19" s="14">
        <f>IF($A19="","",IF(J19="","",J19*Parametros!$B$14))</f>
        <v/>
      </c>
      <c r="W19" s="15">
        <f>IF($A19="","",IF(J19="","",J19-T19-U19-V19))</f>
        <v/>
      </c>
      <c r="X19" s="16">
        <f>IF($A19="","",IF(J19="","",W19/J19))</f>
        <v/>
      </c>
      <c r="Y19" s="14">
        <f>IF($A19="","",IF(Parametros!$B$15&gt;=1,"",T19/(1-Parametros!$B$15)))</f>
        <v/>
      </c>
      <c r="Z19" s="14">
        <f>IF($A19="","",IF(Parametros!$B$15+Parametros!$B$16&gt;=1,"",T19/(1-Parametros!$B$15-Parametros!$B$16)))</f>
        <v/>
      </c>
      <c r="AA19" s="17">
        <f>IF($A19="","",IF(J19="","Falta precio",IF(W19&lt;0,"PIERDE",IF(X19&lt;Parametros!$B$16,"BAJO META","OK"))))</f>
        <v/>
      </c>
      <c r="AB19" s="18">
        <f>IF($A19="","",IF(OR(C19="",D19=""),"Falta tela o consumo. ","")&amp;IF(AND(C19&lt;&gt;"",M19=0),"Tela sin precio. ","")&amp;IF(S19=0,"Confección sin valor. ","")&amp;IF(J19="","Falta precio de venta. ",""))</f>
        <v/>
      </c>
    </row>
    <row r="20">
      <c r="A20" s="9" t="n"/>
      <c r="B20" s="9" t="n"/>
      <c r="C20" s="9" t="n"/>
      <c r="D20" s="10" t="n"/>
      <c r="E20" s="11" t="n"/>
      <c r="F20" s="11" t="n"/>
      <c r="G20" s="9" t="n"/>
      <c r="H20" s="9" t="n"/>
      <c r="I20" s="12" t="n"/>
      <c r="J20" s="12" t="n"/>
      <c r="K20" s="9" t="n"/>
      <c r="L20" s="13" t="n"/>
      <c r="M20" s="14">
        <f>IF($A20="","",IFERROR(D20*INDEX(Insumos!$D$6:$D$98,MATCH(C20,Insumos!$A$6:$A$98,0)),0))</f>
        <v/>
      </c>
      <c r="N20" s="14">
        <f>IF($A20="","",E20*Parametros!$H$21)</f>
        <v/>
      </c>
      <c r="O20" s="14">
        <f>IF($A20="","",F20*Parametros!$H$22)</f>
        <v/>
      </c>
      <c r="P20" s="14">
        <f>IF($A20="","",F20*Parametros!$B$17)</f>
        <v/>
      </c>
      <c r="Q20" s="14">
        <f>IF($A20="","",D20*Parametros!$H$23)</f>
        <v/>
      </c>
      <c r="R20" s="14">
        <f>IF($A20="","",H20*Parametros!$H$24)</f>
        <v/>
      </c>
      <c r="S20" s="14">
        <f>IF($A20="","",IFERROR(INDEX(Confeccion!$B$5:$B$80,MATCH(G20,Confeccion!$A$5:$A$80,0)),0))</f>
        <v/>
      </c>
      <c r="T20" s="15">
        <f>IF($A20="","",SUM(M20:S20)+I20)</f>
        <v/>
      </c>
      <c r="U20" s="14">
        <f>IF($A20="","",IF(J20="","",J20*Parametros!$B$13))</f>
        <v/>
      </c>
      <c r="V20" s="14">
        <f>IF($A20="","",IF(J20="","",J20*Parametros!$B$14))</f>
        <v/>
      </c>
      <c r="W20" s="15">
        <f>IF($A20="","",IF(J20="","",J20-T20-U20-V20))</f>
        <v/>
      </c>
      <c r="X20" s="16">
        <f>IF($A20="","",IF(J20="","",W20/J20))</f>
        <v/>
      </c>
      <c r="Y20" s="14">
        <f>IF($A20="","",IF(Parametros!$B$15&gt;=1,"",T20/(1-Parametros!$B$15)))</f>
        <v/>
      </c>
      <c r="Z20" s="14">
        <f>IF($A20="","",IF(Parametros!$B$15+Parametros!$B$16&gt;=1,"",T20/(1-Parametros!$B$15-Parametros!$B$16)))</f>
        <v/>
      </c>
      <c r="AA20" s="17">
        <f>IF($A20="","",IF(J20="","Falta precio",IF(W20&lt;0,"PIERDE",IF(X20&lt;Parametros!$B$16,"BAJO META","OK"))))</f>
        <v/>
      </c>
      <c r="AB20" s="18">
        <f>IF($A20="","",IF(OR(C20="",D20=""),"Falta tela o consumo. ","")&amp;IF(AND(C20&lt;&gt;"",M20=0),"Tela sin precio. ","")&amp;IF(S20=0,"Confección sin valor. ","")&amp;IF(J20="","Falta precio de venta. ",""))</f>
        <v/>
      </c>
    </row>
    <row r="21">
      <c r="A21" s="9" t="n"/>
      <c r="B21" s="9" t="n"/>
      <c r="C21" s="9" t="n"/>
      <c r="D21" s="10" t="n"/>
      <c r="E21" s="11" t="n"/>
      <c r="F21" s="11" t="n"/>
      <c r="G21" s="9" t="n"/>
      <c r="H21" s="9" t="n"/>
      <c r="I21" s="12" t="n"/>
      <c r="J21" s="12" t="n"/>
      <c r="K21" s="9" t="n"/>
      <c r="L21" s="13" t="n"/>
      <c r="M21" s="14">
        <f>IF($A21="","",IFERROR(D21*INDEX(Insumos!$D$6:$D$98,MATCH(C21,Insumos!$A$6:$A$98,0)),0))</f>
        <v/>
      </c>
      <c r="N21" s="14">
        <f>IF($A21="","",E21*Parametros!$H$21)</f>
        <v/>
      </c>
      <c r="O21" s="14">
        <f>IF($A21="","",F21*Parametros!$H$22)</f>
        <v/>
      </c>
      <c r="P21" s="14">
        <f>IF($A21="","",F21*Parametros!$B$17)</f>
        <v/>
      </c>
      <c r="Q21" s="14">
        <f>IF($A21="","",D21*Parametros!$H$23)</f>
        <v/>
      </c>
      <c r="R21" s="14">
        <f>IF($A21="","",H21*Parametros!$H$24)</f>
        <v/>
      </c>
      <c r="S21" s="14">
        <f>IF($A21="","",IFERROR(INDEX(Confeccion!$B$5:$B$80,MATCH(G21,Confeccion!$A$5:$A$80,0)),0))</f>
        <v/>
      </c>
      <c r="T21" s="15">
        <f>IF($A21="","",SUM(M21:S21)+I21)</f>
        <v/>
      </c>
      <c r="U21" s="14">
        <f>IF($A21="","",IF(J21="","",J21*Parametros!$B$13))</f>
        <v/>
      </c>
      <c r="V21" s="14">
        <f>IF($A21="","",IF(J21="","",J21*Parametros!$B$14))</f>
        <v/>
      </c>
      <c r="W21" s="15">
        <f>IF($A21="","",IF(J21="","",J21-T21-U21-V21))</f>
        <v/>
      </c>
      <c r="X21" s="16">
        <f>IF($A21="","",IF(J21="","",W21/J21))</f>
        <v/>
      </c>
      <c r="Y21" s="14">
        <f>IF($A21="","",IF(Parametros!$B$15&gt;=1,"",T21/(1-Parametros!$B$15)))</f>
        <v/>
      </c>
      <c r="Z21" s="14">
        <f>IF($A21="","",IF(Parametros!$B$15+Parametros!$B$16&gt;=1,"",T21/(1-Parametros!$B$15-Parametros!$B$16)))</f>
        <v/>
      </c>
      <c r="AA21" s="17">
        <f>IF($A21="","",IF(J21="","Falta precio",IF(W21&lt;0,"PIERDE",IF(X21&lt;Parametros!$B$16,"BAJO META","OK"))))</f>
        <v/>
      </c>
      <c r="AB21" s="18">
        <f>IF($A21="","",IF(OR(C21="",D21=""),"Falta tela o consumo. ","")&amp;IF(AND(C21&lt;&gt;"",M21=0),"Tela sin precio. ","")&amp;IF(S21=0,"Confección sin valor. ","")&amp;IF(J21="","Falta precio de venta. ",""))</f>
        <v/>
      </c>
    </row>
    <row r="22">
      <c r="A22" s="9" t="n"/>
      <c r="B22" s="9" t="n"/>
      <c r="C22" s="9" t="n"/>
      <c r="D22" s="10" t="n"/>
      <c r="E22" s="11" t="n"/>
      <c r="F22" s="11" t="n"/>
      <c r="G22" s="9" t="n"/>
      <c r="H22" s="9" t="n"/>
      <c r="I22" s="12" t="n"/>
      <c r="J22" s="12" t="n"/>
      <c r="K22" s="9" t="n"/>
      <c r="L22" s="13" t="n"/>
      <c r="M22" s="14">
        <f>IF($A22="","",IFERROR(D22*INDEX(Insumos!$D$6:$D$98,MATCH(C22,Insumos!$A$6:$A$98,0)),0))</f>
        <v/>
      </c>
      <c r="N22" s="14">
        <f>IF($A22="","",E22*Parametros!$H$21)</f>
        <v/>
      </c>
      <c r="O22" s="14">
        <f>IF($A22="","",F22*Parametros!$H$22)</f>
        <v/>
      </c>
      <c r="P22" s="14">
        <f>IF($A22="","",F22*Parametros!$B$17)</f>
        <v/>
      </c>
      <c r="Q22" s="14">
        <f>IF($A22="","",D22*Parametros!$H$23)</f>
        <v/>
      </c>
      <c r="R22" s="14">
        <f>IF($A22="","",H22*Parametros!$H$24)</f>
        <v/>
      </c>
      <c r="S22" s="14">
        <f>IF($A22="","",IFERROR(INDEX(Confeccion!$B$5:$B$80,MATCH(G22,Confeccion!$A$5:$A$80,0)),0))</f>
        <v/>
      </c>
      <c r="T22" s="15">
        <f>IF($A22="","",SUM(M22:S22)+I22)</f>
        <v/>
      </c>
      <c r="U22" s="14">
        <f>IF($A22="","",IF(J22="","",J22*Parametros!$B$13))</f>
        <v/>
      </c>
      <c r="V22" s="14">
        <f>IF($A22="","",IF(J22="","",J22*Parametros!$B$14))</f>
        <v/>
      </c>
      <c r="W22" s="15">
        <f>IF($A22="","",IF(J22="","",J22-T22-U22-V22))</f>
        <v/>
      </c>
      <c r="X22" s="16">
        <f>IF($A22="","",IF(J22="","",W22/J22))</f>
        <v/>
      </c>
      <c r="Y22" s="14">
        <f>IF($A22="","",IF(Parametros!$B$15&gt;=1,"",T22/(1-Parametros!$B$15)))</f>
        <v/>
      </c>
      <c r="Z22" s="14">
        <f>IF($A22="","",IF(Parametros!$B$15+Parametros!$B$16&gt;=1,"",T22/(1-Parametros!$B$15-Parametros!$B$16)))</f>
        <v/>
      </c>
      <c r="AA22" s="17">
        <f>IF($A22="","",IF(J22="","Falta precio",IF(W22&lt;0,"PIERDE",IF(X22&lt;Parametros!$B$16,"BAJO META","OK"))))</f>
        <v/>
      </c>
      <c r="AB22" s="18">
        <f>IF($A22="","",IF(OR(C22="",D22=""),"Falta tela o consumo. ","")&amp;IF(AND(C22&lt;&gt;"",M22=0),"Tela sin precio. ","")&amp;IF(S22=0,"Confección sin valor. ","")&amp;IF(J22="","Falta precio de venta. ",""))</f>
        <v/>
      </c>
    </row>
    <row r="23">
      <c r="A23" s="9" t="n"/>
      <c r="B23" s="9" t="n"/>
      <c r="C23" s="9" t="n"/>
      <c r="D23" s="10" t="n"/>
      <c r="E23" s="11" t="n"/>
      <c r="F23" s="11" t="n"/>
      <c r="G23" s="9" t="n"/>
      <c r="H23" s="9" t="n"/>
      <c r="I23" s="12" t="n"/>
      <c r="J23" s="12" t="n"/>
      <c r="K23" s="9" t="n"/>
      <c r="L23" s="13" t="n"/>
      <c r="M23" s="14">
        <f>IF($A23="","",IFERROR(D23*INDEX(Insumos!$D$6:$D$98,MATCH(C23,Insumos!$A$6:$A$98,0)),0))</f>
        <v/>
      </c>
      <c r="N23" s="14">
        <f>IF($A23="","",E23*Parametros!$H$21)</f>
        <v/>
      </c>
      <c r="O23" s="14">
        <f>IF($A23="","",F23*Parametros!$H$22)</f>
        <v/>
      </c>
      <c r="P23" s="14">
        <f>IF($A23="","",F23*Parametros!$B$17)</f>
        <v/>
      </c>
      <c r="Q23" s="14">
        <f>IF($A23="","",D23*Parametros!$H$23)</f>
        <v/>
      </c>
      <c r="R23" s="14">
        <f>IF($A23="","",H23*Parametros!$H$24)</f>
        <v/>
      </c>
      <c r="S23" s="14">
        <f>IF($A23="","",IFERROR(INDEX(Confeccion!$B$5:$B$80,MATCH(G23,Confeccion!$A$5:$A$80,0)),0))</f>
        <v/>
      </c>
      <c r="T23" s="15">
        <f>IF($A23="","",SUM(M23:S23)+I23)</f>
        <v/>
      </c>
      <c r="U23" s="14">
        <f>IF($A23="","",IF(J23="","",J23*Parametros!$B$13))</f>
        <v/>
      </c>
      <c r="V23" s="14">
        <f>IF($A23="","",IF(J23="","",J23*Parametros!$B$14))</f>
        <v/>
      </c>
      <c r="W23" s="15">
        <f>IF($A23="","",IF(J23="","",J23-T23-U23-V23))</f>
        <v/>
      </c>
      <c r="X23" s="16">
        <f>IF($A23="","",IF(J23="","",W23/J23))</f>
        <v/>
      </c>
      <c r="Y23" s="14">
        <f>IF($A23="","",IF(Parametros!$B$15&gt;=1,"",T23/(1-Parametros!$B$15)))</f>
        <v/>
      </c>
      <c r="Z23" s="14">
        <f>IF($A23="","",IF(Parametros!$B$15+Parametros!$B$16&gt;=1,"",T23/(1-Parametros!$B$15-Parametros!$B$16)))</f>
        <v/>
      </c>
      <c r="AA23" s="17">
        <f>IF($A23="","",IF(J23="","Falta precio",IF(W23&lt;0,"PIERDE",IF(X23&lt;Parametros!$B$16,"BAJO META","OK"))))</f>
        <v/>
      </c>
      <c r="AB23" s="18">
        <f>IF($A23="","",IF(OR(C23="",D23=""),"Falta tela o consumo. ","")&amp;IF(AND(C23&lt;&gt;"",M23=0),"Tela sin precio. ","")&amp;IF(S23=0,"Confección sin valor. ","")&amp;IF(J23="","Falta precio de venta. ",""))</f>
        <v/>
      </c>
    </row>
    <row r="24">
      <c r="A24" s="9" t="n"/>
      <c r="B24" s="9" t="n"/>
      <c r="C24" s="9" t="n"/>
      <c r="D24" s="10" t="n"/>
      <c r="E24" s="11" t="n"/>
      <c r="F24" s="11" t="n"/>
      <c r="G24" s="9" t="n"/>
      <c r="H24" s="9" t="n"/>
      <c r="I24" s="12" t="n"/>
      <c r="J24" s="12" t="n"/>
      <c r="K24" s="9" t="n"/>
      <c r="L24" s="13" t="n"/>
      <c r="M24" s="14">
        <f>IF($A24="","",IFERROR(D24*INDEX(Insumos!$D$6:$D$98,MATCH(C24,Insumos!$A$6:$A$98,0)),0))</f>
        <v/>
      </c>
      <c r="N24" s="14">
        <f>IF($A24="","",E24*Parametros!$H$21)</f>
        <v/>
      </c>
      <c r="O24" s="14">
        <f>IF($A24="","",F24*Parametros!$H$22)</f>
        <v/>
      </c>
      <c r="P24" s="14">
        <f>IF($A24="","",F24*Parametros!$B$17)</f>
        <v/>
      </c>
      <c r="Q24" s="14">
        <f>IF($A24="","",D24*Parametros!$H$23)</f>
        <v/>
      </c>
      <c r="R24" s="14">
        <f>IF($A24="","",H24*Parametros!$H$24)</f>
        <v/>
      </c>
      <c r="S24" s="14">
        <f>IF($A24="","",IFERROR(INDEX(Confeccion!$B$5:$B$80,MATCH(G24,Confeccion!$A$5:$A$80,0)),0))</f>
        <v/>
      </c>
      <c r="T24" s="15">
        <f>IF($A24="","",SUM(M24:S24)+I24)</f>
        <v/>
      </c>
      <c r="U24" s="14">
        <f>IF($A24="","",IF(J24="","",J24*Parametros!$B$13))</f>
        <v/>
      </c>
      <c r="V24" s="14">
        <f>IF($A24="","",IF(J24="","",J24*Parametros!$B$14))</f>
        <v/>
      </c>
      <c r="W24" s="15">
        <f>IF($A24="","",IF(J24="","",J24-T24-U24-V24))</f>
        <v/>
      </c>
      <c r="X24" s="16">
        <f>IF($A24="","",IF(J24="","",W24/J24))</f>
        <v/>
      </c>
      <c r="Y24" s="14">
        <f>IF($A24="","",IF(Parametros!$B$15&gt;=1,"",T24/(1-Parametros!$B$15)))</f>
        <v/>
      </c>
      <c r="Z24" s="14">
        <f>IF($A24="","",IF(Parametros!$B$15+Parametros!$B$16&gt;=1,"",T24/(1-Parametros!$B$15-Parametros!$B$16)))</f>
        <v/>
      </c>
      <c r="AA24" s="17">
        <f>IF($A24="","",IF(J24="","Falta precio",IF(W24&lt;0,"PIERDE",IF(X24&lt;Parametros!$B$16,"BAJO META","OK"))))</f>
        <v/>
      </c>
      <c r="AB24" s="18">
        <f>IF($A24="","",IF(OR(C24="",D24=""),"Falta tela o consumo. ","")&amp;IF(AND(C24&lt;&gt;"",M24=0),"Tela sin precio. ","")&amp;IF(S24=0,"Confección sin valor. ","")&amp;IF(J24="","Falta precio de venta. ",""))</f>
        <v/>
      </c>
    </row>
    <row r="25">
      <c r="A25" s="9" t="n"/>
      <c r="B25" s="9" t="n"/>
      <c r="C25" s="9" t="n"/>
      <c r="D25" s="10" t="n"/>
      <c r="E25" s="11" t="n"/>
      <c r="F25" s="11" t="n"/>
      <c r="G25" s="9" t="n"/>
      <c r="H25" s="9" t="n"/>
      <c r="I25" s="12" t="n"/>
      <c r="J25" s="12" t="n"/>
      <c r="K25" s="9" t="n"/>
      <c r="L25" s="13" t="n"/>
      <c r="M25" s="14">
        <f>IF($A25="","",IFERROR(D25*INDEX(Insumos!$D$6:$D$98,MATCH(C25,Insumos!$A$6:$A$98,0)),0))</f>
        <v/>
      </c>
      <c r="N25" s="14">
        <f>IF($A25="","",E25*Parametros!$H$21)</f>
        <v/>
      </c>
      <c r="O25" s="14">
        <f>IF($A25="","",F25*Parametros!$H$22)</f>
        <v/>
      </c>
      <c r="P25" s="14">
        <f>IF($A25="","",F25*Parametros!$B$17)</f>
        <v/>
      </c>
      <c r="Q25" s="14">
        <f>IF($A25="","",D25*Parametros!$H$23)</f>
        <v/>
      </c>
      <c r="R25" s="14">
        <f>IF($A25="","",H25*Parametros!$H$24)</f>
        <v/>
      </c>
      <c r="S25" s="14">
        <f>IF($A25="","",IFERROR(INDEX(Confeccion!$B$5:$B$80,MATCH(G25,Confeccion!$A$5:$A$80,0)),0))</f>
        <v/>
      </c>
      <c r="T25" s="15">
        <f>IF($A25="","",SUM(M25:S25)+I25)</f>
        <v/>
      </c>
      <c r="U25" s="14">
        <f>IF($A25="","",IF(J25="","",J25*Parametros!$B$13))</f>
        <v/>
      </c>
      <c r="V25" s="14">
        <f>IF($A25="","",IF(J25="","",J25*Parametros!$B$14))</f>
        <v/>
      </c>
      <c r="W25" s="15">
        <f>IF($A25="","",IF(J25="","",J25-T25-U25-V25))</f>
        <v/>
      </c>
      <c r="X25" s="16">
        <f>IF($A25="","",IF(J25="","",W25/J25))</f>
        <v/>
      </c>
      <c r="Y25" s="14">
        <f>IF($A25="","",IF(Parametros!$B$15&gt;=1,"",T25/(1-Parametros!$B$15)))</f>
        <v/>
      </c>
      <c r="Z25" s="14">
        <f>IF($A25="","",IF(Parametros!$B$15+Parametros!$B$16&gt;=1,"",T25/(1-Parametros!$B$15-Parametros!$B$16)))</f>
        <v/>
      </c>
      <c r="AA25" s="17">
        <f>IF($A25="","",IF(J25="","Falta precio",IF(W25&lt;0,"PIERDE",IF(X25&lt;Parametros!$B$16,"BAJO META","OK"))))</f>
        <v/>
      </c>
      <c r="AB25" s="18">
        <f>IF($A25="","",IF(OR(C25="",D25=""),"Falta tela o consumo. ","")&amp;IF(AND(C25&lt;&gt;"",M25=0),"Tela sin precio. ","")&amp;IF(S25=0,"Confección sin valor. ","")&amp;IF(J25="","Falta precio de venta. ",""))</f>
        <v/>
      </c>
    </row>
    <row r="26">
      <c r="A26" s="9" t="n"/>
      <c r="B26" s="9" t="n"/>
      <c r="C26" s="9" t="n"/>
      <c r="D26" s="10" t="n"/>
      <c r="E26" s="11" t="n"/>
      <c r="F26" s="11" t="n"/>
      <c r="G26" s="9" t="n"/>
      <c r="H26" s="9" t="n"/>
      <c r="I26" s="12" t="n"/>
      <c r="J26" s="12" t="n"/>
      <c r="K26" s="9" t="n"/>
      <c r="L26" s="13" t="n"/>
      <c r="M26" s="14">
        <f>IF($A26="","",IFERROR(D26*INDEX(Insumos!$D$6:$D$98,MATCH(C26,Insumos!$A$6:$A$98,0)),0))</f>
        <v/>
      </c>
      <c r="N26" s="14">
        <f>IF($A26="","",E26*Parametros!$H$21)</f>
        <v/>
      </c>
      <c r="O26" s="14">
        <f>IF($A26="","",F26*Parametros!$H$22)</f>
        <v/>
      </c>
      <c r="P26" s="14">
        <f>IF($A26="","",F26*Parametros!$B$17)</f>
        <v/>
      </c>
      <c r="Q26" s="14">
        <f>IF($A26="","",D26*Parametros!$H$23)</f>
        <v/>
      </c>
      <c r="R26" s="14">
        <f>IF($A26="","",H26*Parametros!$H$24)</f>
        <v/>
      </c>
      <c r="S26" s="14">
        <f>IF($A26="","",IFERROR(INDEX(Confeccion!$B$5:$B$80,MATCH(G26,Confeccion!$A$5:$A$80,0)),0))</f>
        <v/>
      </c>
      <c r="T26" s="15">
        <f>IF($A26="","",SUM(M26:S26)+I26)</f>
        <v/>
      </c>
      <c r="U26" s="14">
        <f>IF($A26="","",IF(J26="","",J26*Parametros!$B$13))</f>
        <v/>
      </c>
      <c r="V26" s="14">
        <f>IF($A26="","",IF(J26="","",J26*Parametros!$B$14))</f>
        <v/>
      </c>
      <c r="W26" s="15">
        <f>IF($A26="","",IF(J26="","",J26-T26-U26-V26))</f>
        <v/>
      </c>
      <c r="X26" s="16">
        <f>IF($A26="","",IF(J26="","",W26/J26))</f>
        <v/>
      </c>
      <c r="Y26" s="14">
        <f>IF($A26="","",IF(Parametros!$B$15&gt;=1,"",T26/(1-Parametros!$B$15)))</f>
        <v/>
      </c>
      <c r="Z26" s="14">
        <f>IF($A26="","",IF(Parametros!$B$15+Parametros!$B$16&gt;=1,"",T26/(1-Parametros!$B$15-Parametros!$B$16)))</f>
        <v/>
      </c>
      <c r="AA26" s="17">
        <f>IF($A26="","",IF(J26="","Falta precio",IF(W26&lt;0,"PIERDE",IF(X26&lt;Parametros!$B$16,"BAJO META","OK"))))</f>
        <v/>
      </c>
      <c r="AB26" s="18">
        <f>IF($A26="","",IF(OR(C26="",D26=""),"Falta tela o consumo. ","")&amp;IF(AND(C26&lt;&gt;"",M26=0),"Tela sin precio. ","")&amp;IF(S26=0,"Confección sin valor. ","")&amp;IF(J26="","Falta precio de venta. ",""))</f>
        <v/>
      </c>
    </row>
    <row r="27">
      <c r="A27" s="9" t="n"/>
      <c r="B27" s="9" t="n"/>
      <c r="C27" s="9" t="n"/>
      <c r="D27" s="10" t="n"/>
      <c r="E27" s="11" t="n"/>
      <c r="F27" s="11" t="n"/>
      <c r="G27" s="9" t="n"/>
      <c r="H27" s="9" t="n"/>
      <c r="I27" s="12" t="n"/>
      <c r="J27" s="12" t="n"/>
      <c r="K27" s="9" t="n"/>
      <c r="L27" s="13" t="n"/>
      <c r="M27" s="14">
        <f>IF($A27="","",IFERROR(D27*INDEX(Insumos!$D$6:$D$98,MATCH(C27,Insumos!$A$6:$A$98,0)),0))</f>
        <v/>
      </c>
      <c r="N27" s="14">
        <f>IF($A27="","",E27*Parametros!$H$21)</f>
        <v/>
      </c>
      <c r="O27" s="14">
        <f>IF($A27="","",F27*Parametros!$H$22)</f>
        <v/>
      </c>
      <c r="P27" s="14">
        <f>IF($A27="","",F27*Parametros!$B$17)</f>
        <v/>
      </c>
      <c r="Q27" s="14">
        <f>IF($A27="","",D27*Parametros!$H$23)</f>
        <v/>
      </c>
      <c r="R27" s="14">
        <f>IF($A27="","",H27*Parametros!$H$24)</f>
        <v/>
      </c>
      <c r="S27" s="14">
        <f>IF($A27="","",IFERROR(INDEX(Confeccion!$B$5:$B$80,MATCH(G27,Confeccion!$A$5:$A$80,0)),0))</f>
        <v/>
      </c>
      <c r="T27" s="15">
        <f>IF($A27="","",SUM(M27:S27)+I27)</f>
        <v/>
      </c>
      <c r="U27" s="14">
        <f>IF($A27="","",IF(J27="","",J27*Parametros!$B$13))</f>
        <v/>
      </c>
      <c r="V27" s="14">
        <f>IF($A27="","",IF(J27="","",J27*Parametros!$B$14))</f>
        <v/>
      </c>
      <c r="W27" s="15">
        <f>IF($A27="","",IF(J27="","",J27-T27-U27-V27))</f>
        <v/>
      </c>
      <c r="X27" s="16">
        <f>IF($A27="","",IF(J27="","",W27/J27))</f>
        <v/>
      </c>
      <c r="Y27" s="14">
        <f>IF($A27="","",IF(Parametros!$B$15&gt;=1,"",T27/(1-Parametros!$B$15)))</f>
        <v/>
      </c>
      <c r="Z27" s="14">
        <f>IF($A27="","",IF(Parametros!$B$15+Parametros!$B$16&gt;=1,"",T27/(1-Parametros!$B$15-Parametros!$B$16)))</f>
        <v/>
      </c>
      <c r="AA27" s="17">
        <f>IF($A27="","",IF(J27="","Falta precio",IF(W27&lt;0,"PIERDE",IF(X27&lt;Parametros!$B$16,"BAJO META","OK"))))</f>
        <v/>
      </c>
      <c r="AB27" s="18">
        <f>IF($A27="","",IF(OR(C27="",D27=""),"Falta tela o consumo. ","")&amp;IF(AND(C27&lt;&gt;"",M27=0),"Tela sin precio. ","")&amp;IF(S27=0,"Confección sin valor. ","")&amp;IF(J27="","Falta precio de venta. ",""))</f>
        <v/>
      </c>
    </row>
    <row r="28">
      <c r="A28" s="9" t="n"/>
      <c r="B28" s="9" t="n"/>
      <c r="C28" s="9" t="n"/>
      <c r="D28" s="10" t="n"/>
      <c r="E28" s="11" t="n"/>
      <c r="F28" s="11" t="n"/>
      <c r="G28" s="9" t="n"/>
      <c r="H28" s="9" t="n"/>
      <c r="I28" s="12" t="n"/>
      <c r="J28" s="12" t="n"/>
      <c r="K28" s="9" t="n"/>
      <c r="L28" s="13" t="n"/>
      <c r="M28" s="14">
        <f>IF($A28="","",IFERROR(D28*INDEX(Insumos!$D$6:$D$98,MATCH(C28,Insumos!$A$6:$A$98,0)),0))</f>
        <v/>
      </c>
      <c r="N28" s="14">
        <f>IF($A28="","",E28*Parametros!$H$21)</f>
        <v/>
      </c>
      <c r="O28" s="14">
        <f>IF($A28="","",F28*Parametros!$H$22)</f>
        <v/>
      </c>
      <c r="P28" s="14">
        <f>IF($A28="","",F28*Parametros!$B$17)</f>
        <v/>
      </c>
      <c r="Q28" s="14">
        <f>IF($A28="","",D28*Parametros!$H$23)</f>
        <v/>
      </c>
      <c r="R28" s="14">
        <f>IF($A28="","",H28*Parametros!$H$24)</f>
        <v/>
      </c>
      <c r="S28" s="14">
        <f>IF($A28="","",IFERROR(INDEX(Confeccion!$B$5:$B$80,MATCH(G28,Confeccion!$A$5:$A$80,0)),0))</f>
        <v/>
      </c>
      <c r="T28" s="15">
        <f>IF($A28="","",SUM(M28:S28)+I28)</f>
        <v/>
      </c>
      <c r="U28" s="14">
        <f>IF($A28="","",IF(J28="","",J28*Parametros!$B$13))</f>
        <v/>
      </c>
      <c r="V28" s="14">
        <f>IF($A28="","",IF(J28="","",J28*Parametros!$B$14))</f>
        <v/>
      </c>
      <c r="W28" s="15">
        <f>IF($A28="","",IF(J28="","",J28-T28-U28-V28))</f>
        <v/>
      </c>
      <c r="X28" s="16">
        <f>IF($A28="","",IF(J28="","",W28/J28))</f>
        <v/>
      </c>
      <c r="Y28" s="14">
        <f>IF($A28="","",IF(Parametros!$B$15&gt;=1,"",T28/(1-Parametros!$B$15)))</f>
        <v/>
      </c>
      <c r="Z28" s="14">
        <f>IF($A28="","",IF(Parametros!$B$15+Parametros!$B$16&gt;=1,"",T28/(1-Parametros!$B$15-Parametros!$B$16)))</f>
        <v/>
      </c>
      <c r="AA28" s="17">
        <f>IF($A28="","",IF(J28="","Falta precio",IF(W28&lt;0,"PIERDE",IF(X28&lt;Parametros!$B$16,"BAJO META","OK"))))</f>
        <v/>
      </c>
      <c r="AB28" s="18">
        <f>IF($A28="","",IF(OR(C28="",D28=""),"Falta tela o consumo. ","")&amp;IF(AND(C28&lt;&gt;"",M28=0),"Tela sin precio. ","")&amp;IF(S28=0,"Confección sin valor. ","")&amp;IF(J28="","Falta precio de venta. ",""))</f>
        <v/>
      </c>
    </row>
    <row r="29">
      <c r="A29" s="9" t="n"/>
      <c r="B29" s="9" t="n"/>
      <c r="C29" s="9" t="n"/>
      <c r="D29" s="10" t="n"/>
      <c r="E29" s="11" t="n"/>
      <c r="F29" s="11" t="n"/>
      <c r="G29" s="9" t="n"/>
      <c r="H29" s="9" t="n"/>
      <c r="I29" s="12" t="n"/>
      <c r="J29" s="12" t="n"/>
      <c r="K29" s="9" t="n"/>
      <c r="L29" s="13" t="n"/>
      <c r="M29" s="14">
        <f>IF($A29="","",IFERROR(D29*INDEX(Insumos!$D$6:$D$98,MATCH(C29,Insumos!$A$6:$A$98,0)),0))</f>
        <v/>
      </c>
      <c r="N29" s="14">
        <f>IF($A29="","",E29*Parametros!$H$21)</f>
        <v/>
      </c>
      <c r="O29" s="14">
        <f>IF($A29="","",F29*Parametros!$H$22)</f>
        <v/>
      </c>
      <c r="P29" s="14">
        <f>IF($A29="","",F29*Parametros!$B$17)</f>
        <v/>
      </c>
      <c r="Q29" s="14">
        <f>IF($A29="","",D29*Parametros!$H$23)</f>
        <v/>
      </c>
      <c r="R29" s="14">
        <f>IF($A29="","",H29*Parametros!$H$24)</f>
        <v/>
      </c>
      <c r="S29" s="14">
        <f>IF($A29="","",IFERROR(INDEX(Confeccion!$B$5:$B$80,MATCH(G29,Confeccion!$A$5:$A$80,0)),0))</f>
        <v/>
      </c>
      <c r="T29" s="15">
        <f>IF($A29="","",SUM(M29:S29)+I29)</f>
        <v/>
      </c>
      <c r="U29" s="14">
        <f>IF($A29="","",IF(J29="","",J29*Parametros!$B$13))</f>
        <v/>
      </c>
      <c r="V29" s="14">
        <f>IF($A29="","",IF(J29="","",J29*Parametros!$B$14))</f>
        <v/>
      </c>
      <c r="W29" s="15">
        <f>IF($A29="","",IF(J29="","",J29-T29-U29-V29))</f>
        <v/>
      </c>
      <c r="X29" s="16">
        <f>IF($A29="","",IF(J29="","",W29/J29))</f>
        <v/>
      </c>
      <c r="Y29" s="14">
        <f>IF($A29="","",IF(Parametros!$B$15&gt;=1,"",T29/(1-Parametros!$B$15)))</f>
        <v/>
      </c>
      <c r="Z29" s="14">
        <f>IF($A29="","",IF(Parametros!$B$15+Parametros!$B$16&gt;=1,"",T29/(1-Parametros!$B$15-Parametros!$B$16)))</f>
        <v/>
      </c>
      <c r="AA29" s="17">
        <f>IF($A29="","",IF(J29="","Falta precio",IF(W29&lt;0,"PIERDE",IF(X29&lt;Parametros!$B$16,"BAJO META","OK"))))</f>
        <v/>
      </c>
      <c r="AB29" s="18">
        <f>IF($A29="","",IF(OR(C29="",D29=""),"Falta tela o consumo. ","")&amp;IF(AND(C29&lt;&gt;"",M29=0),"Tela sin precio. ","")&amp;IF(S29=0,"Confección sin valor. ","")&amp;IF(J29="","Falta precio de venta. ",""))</f>
        <v/>
      </c>
    </row>
    <row r="30">
      <c r="A30" s="9" t="n"/>
      <c r="B30" s="9" t="n"/>
      <c r="C30" s="9" t="n"/>
      <c r="D30" s="10" t="n"/>
      <c r="E30" s="11" t="n"/>
      <c r="F30" s="11" t="n"/>
      <c r="G30" s="9" t="n"/>
      <c r="H30" s="9" t="n"/>
      <c r="I30" s="12" t="n"/>
      <c r="J30" s="12" t="n"/>
      <c r="K30" s="9" t="n"/>
      <c r="L30" s="13" t="n"/>
      <c r="M30" s="14">
        <f>IF($A30="","",IFERROR(D30*INDEX(Insumos!$D$6:$D$98,MATCH(C30,Insumos!$A$6:$A$98,0)),0))</f>
        <v/>
      </c>
      <c r="N30" s="14">
        <f>IF($A30="","",E30*Parametros!$H$21)</f>
        <v/>
      </c>
      <c r="O30" s="14">
        <f>IF($A30="","",F30*Parametros!$H$22)</f>
        <v/>
      </c>
      <c r="P30" s="14">
        <f>IF($A30="","",F30*Parametros!$B$17)</f>
        <v/>
      </c>
      <c r="Q30" s="14">
        <f>IF($A30="","",D30*Parametros!$H$23)</f>
        <v/>
      </c>
      <c r="R30" s="14">
        <f>IF($A30="","",H30*Parametros!$H$24)</f>
        <v/>
      </c>
      <c r="S30" s="14">
        <f>IF($A30="","",IFERROR(INDEX(Confeccion!$B$5:$B$80,MATCH(G30,Confeccion!$A$5:$A$80,0)),0))</f>
        <v/>
      </c>
      <c r="T30" s="15">
        <f>IF($A30="","",SUM(M30:S30)+I30)</f>
        <v/>
      </c>
      <c r="U30" s="14">
        <f>IF($A30="","",IF(J30="","",J30*Parametros!$B$13))</f>
        <v/>
      </c>
      <c r="V30" s="14">
        <f>IF($A30="","",IF(J30="","",J30*Parametros!$B$14))</f>
        <v/>
      </c>
      <c r="W30" s="15">
        <f>IF($A30="","",IF(J30="","",J30-T30-U30-V30))</f>
        <v/>
      </c>
      <c r="X30" s="16">
        <f>IF($A30="","",IF(J30="","",W30/J30))</f>
        <v/>
      </c>
      <c r="Y30" s="14">
        <f>IF($A30="","",IF(Parametros!$B$15&gt;=1,"",T30/(1-Parametros!$B$15)))</f>
        <v/>
      </c>
      <c r="Z30" s="14">
        <f>IF($A30="","",IF(Parametros!$B$15+Parametros!$B$16&gt;=1,"",T30/(1-Parametros!$B$15-Parametros!$B$16)))</f>
        <v/>
      </c>
      <c r="AA30" s="17">
        <f>IF($A30="","",IF(J30="","Falta precio",IF(W30&lt;0,"PIERDE",IF(X30&lt;Parametros!$B$16,"BAJO META","OK"))))</f>
        <v/>
      </c>
      <c r="AB30" s="18">
        <f>IF($A30="","",IF(OR(C30="",D30=""),"Falta tela o consumo. ","")&amp;IF(AND(C30&lt;&gt;"",M30=0),"Tela sin precio. ","")&amp;IF(S30=0,"Confección sin valor. ","")&amp;IF(J30="","Falta precio de venta. ",""))</f>
        <v/>
      </c>
    </row>
    <row r="31">
      <c r="A31" s="9" t="n"/>
      <c r="B31" s="9" t="n"/>
      <c r="C31" s="9" t="n"/>
      <c r="D31" s="10" t="n"/>
      <c r="E31" s="11" t="n"/>
      <c r="F31" s="11" t="n"/>
      <c r="G31" s="9" t="n"/>
      <c r="H31" s="9" t="n"/>
      <c r="I31" s="12" t="n"/>
      <c r="J31" s="12" t="n"/>
      <c r="K31" s="9" t="n"/>
      <c r="L31" s="13" t="n"/>
      <c r="M31" s="14">
        <f>IF($A31="","",IFERROR(D31*INDEX(Insumos!$D$6:$D$98,MATCH(C31,Insumos!$A$6:$A$98,0)),0))</f>
        <v/>
      </c>
      <c r="N31" s="14">
        <f>IF($A31="","",E31*Parametros!$H$21)</f>
        <v/>
      </c>
      <c r="O31" s="14">
        <f>IF($A31="","",F31*Parametros!$H$22)</f>
        <v/>
      </c>
      <c r="P31" s="14">
        <f>IF($A31="","",F31*Parametros!$B$17)</f>
        <v/>
      </c>
      <c r="Q31" s="14">
        <f>IF($A31="","",D31*Parametros!$H$23)</f>
        <v/>
      </c>
      <c r="R31" s="14">
        <f>IF($A31="","",H31*Parametros!$H$24)</f>
        <v/>
      </c>
      <c r="S31" s="14">
        <f>IF($A31="","",IFERROR(INDEX(Confeccion!$B$5:$B$80,MATCH(G31,Confeccion!$A$5:$A$80,0)),0))</f>
        <v/>
      </c>
      <c r="T31" s="15">
        <f>IF($A31="","",SUM(M31:S31)+I31)</f>
        <v/>
      </c>
      <c r="U31" s="14">
        <f>IF($A31="","",IF(J31="","",J31*Parametros!$B$13))</f>
        <v/>
      </c>
      <c r="V31" s="14">
        <f>IF($A31="","",IF(J31="","",J31*Parametros!$B$14))</f>
        <v/>
      </c>
      <c r="W31" s="15">
        <f>IF($A31="","",IF(J31="","",J31-T31-U31-V31))</f>
        <v/>
      </c>
      <c r="X31" s="16">
        <f>IF($A31="","",IF(J31="","",W31/J31))</f>
        <v/>
      </c>
      <c r="Y31" s="14">
        <f>IF($A31="","",IF(Parametros!$B$15&gt;=1,"",T31/(1-Parametros!$B$15)))</f>
        <v/>
      </c>
      <c r="Z31" s="14">
        <f>IF($A31="","",IF(Parametros!$B$15+Parametros!$B$16&gt;=1,"",T31/(1-Parametros!$B$15-Parametros!$B$16)))</f>
        <v/>
      </c>
      <c r="AA31" s="17">
        <f>IF($A31="","",IF(J31="","Falta precio",IF(W31&lt;0,"PIERDE",IF(X31&lt;Parametros!$B$16,"BAJO META","OK"))))</f>
        <v/>
      </c>
      <c r="AB31" s="18">
        <f>IF($A31="","",IF(OR(C31="",D31=""),"Falta tela o consumo. ","")&amp;IF(AND(C31&lt;&gt;"",M31=0),"Tela sin precio. ","")&amp;IF(S31=0,"Confección sin valor. ","")&amp;IF(J31="","Falta precio de venta. ",""))</f>
        <v/>
      </c>
    </row>
    <row r="32">
      <c r="A32" s="9" t="n"/>
      <c r="B32" s="9" t="n"/>
      <c r="C32" s="9" t="n"/>
      <c r="D32" s="10" t="n"/>
      <c r="E32" s="11" t="n"/>
      <c r="F32" s="11" t="n"/>
      <c r="G32" s="9" t="n"/>
      <c r="H32" s="9" t="n"/>
      <c r="I32" s="12" t="n"/>
      <c r="J32" s="12" t="n"/>
      <c r="K32" s="9" t="n"/>
      <c r="L32" s="13" t="n"/>
      <c r="M32" s="14">
        <f>IF($A32="","",IFERROR(D32*INDEX(Insumos!$D$6:$D$98,MATCH(C32,Insumos!$A$6:$A$98,0)),0))</f>
        <v/>
      </c>
      <c r="N32" s="14">
        <f>IF($A32="","",E32*Parametros!$H$21)</f>
        <v/>
      </c>
      <c r="O32" s="14">
        <f>IF($A32="","",F32*Parametros!$H$22)</f>
        <v/>
      </c>
      <c r="P32" s="14">
        <f>IF($A32="","",F32*Parametros!$B$17)</f>
        <v/>
      </c>
      <c r="Q32" s="14">
        <f>IF($A32="","",D32*Parametros!$H$23)</f>
        <v/>
      </c>
      <c r="R32" s="14">
        <f>IF($A32="","",H32*Parametros!$H$24)</f>
        <v/>
      </c>
      <c r="S32" s="14">
        <f>IF($A32="","",IFERROR(INDEX(Confeccion!$B$5:$B$80,MATCH(G32,Confeccion!$A$5:$A$80,0)),0))</f>
        <v/>
      </c>
      <c r="T32" s="15">
        <f>IF($A32="","",SUM(M32:S32)+I32)</f>
        <v/>
      </c>
      <c r="U32" s="14">
        <f>IF($A32="","",IF(J32="","",J32*Parametros!$B$13))</f>
        <v/>
      </c>
      <c r="V32" s="14">
        <f>IF($A32="","",IF(J32="","",J32*Parametros!$B$14))</f>
        <v/>
      </c>
      <c r="W32" s="15">
        <f>IF($A32="","",IF(J32="","",J32-T32-U32-V32))</f>
        <v/>
      </c>
      <c r="X32" s="16">
        <f>IF($A32="","",IF(J32="","",W32/J32))</f>
        <v/>
      </c>
      <c r="Y32" s="14">
        <f>IF($A32="","",IF(Parametros!$B$15&gt;=1,"",T32/(1-Parametros!$B$15)))</f>
        <v/>
      </c>
      <c r="Z32" s="14">
        <f>IF($A32="","",IF(Parametros!$B$15+Parametros!$B$16&gt;=1,"",T32/(1-Parametros!$B$15-Parametros!$B$16)))</f>
        <v/>
      </c>
      <c r="AA32" s="17">
        <f>IF($A32="","",IF(J32="","Falta precio",IF(W32&lt;0,"PIERDE",IF(X32&lt;Parametros!$B$16,"BAJO META","OK"))))</f>
        <v/>
      </c>
      <c r="AB32" s="18">
        <f>IF($A32="","",IF(OR(C32="",D32=""),"Falta tela o consumo. ","")&amp;IF(AND(C32&lt;&gt;"",M32=0),"Tela sin precio. ","")&amp;IF(S32=0,"Confección sin valor. ","")&amp;IF(J32="","Falta precio de venta. ",""))</f>
        <v/>
      </c>
    </row>
    <row r="33">
      <c r="A33" s="9" t="n"/>
      <c r="B33" s="9" t="n"/>
      <c r="C33" s="9" t="n"/>
      <c r="D33" s="10" t="n"/>
      <c r="E33" s="11" t="n"/>
      <c r="F33" s="11" t="n"/>
      <c r="G33" s="9" t="n"/>
      <c r="H33" s="9" t="n"/>
      <c r="I33" s="12" t="n"/>
      <c r="J33" s="12" t="n"/>
      <c r="K33" s="9" t="n"/>
      <c r="L33" s="13" t="n"/>
      <c r="M33" s="14">
        <f>IF($A33="","",IFERROR(D33*INDEX(Insumos!$D$6:$D$98,MATCH(C33,Insumos!$A$6:$A$98,0)),0))</f>
        <v/>
      </c>
      <c r="N33" s="14">
        <f>IF($A33="","",E33*Parametros!$H$21)</f>
        <v/>
      </c>
      <c r="O33" s="14">
        <f>IF($A33="","",F33*Parametros!$H$22)</f>
        <v/>
      </c>
      <c r="P33" s="14">
        <f>IF($A33="","",F33*Parametros!$B$17)</f>
        <v/>
      </c>
      <c r="Q33" s="14">
        <f>IF($A33="","",D33*Parametros!$H$23)</f>
        <v/>
      </c>
      <c r="R33" s="14">
        <f>IF($A33="","",H33*Parametros!$H$24)</f>
        <v/>
      </c>
      <c r="S33" s="14">
        <f>IF($A33="","",IFERROR(INDEX(Confeccion!$B$5:$B$80,MATCH(G33,Confeccion!$A$5:$A$80,0)),0))</f>
        <v/>
      </c>
      <c r="T33" s="15">
        <f>IF($A33="","",SUM(M33:S33)+I33)</f>
        <v/>
      </c>
      <c r="U33" s="14">
        <f>IF($A33="","",IF(J33="","",J33*Parametros!$B$13))</f>
        <v/>
      </c>
      <c r="V33" s="14">
        <f>IF($A33="","",IF(J33="","",J33*Parametros!$B$14))</f>
        <v/>
      </c>
      <c r="W33" s="15">
        <f>IF($A33="","",IF(J33="","",J33-T33-U33-V33))</f>
        <v/>
      </c>
      <c r="X33" s="16">
        <f>IF($A33="","",IF(J33="","",W33/J33))</f>
        <v/>
      </c>
      <c r="Y33" s="14">
        <f>IF($A33="","",IF(Parametros!$B$15&gt;=1,"",T33/(1-Parametros!$B$15)))</f>
        <v/>
      </c>
      <c r="Z33" s="14">
        <f>IF($A33="","",IF(Parametros!$B$15+Parametros!$B$16&gt;=1,"",T33/(1-Parametros!$B$15-Parametros!$B$16)))</f>
        <v/>
      </c>
      <c r="AA33" s="17">
        <f>IF($A33="","",IF(J33="","Falta precio",IF(W33&lt;0,"PIERDE",IF(X33&lt;Parametros!$B$16,"BAJO META","OK"))))</f>
        <v/>
      </c>
      <c r="AB33" s="18">
        <f>IF($A33="","",IF(OR(C33="",D33=""),"Falta tela o consumo. ","")&amp;IF(AND(C33&lt;&gt;"",M33=0),"Tela sin precio. ","")&amp;IF(S33=0,"Confección sin valor. ","")&amp;IF(J33="","Falta precio de venta. ",""))</f>
        <v/>
      </c>
    </row>
    <row r="34">
      <c r="A34" s="9" t="n"/>
      <c r="B34" s="9" t="n"/>
      <c r="C34" s="9" t="n"/>
      <c r="D34" s="10" t="n"/>
      <c r="E34" s="11" t="n"/>
      <c r="F34" s="11" t="n"/>
      <c r="G34" s="9" t="n"/>
      <c r="H34" s="9" t="n"/>
      <c r="I34" s="12" t="n"/>
      <c r="J34" s="12" t="n"/>
      <c r="K34" s="9" t="n"/>
      <c r="L34" s="13" t="n"/>
      <c r="M34" s="14">
        <f>IF($A34="","",IFERROR(D34*INDEX(Insumos!$D$6:$D$98,MATCH(C34,Insumos!$A$6:$A$98,0)),0))</f>
        <v/>
      </c>
      <c r="N34" s="14">
        <f>IF($A34="","",E34*Parametros!$H$21)</f>
        <v/>
      </c>
      <c r="O34" s="14">
        <f>IF($A34="","",F34*Parametros!$H$22)</f>
        <v/>
      </c>
      <c r="P34" s="14">
        <f>IF($A34="","",F34*Parametros!$B$17)</f>
        <v/>
      </c>
      <c r="Q34" s="14">
        <f>IF($A34="","",D34*Parametros!$H$23)</f>
        <v/>
      </c>
      <c r="R34" s="14">
        <f>IF($A34="","",H34*Parametros!$H$24)</f>
        <v/>
      </c>
      <c r="S34" s="14">
        <f>IF($A34="","",IFERROR(INDEX(Confeccion!$B$5:$B$80,MATCH(G34,Confeccion!$A$5:$A$80,0)),0))</f>
        <v/>
      </c>
      <c r="T34" s="15">
        <f>IF($A34="","",SUM(M34:S34)+I34)</f>
        <v/>
      </c>
      <c r="U34" s="14">
        <f>IF($A34="","",IF(J34="","",J34*Parametros!$B$13))</f>
        <v/>
      </c>
      <c r="V34" s="14">
        <f>IF($A34="","",IF(J34="","",J34*Parametros!$B$14))</f>
        <v/>
      </c>
      <c r="W34" s="15">
        <f>IF($A34="","",IF(J34="","",J34-T34-U34-V34))</f>
        <v/>
      </c>
      <c r="X34" s="16">
        <f>IF($A34="","",IF(J34="","",W34/J34))</f>
        <v/>
      </c>
      <c r="Y34" s="14">
        <f>IF($A34="","",IF(Parametros!$B$15&gt;=1,"",T34/(1-Parametros!$B$15)))</f>
        <v/>
      </c>
      <c r="Z34" s="14">
        <f>IF($A34="","",IF(Parametros!$B$15+Parametros!$B$16&gt;=1,"",T34/(1-Parametros!$B$15-Parametros!$B$16)))</f>
        <v/>
      </c>
      <c r="AA34" s="17">
        <f>IF($A34="","",IF(J34="","Falta precio",IF(W34&lt;0,"PIERDE",IF(X34&lt;Parametros!$B$16,"BAJO META","OK"))))</f>
        <v/>
      </c>
      <c r="AB34" s="18">
        <f>IF($A34="","",IF(OR(C34="",D34=""),"Falta tela o consumo. ","")&amp;IF(AND(C34&lt;&gt;"",M34=0),"Tela sin precio. ","")&amp;IF(S34=0,"Confección sin valor. ","")&amp;IF(J34="","Falta precio de venta. ",""))</f>
        <v/>
      </c>
    </row>
    <row r="35">
      <c r="A35" s="9" t="n"/>
      <c r="B35" s="9" t="n"/>
      <c r="C35" s="9" t="n"/>
      <c r="D35" s="10" t="n"/>
      <c r="E35" s="11" t="n"/>
      <c r="F35" s="11" t="n"/>
      <c r="G35" s="9" t="n"/>
      <c r="H35" s="9" t="n"/>
      <c r="I35" s="12" t="n"/>
      <c r="J35" s="12" t="n"/>
      <c r="K35" s="9" t="n"/>
      <c r="L35" s="13" t="n"/>
      <c r="M35" s="14">
        <f>IF($A35="","",IFERROR(D35*INDEX(Insumos!$D$6:$D$98,MATCH(C35,Insumos!$A$6:$A$98,0)),0))</f>
        <v/>
      </c>
      <c r="N35" s="14">
        <f>IF($A35="","",E35*Parametros!$H$21)</f>
        <v/>
      </c>
      <c r="O35" s="14">
        <f>IF($A35="","",F35*Parametros!$H$22)</f>
        <v/>
      </c>
      <c r="P35" s="14">
        <f>IF($A35="","",F35*Parametros!$B$17)</f>
        <v/>
      </c>
      <c r="Q35" s="14">
        <f>IF($A35="","",D35*Parametros!$H$23)</f>
        <v/>
      </c>
      <c r="R35" s="14">
        <f>IF($A35="","",H35*Parametros!$H$24)</f>
        <v/>
      </c>
      <c r="S35" s="14">
        <f>IF($A35="","",IFERROR(INDEX(Confeccion!$B$5:$B$80,MATCH(G35,Confeccion!$A$5:$A$80,0)),0))</f>
        <v/>
      </c>
      <c r="T35" s="15">
        <f>IF($A35="","",SUM(M35:S35)+I35)</f>
        <v/>
      </c>
      <c r="U35" s="14">
        <f>IF($A35="","",IF(J35="","",J35*Parametros!$B$13))</f>
        <v/>
      </c>
      <c r="V35" s="14">
        <f>IF($A35="","",IF(J35="","",J35*Parametros!$B$14))</f>
        <v/>
      </c>
      <c r="W35" s="15">
        <f>IF($A35="","",IF(J35="","",J35-T35-U35-V35))</f>
        <v/>
      </c>
      <c r="X35" s="16">
        <f>IF($A35="","",IF(J35="","",W35/J35))</f>
        <v/>
      </c>
      <c r="Y35" s="14">
        <f>IF($A35="","",IF(Parametros!$B$15&gt;=1,"",T35/(1-Parametros!$B$15)))</f>
        <v/>
      </c>
      <c r="Z35" s="14">
        <f>IF($A35="","",IF(Parametros!$B$15+Parametros!$B$16&gt;=1,"",T35/(1-Parametros!$B$15-Parametros!$B$16)))</f>
        <v/>
      </c>
      <c r="AA35" s="17">
        <f>IF($A35="","",IF(J35="","Falta precio",IF(W35&lt;0,"PIERDE",IF(X35&lt;Parametros!$B$16,"BAJO META","OK"))))</f>
        <v/>
      </c>
      <c r="AB35" s="18">
        <f>IF($A35="","",IF(OR(C35="",D35=""),"Falta tela o consumo. ","")&amp;IF(AND(C35&lt;&gt;"",M35=0),"Tela sin precio. ","")&amp;IF(S35=0,"Confección sin valor. ","")&amp;IF(J35="","Falta precio de venta. ",""))</f>
        <v/>
      </c>
    </row>
    <row r="36">
      <c r="A36" s="9" t="n"/>
      <c r="B36" s="9" t="n"/>
      <c r="C36" s="9" t="n"/>
      <c r="D36" s="10" t="n"/>
      <c r="E36" s="11" t="n"/>
      <c r="F36" s="11" t="n"/>
      <c r="G36" s="9" t="n"/>
      <c r="H36" s="9" t="n"/>
      <c r="I36" s="12" t="n"/>
      <c r="J36" s="12" t="n"/>
      <c r="K36" s="9" t="n"/>
      <c r="L36" s="13" t="n"/>
      <c r="M36" s="14">
        <f>IF($A36="","",IFERROR(D36*INDEX(Insumos!$D$6:$D$98,MATCH(C36,Insumos!$A$6:$A$98,0)),0))</f>
        <v/>
      </c>
      <c r="N36" s="14">
        <f>IF($A36="","",E36*Parametros!$H$21)</f>
        <v/>
      </c>
      <c r="O36" s="14">
        <f>IF($A36="","",F36*Parametros!$H$22)</f>
        <v/>
      </c>
      <c r="P36" s="14">
        <f>IF($A36="","",F36*Parametros!$B$17)</f>
        <v/>
      </c>
      <c r="Q36" s="14">
        <f>IF($A36="","",D36*Parametros!$H$23)</f>
        <v/>
      </c>
      <c r="R36" s="14">
        <f>IF($A36="","",H36*Parametros!$H$24)</f>
        <v/>
      </c>
      <c r="S36" s="14">
        <f>IF($A36="","",IFERROR(INDEX(Confeccion!$B$5:$B$80,MATCH(G36,Confeccion!$A$5:$A$80,0)),0))</f>
        <v/>
      </c>
      <c r="T36" s="15">
        <f>IF($A36="","",SUM(M36:S36)+I36)</f>
        <v/>
      </c>
      <c r="U36" s="14">
        <f>IF($A36="","",IF(J36="","",J36*Parametros!$B$13))</f>
        <v/>
      </c>
      <c r="V36" s="14">
        <f>IF($A36="","",IF(J36="","",J36*Parametros!$B$14))</f>
        <v/>
      </c>
      <c r="W36" s="15">
        <f>IF($A36="","",IF(J36="","",J36-T36-U36-V36))</f>
        <v/>
      </c>
      <c r="X36" s="16">
        <f>IF($A36="","",IF(J36="","",W36/J36))</f>
        <v/>
      </c>
      <c r="Y36" s="14">
        <f>IF($A36="","",IF(Parametros!$B$15&gt;=1,"",T36/(1-Parametros!$B$15)))</f>
        <v/>
      </c>
      <c r="Z36" s="14">
        <f>IF($A36="","",IF(Parametros!$B$15+Parametros!$B$16&gt;=1,"",T36/(1-Parametros!$B$15-Parametros!$B$16)))</f>
        <v/>
      </c>
      <c r="AA36" s="17">
        <f>IF($A36="","",IF(J36="","Falta precio",IF(W36&lt;0,"PIERDE",IF(X36&lt;Parametros!$B$16,"BAJO META","OK"))))</f>
        <v/>
      </c>
      <c r="AB36" s="18">
        <f>IF($A36="","",IF(OR(C36="",D36=""),"Falta tela o consumo. ","")&amp;IF(AND(C36&lt;&gt;"",M36=0),"Tela sin precio. ","")&amp;IF(S36=0,"Confección sin valor. ","")&amp;IF(J36="","Falta precio de venta. ",""))</f>
        <v/>
      </c>
    </row>
    <row r="37">
      <c r="A37" s="9" t="n"/>
      <c r="B37" s="9" t="n"/>
      <c r="C37" s="9" t="n"/>
      <c r="D37" s="10" t="n"/>
      <c r="E37" s="11" t="n"/>
      <c r="F37" s="11" t="n"/>
      <c r="G37" s="9" t="n"/>
      <c r="H37" s="9" t="n"/>
      <c r="I37" s="12" t="n"/>
      <c r="J37" s="12" t="n"/>
      <c r="K37" s="9" t="n"/>
      <c r="L37" s="13" t="n"/>
      <c r="M37" s="14">
        <f>IF($A37="","",IFERROR(D37*INDEX(Insumos!$D$6:$D$98,MATCH(C37,Insumos!$A$6:$A$98,0)),0))</f>
        <v/>
      </c>
      <c r="N37" s="14">
        <f>IF($A37="","",E37*Parametros!$H$21)</f>
        <v/>
      </c>
      <c r="O37" s="14">
        <f>IF($A37="","",F37*Parametros!$H$22)</f>
        <v/>
      </c>
      <c r="P37" s="14">
        <f>IF($A37="","",F37*Parametros!$B$17)</f>
        <v/>
      </c>
      <c r="Q37" s="14">
        <f>IF($A37="","",D37*Parametros!$H$23)</f>
        <v/>
      </c>
      <c r="R37" s="14">
        <f>IF($A37="","",H37*Parametros!$H$24)</f>
        <v/>
      </c>
      <c r="S37" s="14">
        <f>IF($A37="","",IFERROR(INDEX(Confeccion!$B$5:$B$80,MATCH(G37,Confeccion!$A$5:$A$80,0)),0))</f>
        <v/>
      </c>
      <c r="T37" s="15">
        <f>IF($A37="","",SUM(M37:S37)+I37)</f>
        <v/>
      </c>
      <c r="U37" s="14">
        <f>IF($A37="","",IF(J37="","",J37*Parametros!$B$13))</f>
        <v/>
      </c>
      <c r="V37" s="14">
        <f>IF($A37="","",IF(J37="","",J37*Parametros!$B$14))</f>
        <v/>
      </c>
      <c r="W37" s="15">
        <f>IF($A37="","",IF(J37="","",J37-T37-U37-V37))</f>
        <v/>
      </c>
      <c r="X37" s="16">
        <f>IF($A37="","",IF(J37="","",W37/J37))</f>
        <v/>
      </c>
      <c r="Y37" s="14">
        <f>IF($A37="","",IF(Parametros!$B$15&gt;=1,"",T37/(1-Parametros!$B$15)))</f>
        <v/>
      </c>
      <c r="Z37" s="14">
        <f>IF($A37="","",IF(Parametros!$B$15+Parametros!$B$16&gt;=1,"",T37/(1-Parametros!$B$15-Parametros!$B$16)))</f>
        <v/>
      </c>
      <c r="AA37" s="17">
        <f>IF($A37="","",IF(J37="","Falta precio",IF(W37&lt;0,"PIERDE",IF(X37&lt;Parametros!$B$16,"BAJO META","OK"))))</f>
        <v/>
      </c>
      <c r="AB37" s="18">
        <f>IF($A37="","",IF(OR(C37="",D37=""),"Falta tela o consumo. ","")&amp;IF(AND(C37&lt;&gt;"",M37=0),"Tela sin precio. ","")&amp;IF(S37=0,"Confección sin valor. ","")&amp;IF(J37="","Falta precio de venta. ",""))</f>
        <v/>
      </c>
    </row>
    <row r="38">
      <c r="A38" s="9" t="n"/>
      <c r="B38" s="9" t="n"/>
      <c r="C38" s="9" t="n"/>
      <c r="D38" s="10" t="n"/>
      <c r="E38" s="11" t="n"/>
      <c r="F38" s="11" t="n"/>
      <c r="G38" s="9" t="n"/>
      <c r="H38" s="9" t="n"/>
      <c r="I38" s="12" t="n"/>
      <c r="J38" s="12" t="n"/>
      <c r="K38" s="9" t="n"/>
      <c r="L38" s="13" t="n"/>
      <c r="M38" s="14">
        <f>IF($A38="","",IFERROR(D38*INDEX(Insumos!$D$6:$D$98,MATCH(C38,Insumos!$A$6:$A$98,0)),0))</f>
        <v/>
      </c>
      <c r="N38" s="14">
        <f>IF($A38="","",E38*Parametros!$H$21)</f>
        <v/>
      </c>
      <c r="O38" s="14">
        <f>IF($A38="","",F38*Parametros!$H$22)</f>
        <v/>
      </c>
      <c r="P38" s="14">
        <f>IF($A38="","",F38*Parametros!$B$17)</f>
        <v/>
      </c>
      <c r="Q38" s="14">
        <f>IF($A38="","",D38*Parametros!$H$23)</f>
        <v/>
      </c>
      <c r="R38" s="14">
        <f>IF($A38="","",H38*Parametros!$H$24)</f>
        <v/>
      </c>
      <c r="S38" s="14">
        <f>IF($A38="","",IFERROR(INDEX(Confeccion!$B$5:$B$80,MATCH(G38,Confeccion!$A$5:$A$80,0)),0))</f>
        <v/>
      </c>
      <c r="T38" s="15">
        <f>IF($A38="","",SUM(M38:S38)+I38)</f>
        <v/>
      </c>
      <c r="U38" s="14">
        <f>IF($A38="","",IF(J38="","",J38*Parametros!$B$13))</f>
        <v/>
      </c>
      <c r="V38" s="14">
        <f>IF($A38="","",IF(J38="","",J38*Parametros!$B$14))</f>
        <v/>
      </c>
      <c r="W38" s="15">
        <f>IF($A38="","",IF(J38="","",J38-T38-U38-V38))</f>
        <v/>
      </c>
      <c r="X38" s="16">
        <f>IF($A38="","",IF(J38="","",W38/J38))</f>
        <v/>
      </c>
      <c r="Y38" s="14">
        <f>IF($A38="","",IF(Parametros!$B$15&gt;=1,"",T38/(1-Parametros!$B$15)))</f>
        <v/>
      </c>
      <c r="Z38" s="14">
        <f>IF($A38="","",IF(Parametros!$B$15+Parametros!$B$16&gt;=1,"",T38/(1-Parametros!$B$15-Parametros!$B$16)))</f>
        <v/>
      </c>
      <c r="AA38" s="17">
        <f>IF($A38="","",IF(J38="","Falta precio",IF(W38&lt;0,"PIERDE",IF(X38&lt;Parametros!$B$16,"BAJO META","OK"))))</f>
        <v/>
      </c>
      <c r="AB38" s="18">
        <f>IF($A38="","",IF(OR(C38="",D38=""),"Falta tela o consumo. ","")&amp;IF(AND(C38&lt;&gt;"",M38=0),"Tela sin precio. ","")&amp;IF(S38=0,"Confección sin valor. ","")&amp;IF(J38="","Falta precio de venta. ",""))</f>
        <v/>
      </c>
    </row>
    <row r="39">
      <c r="A39" s="9" t="n"/>
      <c r="B39" s="9" t="n"/>
      <c r="C39" s="9" t="n"/>
      <c r="D39" s="10" t="n"/>
      <c r="E39" s="11" t="n"/>
      <c r="F39" s="11" t="n"/>
      <c r="G39" s="9" t="n"/>
      <c r="H39" s="9" t="n"/>
      <c r="I39" s="12" t="n"/>
      <c r="J39" s="12" t="n"/>
      <c r="K39" s="9" t="n"/>
      <c r="L39" s="13" t="n"/>
      <c r="M39" s="14">
        <f>IF($A39="","",IFERROR(D39*INDEX(Insumos!$D$6:$D$98,MATCH(C39,Insumos!$A$6:$A$98,0)),0))</f>
        <v/>
      </c>
      <c r="N39" s="14">
        <f>IF($A39="","",E39*Parametros!$H$21)</f>
        <v/>
      </c>
      <c r="O39" s="14">
        <f>IF($A39="","",F39*Parametros!$H$22)</f>
        <v/>
      </c>
      <c r="P39" s="14">
        <f>IF($A39="","",F39*Parametros!$B$17)</f>
        <v/>
      </c>
      <c r="Q39" s="14">
        <f>IF($A39="","",D39*Parametros!$H$23)</f>
        <v/>
      </c>
      <c r="R39" s="14">
        <f>IF($A39="","",H39*Parametros!$H$24)</f>
        <v/>
      </c>
      <c r="S39" s="14">
        <f>IF($A39="","",IFERROR(INDEX(Confeccion!$B$5:$B$80,MATCH(G39,Confeccion!$A$5:$A$80,0)),0))</f>
        <v/>
      </c>
      <c r="T39" s="15">
        <f>IF($A39="","",SUM(M39:S39)+I39)</f>
        <v/>
      </c>
      <c r="U39" s="14">
        <f>IF($A39="","",IF(J39="","",J39*Parametros!$B$13))</f>
        <v/>
      </c>
      <c r="V39" s="14">
        <f>IF($A39="","",IF(J39="","",J39*Parametros!$B$14))</f>
        <v/>
      </c>
      <c r="W39" s="15">
        <f>IF($A39="","",IF(J39="","",J39-T39-U39-V39))</f>
        <v/>
      </c>
      <c r="X39" s="16">
        <f>IF($A39="","",IF(J39="","",W39/J39))</f>
        <v/>
      </c>
      <c r="Y39" s="14">
        <f>IF($A39="","",IF(Parametros!$B$15&gt;=1,"",T39/(1-Parametros!$B$15)))</f>
        <v/>
      </c>
      <c r="Z39" s="14">
        <f>IF($A39="","",IF(Parametros!$B$15+Parametros!$B$16&gt;=1,"",T39/(1-Parametros!$B$15-Parametros!$B$16)))</f>
        <v/>
      </c>
      <c r="AA39" s="17">
        <f>IF($A39="","",IF(J39="","Falta precio",IF(W39&lt;0,"PIERDE",IF(X39&lt;Parametros!$B$16,"BAJO META","OK"))))</f>
        <v/>
      </c>
      <c r="AB39" s="18">
        <f>IF($A39="","",IF(OR(C39="",D39=""),"Falta tela o consumo. ","")&amp;IF(AND(C39&lt;&gt;"",M39=0),"Tela sin precio. ","")&amp;IF(S39=0,"Confección sin valor. ","")&amp;IF(J39="","Falta precio de venta. ",""))</f>
        <v/>
      </c>
    </row>
    <row r="40">
      <c r="A40" s="9" t="n"/>
      <c r="B40" s="9" t="n"/>
      <c r="C40" s="9" t="n"/>
      <c r="D40" s="10" t="n"/>
      <c r="E40" s="11" t="n"/>
      <c r="F40" s="11" t="n"/>
      <c r="G40" s="9" t="n"/>
      <c r="H40" s="9" t="n"/>
      <c r="I40" s="12" t="n"/>
      <c r="J40" s="12" t="n"/>
      <c r="K40" s="9" t="n"/>
      <c r="L40" s="13" t="n"/>
      <c r="M40" s="14">
        <f>IF($A40="","",IFERROR(D40*INDEX(Insumos!$D$6:$D$98,MATCH(C40,Insumos!$A$6:$A$98,0)),0))</f>
        <v/>
      </c>
      <c r="N40" s="14">
        <f>IF($A40="","",E40*Parametros!$H$21)</f>
        <v/>
      </c>
      <c r="O40" s="14">
        <f>IF($A40="","",F40*Parametros!$H$22)</f>
        <v/>
      </c>
      <c r="P40" s="14">
        <f>IF($A40="","",F40*Parametros!$B$17)</f>
        <v/>
      </c>
      <c r="Q40" s="14">
        <f>IF($A40="","",D40*Parametros!$H$23)</f>
        <v/>
      </c>
      <c r="R40" s="14">
        <f>IF($A40="","",H40*Parametros!$H$24)</f>
        <v/>
      </c>
      <c r="S40" s="14">
        <f>IF($A40="","",IFERROR(INDEX(Confeccion!$B$5:$B$80,MATCH(G40,Confeccion!$A$5:$A$80,0)),0))</f>
        <v/>
      </c>
      <c r="T40" s="15">
        <f>IF($A40="","",SUM(M40:S40)+I40)</f>
        <v/>
      </c>
      <c r="U40" s="14">
        <f>IF($A40="","",IF(J40="","",J40*Parametros!$B$13))</f>
        <v/>
      </c>
      <c r="V40" s="14">
        <f>IF($A40="","",IF(J40="","",J40*Parametros!$B$14))</f>
        <v/>
      </c>
      <c r="W40" s="15">
        <f>IF($A40="","",IF(J40="","",J40-T40-U40-V40))</f>
        <v/>
      </c>
      <c r="X40" s="16">
        <f>IF($A40="","",IF(J40="","",W40/J40))</f>
        <v/>
      </c>
      <c r="Y40" s="14">
        <f>IF($A40="","",IF(Parametros!$B$15&gt;=1,"",T40/(1-Parametros!$B$15)))</f>
        <v/>
      </c>
      <c r="Z40" s="14">
        <f>IF($A40="","",IF(Parametros!$B$15+Parametros!$B$16&gt;=1,"",T40/(1-Parametros!$B$15-Parametros!$B$16)))</f>
        <v/>
      </c>
      <c r="AA40" s="17">
        <f>IF($A40="","",IF(J40="","Falta precio",IF(W40&lt;0,"PIERDE",IF(X40&lt;Parametros!$B$16,"BAJO META","OK"))))</f>
        <v/>
      </c>
      <c r="AB40" s="18">
        <f>IF($A40="","",IF(OR(C40="",D40=""),"Falta tela o consumo. ","")&amp;IF(AND(C40&lt;&gt;"",M40=0),"Tela sin precio. ","")&amp;IF(S40=0,"Confección sin valor. ","")&amp;IF(J40="","Falta precio de venta. ",""))</f>
        <v/>
      </c>
    </row>
    <row r="41">
      <c r="A41" s="9" t="n"/>
      <c r="B41" s="9" t="n"/>
      <c r="C41" s="9" t="n"/>
      <c r="D41" s="10" t="n"/>
      <c r="E41" s="11" t="n"/>
      <c r="F41" s="11" t="n"/>
      <c r="G41" s="9" t="n"/>
      <c r="H41" s="9" t="n"/>
      <c r="I41" s="12" t="n"/>
      <c r="J41" s="12" t="n"/>
      <c r="K41" s="9" t="n"/>
      <c r="L41" s="13" t="n"/>
      <c r="M41" s="14">
        <f>IF($A41="","",IFERROR(D41*INDEX(Insumos!$D$6:$D$98,MATCH(C41,Insumos!$A$6:$A$98,0)),0))</f>
        <v/>
      </c>
      <c r="N41" s="14">
        <f>IF($A41="","",E41*Parametros!$H$21)</f>
        <v/>
      </c>
      <c r="O41" s="14">
        <f>IF($A41="","",F41*Parametros!$H$22)</f>
        <v/>
      </c>
      <c r="P41" s="14">
        <f>IF($A41="","",F41*Parametros!$B$17)</f>
        <v/>
      </c>
      <c r="Q41" s="14">
        <f>IF($A41="","",D41*Parametros!$H$23)</f>
        <v/>
      </c>
      <c r="R41" s="14">
        <f>IF($A41="","",H41*Parametros!$H$24)</f>
        <v/>
      </c>
      <c r="S41" s="14">
        <f>IF($A41="","",IFERROR(INDEX(Confeccion!$B$5:$B$80,MATCH(G41,Confeccion!$A$5:$A$80,0)),0))</f>
        <v/>
      </c>
      <c r="T41" s="15">
        <f>IF($A41="","",SUM(M41:S41)+I41)</f>
        <v/>
      </c>
      <c r="U41" s="14">
        <f>IF($A41="","",IF(J41="","",J41*Parametros!$B$13))</f>
        <v/>
      </c>
      <c r="V41" s="14">
        <f>IF($A41="","",IF(J41="","",J41*Parametros!$B$14))</f>
        <v/>
      </c>
      <c r="W41" s="15">
        <f>IF($A41="","",IF(J41="","",J41-T41-U41-V41))</f>
        <v/>
      </c>
      <c r="X41" s="16">
        <f>IF($A41="","",IF(J41="","",W41/J41))</f>
        <v/>
      </c>
      <c r="Y41" s="14">
        <f>IF($A41="","",IF(Parametros!$B$15&gt;=1,"",T41/(1-Parametros!$B$15)))</f>
        <v/>
      </c>
      <c r="Z41" s="14">
        <f>IF($A41="","",IF(Parametros!$B$15+Parametros!$B$16&gt;=1,"",T41/(1-Parametros!$B$15-Parametros!$B$16)))</f>
        <v/>
      </c>
      <c r="AA41" s="17">
        <f>IF($A41="","",IF(J41="","Falta precio",IF(W41&lt;0,"PIERDE",IF(X41&lt;Parametros!$B$16,"BAJO META","OK"))))</f>
        <v/>
      </c>
      <c r="AB41" s="18">
        <f>IF($A41="","",IF(OR(C41="",D41=""),"Falta tela o consumo. ","")&amp;IF(AND(C41&lt;&gt;"",M41=0),"Tela sin precio. ","")&amp;IF(S41=0,"Confección sin valor. ","")&amp;IF(J41="","Falta precio de venta. ",""))</f>
        <v/>
      </c>
    </row>
    <row r="42">
      <c r="A42" s="9" t="n"/>
      <c r="B42" s="9" t="n"/>
      <c r="C42" s="9" t="n"/>
      <c r="D42" s="10" t="n"/>
      <c r="E42" s="11" t="n"/>
      <c r="F42" s="11" t="n"/>
      <c r="G42" s="9" t="n"/>
      <c r="H42" s="9" t="n"/>
      <c r="I42" s="12" t="n"/>
      <c r="J42" s="12" t="n"/>
      <c r="K42" s="9" t="n"/>
      <c r="L42" s="13" t="n"/>
      <c r="M42" s="14">
        <f>IF($A42="","",IFERROR(D42*INDEX(Insumos!$D$6:$D$98,MATCH(C42,Insumos!$A$6:$A$98,0)),0))</f>
        <v/>
      </c>
      <c r="N42" s="14">
        <f>IF($A42="","",E42*Parametros!$H$21)</f>
        <v/>
      </c>
      <c r="O42" s="14">
        <f>IF($A42="","",F42*Parametros!$H$22)</f>
        <v/>
      </c>
      <c r="P42" s="14">
        <f>IF($A42="","",F42*Parametros!$B$17)</f>
        <v/>
      </c>
      <c r="Q42" s="14">
        <f>IF($A42="","",D42*Parametros!$H$23)</f>
        <v/>
      </c>
      <c r="R42" s="14">
        <f>IF($A42="","",H42*Parametros!$H$24)</f>
        <v/>
      </c>
      <c r="S42" s="14">
        <f>IF($A42="","",IFERROR(INDEX(Confeccion!$B$5:$B$80,MATCH(G42,Confeccion!$A$5:$A$80,0)),0))</f>
        <v/>
      </c>
      <c r="T42" s="15">
        <f>IF($A42="","",SUM(M42:S42)+I42)</f>
        <v/>
      </c>
      <c r="U42" s="14">
        <f>IF($A42="","",IF(J42="","",J42*Parametros!$B$13))</f>
        <v/>
      </c>
      <c r="V42" s="14">
        <f>IF($A42="","",IF(J42="","",J42*Parametros!$B$14))</f>
        <v/>
      </c>
      <c r="W42" s="15">
        <f>IF($A42="","",IF(J42="","",J42-T42-U42-V42))</f>
        <v/>
      </c>
      <c r="X42" s="16">
        <f>IF($A42="","",IF(J42="","",W42/J42))</f>
        <v/>
      </c>
      <c r="Y42" s="14">
        <f>IF($A42="","",IF(Parametros!$B$15&gt;=1,"",T42/(1-Parametros!$B$15)))</f>
        <v/>
      </c>
      <c r="Z42" s="14">
        <f>IF($A42="","",IF(Parametros!$B$15+Parametros!$B$16&gt;=1,"",T42/(1-Parametros!$B$15-Parametros!$B$16)))</f>
        <v/>
      </c>
      <c r="AA42" s="17">
        <f>IF($A42="","",IF(J42="","Falta precio",IF(W42&lt;0,"PIERDE",IF(X42&lt;Parametros!$B$16,"BAJO META","OK"))))</f>
        <v/>
      </c>
      <c r="AB42" s="18">
        <f>IF($A42="","",IF(OR(C42="",D42=""),"Falta tela o consumo. ","")&amp;IF(AND(C42&lt;&gt;"",M42=0),"Tela sin precio. ","")&amp;IF(S42=0,"Confección sin valor. ","")&amp;IF(J42="","Falta precio de venta. ",""))</f>
        <v/>
      </c>
    </row>
    <row r="43">
      <c r="A43" s="9" t="n"/>
      <c r="B43" s="9" t="n"/>
      <c r="C43" s="9" t="n"/>
      <c r="D43" s="10" t="n"/>
      <c r="E43" s="11" t="n"/>
      <c r="F43" s="11" t="n"/>
      <c r="G43" s="9" t="n"/>
      <c r="H43" s="9" t="n"/>
      <c r="I43" s="12" t="n"/>
      <c r="J43" s="12" t="n"/>
      <c r="K43" s="9" t="n"/>
      <c r="L43" s="13" t="n"/>
      <c r="M43" s="14">
        <f>IF($A43="","",IFERROR(D43*INDEX(Insumos!$D$6:$D$98,MATCH(C43,Insumos!$A$6:$A$98,0)),0))</f>
        <v/>
      </c>
      <c r="N43" s="14">
        <f>IF($A43="","",E43*Parametros!$H$21)</f>
        <v/>
      </c>
      <c r="O43" s="14">
        <f>IF($A43="","",F43*Parametros!$H$22)</f>
        <v/>
      </c>
      <c r="P43" s="14">
        <f>IF($A43="","",F43*Parametros!$B$17)</f>
        <v/>
      </c>
      <c r="Q43" s="14">
        <f>IF($A43="","",D43*Parametros!$H$23)</f>
        <v/>
      </c>
      <c r="R43" s="14">
        <f>IF($A43="","",H43*Parametros!$H$24)</f>
        <v/>
      </c>
      <c r="S43" s="14">
        <f>IF($A43="","",IFERROR(INDEX(Confeccion!$B$5:$B$80,MATCH(G43,Confeccion!$A$5:$A$80,0)),0))</f>
        <v/>
      </c>
      <c r="T43" s="15">
        <f>IF($A43="","",SUM(M43:S43)+I43)</f>
        <v/>
      </c>
      <c r="U43" s="14">
        <f>IF($A43="","",IF(J43="","",J43*Parametros!$B$13))</f>
        <v/>
      </c>
      <c r="V43" s="14">
        <f>IF($A43="","",IF(J43="","",J43*Parametros!$B$14))</f>
        <v/>
      </c>
      <c r="W43" s="15">
        <f>IF($A43="","",IF(J43="","",J43-T43-U43-V43))</f>
        <v/>
      </c>
      <c r="X43" s="16">
        <f>IF($A43="","",IF(J43="","",W43/J43))</f>
        <v/>
      </c>
      <c r="Y43" s="14">
        <f>IF($A43="","",IF(Parametros!$B$15&gt;=1,"",T43/(1-Parametros!$B$15)))</f>
        <v/>
      </c>
      <c r="Z43" s="14">
        <f>IF($A43="","",IF(Parametros!$B$15+Parametros!$B$16&gt;=1,"",T43/(1-Parametros!$B$15-Parametros!$B$16)))</f>
        <v/>
      </c>
      <c r="AA43" s="17">
        <f>IF($A43="","",IF(J43="","Falta precio",IF(W43&lt;0,"PIERDE",IF(X43&lt;Parametros!$B$16,"BAJO META","OK"))))</f>
        <v/>
      </c>
      <c r="AB43" s="18">
        <f>IF($A43="","",IF(OR(C43="",D43=""),"Falta tela o consumo. ","")&amp;IF(AND(C43&lt;&gt;"",M43=0),"Tela sin precio. ","")&amp;IF(S43=0,"Confección sin valor. ","")&amp;IF(J43="","Falta precio de venta. ",""))</f>
        <v/>
      </c>
    </row>
    <row r="44">
      <c r="A44" s="9" t="n"/>
      <c r="B44" s="9" t="n"/>
      <c r="C44" s="9" t="n"/>
      <c r="D44" s="10" t="n"/>
      <c r="E44" s="11" t="n"/>
      <c r="F44" s="11" t="n"/>
      <c r="G44" s="9" t="n"/>
      <c r="H44" s="9" t="n"/>
      <c r="I44" s="12" t="n"/>
      <c r="J44" s="12" t="n"/>
      <c r="K44" s="9" t="n"/>
      <c r="L44" s="13" t="n"/>
      <c r="M44" s="14">
        <f>IF($A44="","",IFERROR(D44*INDEX(Insumos!$D$6:$D$98,MATCH(C44,Insumos!$A$6:$A$98,0)),0))</f>
        <v/>
      </c>
      <c r="N44" s="14">
        <f>IF($A44="","",E44*Parametros!$H$21)</f>
        <v/>
      </c>
      <c r="O44" s="14">
        <f>IF($A44="","",F44*Parametros!$H$22)</f>
        <v/>
      </c>
      <c r="P44" s="14">
        <f>IF($A44="","",F44*Parametros!$B$17)</f>
        <v/>
      </c>
      <c r="Q44" s="14">
        <f>IF($A44="","",D44*Parametros!$H$23)</f>
        <v/>
      </c>
      <c r="R44" s="14">
        <f>IF($A44="","",H44*Parametros!$H$24)</f>
        <v/>
      </c>
      <c r="S44" s="14">
        <f>IF($A44="","",IFERROR(INDEX(Confeccion!$B$5:$B$80,MATCH(G44,Confeccion!$A$5:$A$80,0)),0))</f>
        <v/>
      </c>
      <c r="T44" s="15">
        <f>IF($A44="","",SUM(M44:S44)+I44)</f>
        <v/>
      </c>
      <c r="U44" s="14">
        <f>IF($A44="","",IF(J44="","",J44*Parametros!$B$13))</f>
        <v/>
      </c>
      <c r="V44" s="14">
        <f>IF($A44="","",IF(J44="","",J44*Parametros!$B$14))</f>
        <v/>
      </c>
      <c r="W44" s="15">
        <f>IF($A44="","",IF(J44="","",J44-T44-U44-V44))</f>
        <v/>
      </c>
      <c r="X44" s="16">
        <f>IF($A44="","",IF(J44="","",W44/J44))</f>
        <v/>
      </c>
      <c r="Y44" s="14">
        <f>IF($A44="","",IF(Parametros!$B$15&gt;=1,"",T44/(1-Parametros!$B$15)))</f>
        <v/>
      </c>
      <c r="Z44" s="14">
        <f>IF($A44="","",IF(Parametros!$B$15+Parametros!$B$16&gt;=1,"",T44/(1-Parametros!$B$15-Parametros!$B$16)))</f>
        <v/>
      </c>
      <c r="AA44" s="17">
        <f>IF($A44="","",IF(J44="","Falta precio",IF(W44&lt;0,"PIERDE",IF(X44&lt;Parametros!$B$16,"BAJO META","OK"))))</f>
        <v/>
      </c>
      <c r="AB44" s="18">
        <f>IF($A44="","",IF(OR(C44="",D44=""),"Falta tela o consumo. ","")&amp;IF(AND(C44&lt;&gt;"",M44=0),"Tela sin precio. ","")&amp;IF(S44=0,"Confección sin valor. ","")&amp;IF(J44="","Falta precio de venta. ",""))</f>
        <v/>
      </c>
    </row>
    <row r="45">
      <c r="A45" s="9" t="n"/>
      <c r="B45" s="9" t="n"/>
      <c r="C45" s="9" t="n"/>
      <c r="D45" s="10" t="n"/>
      <c r="E45" s="11" t="n"/>
      <c r="F45" s="11" t="n"/>
      <c r="G45" s="9" t="n"/>
      <c r="H45" s="9" t="n"/>
      <c r="I45" s="12" t="n"/>
      <c r="J45" s="12" t="n"/>
      <c r="K45" s="9" t="n"/>
      <c r="L45" s="13" t="n"/>
      <c r="M45" s="14">
        <f>IF($A45="","",IFERROR(D45*INDEX(Insumos!$D$6:$D$98,MATCH(C45,Insumos!$A$6:$A$98,0)),0))</f>
        <v/>
      </c>
      <c r="N45" s="14">
        <f>IF($A45="","",E45*Parametros!$H$21)</f>
        <v/>
      </c>
      <c r="O45" s="14">
        <f>IF($A45="","",F45*Parametros!$H$22)</f>
        <v/>
      </c>
      <c r="P45" s="14">
        <f>IF($A45="","",F45*Parametros!$B$17)</f>
        <v/>
      </c>
      <c r="Q45" s="14">
        <f>IF($A45="","",D45*Parametros!$H$23)</f>
        <v/>
      </c>
      <c r="R45" s="14">
        <f>IF($A45="","",H45*Parametros!$H$24)</f>
        <v/>
      </c>
      <c r="S45" s="14">
        <f>IF($A45="","",IFERROR(INDEX(Confeccion!$B$5:$B$80,MATCH(G45,Confeccion!$A$5:$A$80,0)),0))</f>
        <v/>
      </c>
      <c r="T45" s="15">
        <f>IF($A45="","",SUM(M45:S45)+I45)</f>
        <v/>
      </c>
      <c r="U45" s="14">
        <f>IF($A45="","",IF(J45="","",J45*Parametros!$B$13))</f>
        <v/>
      </c>
      <c r="V45" s="14">
        <f>IF($A45="","",IF(J45="","",J45*Parametros!$B$14))</f>
        <v/>
      </c>
      <c r="W45" s="15">
        <f>IF($A45="","",IF(J45="","",J45-T45-U45-V45))</f>
        <v/>
      </c>
      <c r="X45" s="16">
        <f>IF($A45="","",IF(J45="","",W45/J45))</f>
        <v/>
      </c>
      <c r="Y45" s="14">
        <f>IF($A45="","",IF(Parametros!$B$15&gt;=1,"",T45/(1-Parametros!$B$15)))</f>
        <v/>
      </c>
      <c r="Z45" s="14">
        <f>IF($A45="","",IF(Parametros!$B$15+Parametros!$B$16&gt;=1,"",T45/(1-Parametros!$B$15-Parametros!$B$16)))</f>
        <v/>
      </c>
      <c r="AA45" s="17">
        <f>IF($A45="","",IF(J45="","Falta precio",IF(W45&lt;0,"PIERDE",IF(X45&lt;Parametros!$B$16,"BAJO META","OK"))))</f>
        <v/>
      </c>
      <c r="AB45" s="18">
        <f>IF($A45="","",IF(OR(C45="",D45=""),"Falta tela o consumo. ","")&amp;IF(AND(C45&lt;&gt;"",M45=0),"Tela sin precio. ","")&amp;IF(S45=0,"Confección sin valor. ","")&amp;IF(J45="","Falta precio de venta. ",""))</f>
        <v/>
      </c>
    </row>
    <row r="46">
      <c r="A46" s="9" t="n"/>
      <c r="B46" s="9" t="n"/>
      <c r="C46" s="9" t="n"/>
      <c r="D46" s="10" t="n"/>
      <c r="E46" s="11" t="n"/>
      <c r="F46" s="11" t="n"/>
      <c r="G46" s="9" t="n"/>
      <c r="H46" s="9" t="n"/>
      <c r="I46" s="12" t="n"/>
      <c r="J46" s="12" t="n"/>
      <c r="K46" s="9" t="n"/>
      <c r="L46" s="13" t="n"/>
      <c r="M46" s="14">
        <f>IF($A46="","",IFERROR(D46*INDEX(Insumos!$D$6:$D$98,MATCH(C46,Insumos!$A$6:$A$98,0)),0))</f>
        <v/>
      </c>
      <c r="N46" s="14">
        <f>IF($A46="","",E46*Parametros!$H$21)</f>
        <v/>
      </c>
      <c r="O46" s="14">
        <f>IF($A46="","",F46*Parametros!$H$22)</f>
        <v/>
      </c>
      <c r="P46" s="14">
        <f>IF($A46="","",F46*Parametros!$B$17)</f>
        <v/>
      </c>
      <c r="Q46" s="14">
        <f>IF($A46="","",D46*Parametros!$H$23)</f>
        <v/>
      </c>
      <c r="R46" s="14">
        <f>IF($A46="","",H46*Parametros!$H$24)</f>
        <v/>
      </c>
      <c r="S46" s="14">
        <f>IF($A46="","",IFERROR(INDEX(Confeccion!$B$5:$B$80,MATCH(G46,Confeccion!$A$5:$A$80,0)),0))</f>
        <v/>
      </c>
      <c r="T46" s="15">
        <f>IF($A46="","",SUM(M46:S46)+I46)</f>
        <v/>
      </c>
      <c r="U46" s="14">
        <f>IF($A46="","",IF(J46="","",J46*Parametros!$B$13))</f>
        <v/>
      </c>
      <c r="V46" s="14">
        <f>IF($A46="","",IF(J46="","",J46*Parametros!$B$14))</f>
        <v/>
      </c>
      <c r="W46" s="15">
        <f>IF($A46="","",IF(J46="","",J46-T46-U46-V46))</f>
        <v/>
      </c>
      <c r="X46" s="16">
        <f>IF($A46="","",IF(J46="","",W46/J46))</f>
        <v/>
      </c>
      <c r="Y46" s="14">
        <f>IF($A46="","",IF(Parametros!$B$15&gt;=1,"",T46/(1-Parametros!$B$15)))</f>
        <v/>
      </c>
      <c r="Z46" s="14">
        <f>IF($A46="","",IF(Parametros!$B$15+Parametros!$B$16&gt;=1,"",T46/(1-Parametros!$B$15-Parametros!$B$16)))</f>
        <v/>
      </c>
      <c r="AA46" s="17">
        <f>IF($A46="","",IF(J46="","Falta precio",IF(W46&lt;0,"PIERDE",IF(X46&lt;Parametros!$B$16,"BAJO META","OK"))))</f>
        <v/>
      </c>
      <c r="AB46" s="18">
        <f>IF($A46="","",IF(OR(C46="",D46=""),"Falta tela o consumo. ","")&amp;IF(AND(C46&lt;&gt;"",M46=0),"Tela sin precio. ","")&amp;IF(S46=0,"Confección sin valor. ","")&amp;IF(J46="","Falta precio de venta. ",""))</f>
        <v/>
      </c>
    </row>
    <row r="47">
      <c r="A47" s="9" t="n"/>
      <c r="B47" s="9" t="n"/>
      <c r="C47" s="9" t="n"/>
      <c r="D47" s="10" t="n"/>
      <c r="E47" s="11" t="n"/>
      <c r="F47" s="11" t="n"/>
      <c r="G47" s="9" t="n"/>
      <c r="H47" s="9" t="n"/>
      <c r="I47" s="12" t="n"/>
      <c r="J47" s="12" t="n"/>
      <c r="K47" s="9" t="n"/>
      <c r="L47" s="13" t="n"/>
      <c r="M47" s="14">
        <f>IF($A47="","",IFERROR(D47*INDEX(Insumos!$D$6:$D$98,MATCH(C47,Insumos!$A$6:$A$98,0)),0))</f>
        <v/>
      </c>
      <c r="N47" s="14">
        <f>IF($A47="","",E47*Parametros!$H$21)</f>
        <v/>
      </c>
      <c r="O47" s="14">
        <f>IF($A47="","",F47*Parametros!$H$22)</f>
        <v/>
      </c>
      <c r="P47" s="14">
        <f>IF($A47="","",F47*Parametros!$B$17)</f>
        <v/>
      </c>
      <c r="Q47" s="14">
        <f>IF($A47="","",D47*Parametros!$H$23)</f>
        <v/>
      </c>
      <c r="R47" s="14">
        <f>IF($A47="","",H47*Parametros!$H$24)</f>
        <v/>
      </c>
      <c r="S47" s="14">
        <f>IF($A47="","",IFERROR(INDEX(Confeccion!$B$5:$B$80,MATCH(G47,Confeccion!$A$5:$A$80,0)),0))</f>
        <v/>
      </c>
      <c r="T47" s="15">
        <f>IF($A47="","",SUM(M47:S47)+I47)</f>
        <v/>
      </c>
      <c r="U47" s="14">
        <f>IF($A47="","",IF(J47="","",J47*Parametros!$B$13))</f>
        <v/>
      </c>
      <c r="V47" s="14">
        <f>IF($A47="","",IF(J47="","",J47*Parametros!$B$14))</f>
        <v/>
      </c>
      <c r="W47" s="15">
        <f>IF($A47="","",IF(J47="","",J47-T47-U47-V47))</f>
        <v/>
      </c>
      <c r="X47" s="16">
        <f>IF($A47="","",IF(J47="","",W47/J47))</f>
        <v/>
      </c>
      <c r="Y47" s="14">
        <f>IF($A47="","",IF(Parametros!$B$15&gt;=1,"",T47/(1-Parametros!$B$15)))</f>
        <v/>
      </c>
      <c r="Z47" s="14">
        <f>IF($A47="","",IF(Parametros!$B$15+Parametros!$B$16&gt;=1,"",T47/(1-Parametros!$B$15-Parametros!$B$16)))</f>
        <v/>
      </c>
      <c r="AA47" s="17">
        <f>IF($A47="","",IF(J47="","Falta precio",IF(W47&lt;0,"PIERDE",IF(X47&lt;Parametros!$B$16,"BAJO META","OK"))))</f>
        <v/>
      </c>
      <c r="AB47" s="18">
        <f>IF($A47="","",IF(OR(C47="",D47=""),"Falta tela o consumo. ","")&amp;IF(AND(C47&lt;&gt;"",M47=0),"Tela sin precio. ","")&amp;IF(S47=0,"Confección sin valor. ","")&amp;IF(J47="","Falta precio de venta. ",""))</f>
        <v/>
      </c>
    </row>
    <row r="48">
      <c r="A48" s="9" t="n"/>
      <c r="B48" s="9" t="n"/>
      <c r="C48" s="9" t="n"/>
      <c r="D48" s="10" t="n"/>
      <c r="E48" s="11" t="n"/>
      <c r="F48" s="11" t="n"/>
      <c r="G48" s="9" t="n"/>
      <c r="H48" s="9" t="n"/>
      <c r="I48" s="12" t="n"/>
      <c r="J48" s="12" t="n"/>
      <c r="K48" s="9" t="n"/>
      <c r="L48" s="13" t="n"/>
      <c r="M48" s="14">
        <f>IF($A48="","",IFERROR(D48*INDEX(Insumos!$D$6:$D$98,MATCH(C48,Insumos!$A$6:$A$98,0)),0))</f>
        <v/>
      </c>
      <c r="N48" s="14">
        <f>IF($A48="","",E48*Parametros!$H$21)</f>
        <v/>
      </c>
      <c r="O48" s="14">
        <f>IF($A48="","",F48*Parametros!$H$22)</f>
        <v/>
      </c>
      <c r="P48" s="14">
        <f>IF($A48="","",F48*Parametros!$B$17)</f>
        <v/>
      </c>
      <c r="Q48" s="14">
        <f>IF($A48="","",D48*Parametros!$H$23)</f>
        <v/>
      </c>
      <c r="R48" s="14">
        <f>IF($A48="","",H48*Parametros!$H$24)</f>
        <v/>
      </c>
      <c r="S48" s="14">
        <f>IF($A48="","",IFERROR(INDEX(Confeccion!$B$5:$B$80,MATCH(G48,Confeccion!$A$5:$A$80,0)),0))</f>
        <v/>
      </c>
      <c r="T48" s="15">
        <f>IF($A48="","",SUM(M48:S48)+I48)</f>
        <v/>
      </c>
      <c r="U48" s="14">
        <f>IF($A48="","",IF(J48="","",J48*Parametros!$B$13))</f>
        <v/>
      </c>
      <c r="V48" s="14">
        <f>IF($A48="","",IF(J48="","",J48*Parametros!$B$14))</f>
        <v/>
      </c>
      <c r="W48" s="15">
        <f>IF($A48="","",IF(J48="","",J48-T48-U48-V48))</f>
        <v/>
      </c>
      <c r="X48" s="16">
        <f>IF($A48="","",IF(J48="","",W48/J48))</f>
        <v/>
      </c>
      <c r="Y48" s="14">
        <f>IF($A48="","",IF(Parametros!$B$15&gt;=1,"",T48/(1-Parametros!$B$15)))</f>
        <v/>
      </c>
      <c r="Z48" s="14">
        <f>IF($A48="","",IF(Parametros!$B$15+Parametros!$B$16&gt;=1,"",T48/(1-Parametros!$B$15-Parametros!$B$16)))</f>
        <v/>
      </c>
      <c r="AA48" s="17">
        <f>IF($A48="","",IF(J48="","Falta precio",IF(W48&lt;0,"PIERDE",IF(X48&lt;Parametros!$B$16,"BAJO META","OK"))))</f>
        <v/>
      </c>
      <c r="AB48" s="18">
        <f>IF($A48="","",IF(OR(C48="",D48=""),"Falta tela o consumo. ","")&amp;IF(AND(C48&lt;&gt;"",M48=0),"Tela sin precio. ","")&amp;IF(S48=0,"Confección sin valor. ","")&amp;IF(J48="","Falta precio de venta. ",""))</f>
        <v/>
      </c>
    </row>
    <row r="49">
      <c r="A49" s="9" t="n"/>
      <c r="B49" s="9" t="n"/>
      <c r="C49" s="9" t="n"/>
      <c r="D49" s="10" t="n"/>
      <c r="E49" s="11" t="n"/>
      <c r="F49" s="11" t="n"/>
      <c r="G49" s="9" t="n"/>
      <c r="H49" s="9" t="n"/>
      <c r="I49" s="12" t="n"/>
      <c r="J49" s="12" t="n"/>
      <c r="K49" s="9" t="n"/>
      <c r="L49" s="13" t="n"/>
      <c r="M49" s="14">
        <f>IF($A49="","",IFERROR(D49*INDEX(Insumos!$D$6:$D$98,MATCH(C49,Insumos!$A$6:$A$98,0)),0))</f>
        <v/>
      </c>
      <c r="N49" s="14">
        <f>IF($A49="","",E49*Parametros!$H$21)</f>
        <v/>
      </c>
      <c r="O49" s="14">
        <f>IF($A49="","",F49*Parametros!$H$22)</f>
        <v/>
      </c>
      <c r="P49" s="14">
        <f>IF($A49="","",F49*Parametros!$B$17)</f>
        <v/>
      </c>
      <c r="Q49" s="14">
        <f>IF($A49="","",D49*Parametros!$H$23)</f>
        <v/>
      </c>
      <c r="R49" s="14">
        <f>IF($A49="","",H49*Parametros!$H$24)</f>
        <v/>
      </c>
      <c r="S49" s="14">
        <f>IF($A49="","",IFERROR(INDEX(Confeccion!$B$5:$B$80,MATCH(G49,Confeccion!$A$5:$A$80,0)),0))</f>
        <v/>
      </c>
      <c r="T49" s="15">
        <f>IF($A49="","",SUM(M49:S49)+I49)</f>
        <v/>
      </c>
      <c r="U49" s="14">
        <f>IF($A49="","",IF(J49="","",J49*Parametros!$B$13))</f>
        <v/>
      </c>
      <c r="V49" s="14">
        <f>IF($A49="","",IF(J49="","",J49*Parametros!$B$14))</f>
        <v/>
      </c>
      <c r="W49" s="15">
        <f>IF($A49="","",IF(J49="","",J49-T49-U49-V49))</f>
        <v/>
      </c>
      <c r="X49" s="16">
        <f>IF($A49="","",IF(J49="","",W49/J49))</f>
        <v/>
      </c>
      <c r="Y49" s="14">
        <f>IF($A49="","",IF(Parametros!$B$15&gt;=1,"",T49/(1-Parametros!$B$15)))</f>
        <v/>
      </c>
      <c r="Z49" s="14">
        <f>IF($A49="","",IF(Parametros!$B$15+Parametros!$B$16&gt;=1,"",T49/(1-Parametros!$B$15-Parametros!$B$16)))</f>
        <v/>
      </c>
      <c r="AA49" s="17">
        <f>IF($A49="","",IF(J49="","Falta precio",IF(W49&lt;0,"PIERDE",IF(X49&lt;Parametros!$B$16,"BAJO META","OK"))))</f>
        <v/>
      </c>
      <c r="AB49" s="18">
        <f>IF($A49="","",IF(OR(C49="",D49=""),"Falta tela o consumo. ","")&amp;IF(AND(C49&lt;&gt;"",M49=0),"Tela sin precio. ","")&amp;IF(S49=0,"Confección sin valor. ","")&amp;IF(J49="","Falta precio de venta. ",""))</f>
        <v/>
      </c>
    </row>
    <row r="50">
      <c r="A50" s="9" t="n"/>
      <c r="B50" s="9" t="n"/>
      <c r="C50" s="9" t="n"/>
      <c r="D50" s="10" t="n"/>
      <c r="E50" s="11" t="n"/>
      <c r="F50" s="11" t="n"/>
      <c r="G50" s="9" t="n"/>
      <c r="H50" s="9" t="n"/>
      <c r="I50" s="12" t="n"/>
      <c r="J50" s="12" t="n"/>
      <c r="K50" s="9" t="n"/>
      <c r="L50" s="13" t="n"/>
      <c r="M50" s="14">
        <f>IF($A50="","",IFERROR(D50*INDEX(Insumos!$D$6:$D$98,MATCH(C50,Insumos!$A$6:$A$98,0)),0))</f>
        <v/>
      </c>
      <c r="N50" s="14">
        <f>IF($A50="","",E50*Parametros!$H$21)</f>
        <v/>
      </c>
      <c r="O50" s="14">
        <f>IF($A50="","",F50*Parametros!$H$22)</f>
        <v/>
      </c>
      <c r="P50" s="14">
        <f>IF($A50="","",F50*Parametros!$B$17)</f>
        <v/>
      </c>
      <c r="Q50" s="14">
        <f>IF($A50="","",D50*Parametros!$H$23)</f>
        <v/>
      </c>
      <c r="R50" s="14">
        <f>IF($A50="","",H50*Parametros!$H$24)</f>
        <v/>
      </c>
      <c r="S50" s="14">
        <f>IF($A50="","",IFERROR(INDEX(Confeccion!$B$5:$B$80,MATCH(G50,Confeccion!$A$5:$A$80,0)),0))</f>
        <v/>
      </c>
      <c r="T50" s="15">
        <f>IF($A50="","",SUM(M50:S50)+I50)</f>
        <v/>
      </c>
      <c r="U50" s="14">
        <f>IF($A50="","",IF(J50="","",J50*Parametros!$B$13))</f>
        <v/>
      </c>
      <c r="V50" s="14">
        <f>IF($A50="","",IF(J50="","",J50*Parametros!$B$14))</f>
        <v/>
      </c>
      <c r="W50" s="15">
        <f>IF($A50="","",IF(J50="","",J50-T50-U50-V50))</f>
        <v/>
      </c>
      <c r="X50" s="16">
        <f>IF($A50="","",IF(J50="","",W50/J50))</f>
        <v/>
      </c>
      <c r="Y50" s="14">
        <f>IF($A50="","",IF(Parametros!$B$15&gt;=1,"",T50/(1-Parametros!$B$15)))</f>
        <v/>
      </c>
      <c r="Z50" s="14">
        <f>IF($A50="","",IF(Parametros!$B$15+Parametros!$B$16&gt;=1,"",T50/(1-Parametros!$B$15-Parametros!$B$16)))</f>
        <v/>
      </c>
      <c r="AA50" s="17">
        <f>IF($A50="","",IF(J50="","Falta precio",IF(W50&lt;0,"PIERDE",IF(X50&lt;Parametros!$B$16,"BAJO META","OK"))))</f>
        <v/>
      </c>
      <c r="AB50" s="18">
        <f>IF($A50="","",IF(OR(C50="",D50=""),"Falta tela o consumo. ","")&amp;IF(AND(C50&lt;&gt;"",M50=0),"Tela sin precio. ","")&amp;IF(S50=0,"Confección sin valor. ","")&amp;IF(J50="","Falta precio de venta. ",""))</f>
        <v/>
      </c>
    </row>
    <row r="51">
      <c r="A51" s="9" t="n"/>
      <c r="B51" s="9" t="n"/>
      <c r="C51" s="9" t="n"/>
      <c r="D51" s="10" t="n"/>
      <c r="E51" s="11" t="n"/>
      <c r="F51" s="11" t="n"/>
      <c r="G51" s="9" t="n"/>
      <c r="H51" s="9" t="n"/>
      <c r="I51" s="12" t="n"/>
      <c r="J51" s="12" t="n"/>
      <c r="K51" s="9" t="n"/>
      <c r="L51" s="13" t="n"/>
      <c r="M51" s="14">
        <f>IF($A51="","",IFERROR(D51*INDEX(Insumos!$D$6:$D$98,MATCH(C51,Insumos!$A$6:$A$98,0)),0))</f>
        <v/>
      </c>
      <c r="N51" s="14">
        <f>IF($A51="","",E51*Parametros!$H$21)</f>
        <v/>
      </c>
      <c r="O51" s="14">
        <f>IF($A51="","",F51*Parametros!$H$22)</f>
        <v/>
      </c>
      <c r="P51" s="14">
        <f>IF($A51="","",F51*Parametros!$B$17)</f>
        <v/>
      </c>
      <c r="Q51" s="14">
        <f>IF($A51="","",D51*Parametros!$H$23)</f>
        <v/>
      </c>
      <c r="R51" s="14">
        <f>IF($A51="","",H51*Parametros!$H$24)</f>
        <v/>
      </c>
      <c r="S51" s="14">
        <f>IF($A51="","",IFERROR(INDEX(Confeccion!$B$5:$B$80,MATCH(G51,Confeccion!$A$5:$A$80,0)),0))</f>
        <v/>
      </c>
      <c r="T51" s="15">
        <f>IF($A51="","",SUM(M51:S51)+I51)</f>
        <v/>
      </c>
      <c r="U51" s="14">
        <f>IF($A51="","",IF(J51="","",J51*Parametros!$B$13))</f>
        <v/>
      </c>
      <c r="V51" s="14">
        <f>IF($A51="","",IF(J51="","",J51*Parametros!$B$14))</f>
        <v/>
      </c>
      <c r="W51" s="15">
        <f>IF($A51="","",IF(J51="","",J51-T51-U51-V51))</f>
        <v/>
      </c>
      <c r="X51" s="16">
        <f>IF($A51="","",IF(J51="","",W51/J51))</f>
        <v/>
      </c>
      <c r="Y51" s="14">
        <f>IF($A51="","",IF(Parametros!$B$15&gt;=1,"",T51/(1-Parametros!$B$15)))</f>
        <v/>
      </c>
      <c r="Z51" s="14">
        <f>IF($A51="","",IF(Parametros!$B$15+Parametros!$B$16&gt;=1,"",T51/(1-Parametros!$B$15-Parametros!$B$16)))</f>
        <v/>
      </c>
      <c r="AA51" s="17">
        <f>IF($A51="","",IF(J51="","Falta precio",IF(W51&lt;0,"PIERDE",IF(X51&lt;Parametros!$B$16,"BAJO META","OK"))))</f>
        <v/>
      </c>
      <c r="AB51" s="18">
        <f>IF($A51="","",IF(OR(C51="",D51=""),"Falta tela o consumo. ","")&amp;IF(AND(C51&lt;&gt;"",M51=0),"Tela sin precio. ","")&amp;IF(S51=0,"Confección sin valor. ","")&amp;IF(J51="","Falta precio de venta. ",""))</f>
        <v/>
      </c>
    </row>
    <row r="52">
      <c r="A52" s="9" t="n"/>
      <c r="B52" s="9" t="n"/>
      <c r="C52" s="9" t="n"/>
      <c r="D52" s="10" t="n"/>
      <c r="E52" s="11" t="n"/>
      <c r="F52" s="11" t="n"/>
      <c r="G52" s="9" t="n"/>
      <c r="H52" s="9" t="n"/>
      <c r="I52" s="12" t="n"/>
      <c r="J52" s="12" t="n"/>
      <c r="K52" s="9" t="n"/>
      <c r="L52" s="13" t="n"/>
      <c r="M52" s="14">
        <f>IF($A52="","",IFERROR(D52*INDEX(Insumos!$D$6:$D$98,MATCH(C52,Insumos!$A$6:$A$98,0)),0))</f>
        <v/>
      </c>
      <c r="N52" s="14">
        <f>IF($A52="","",E52*Parametros!$H$21)</f>
        <v/>
      </c>
      <c r="O52" s="14">
        <f>IF($A52="","",F52*Parametros!$H$22)</f>
        <v/>
      </c>
      <c r="P52" s="14">
        <f>IF($A52="","",F52*Parametros!$B$17)</f>
        <v/>
      </c>
      <c r="Q52" s="14">
        <f>IF($A52="","",D52*Parametros!$H$23)</f>
        <v/>
      </c>
      <c r="R52" s="14">
        <f>IF($A52="","",H52*Parametros!$H$24)</f>
        <v/>
      </c>
      <c r="S52" s="14">
        <f>IF($A52="","",IFERROR(INDEX(Confeccion!$B$5:$B$80,MATCH(G52,Confeccion!$A$5:$A$80,0)),0))</f>
        <v/>
      </c>
      <c r="T52" s="15">
        <f>IF($A52="","",SUM(M52:S52)+I52)</f>
        <v/>
      </c>
      <c r="U52" s="14">
        <f>IF($A52="","",IF(J52="","",J52*Parametros!$B$13))</f>
        <v/>
      </c>
      <c r="V52" s="14">
        <f>IF($A52="","",IF(J52="","",J52*Parametros!$B$14))</f>
        <v/>
      </c>
      <c r="W52" s="15">
        <f>IF($A52="","",IF(J52="","",J52-T52-U52-V52))</f>
        <v/>
      </c>
      <c r="X52" s="16">
        <f>IF($A52="","",IF(J52="","",W52/J52))</f>
        <v/>
      </c>
      <c r="Y52" s="14">
        <f>IF($A52="","",IF(Parametros!$B$15&gt;=1,"",T52/(1-Parametros!$B$15)))</f>
        <v/>
      </c>
      <c r="Z52" s="14">
        <f>IF($A52="","",IF(Parametros!$B$15+Parametros!$B$16&gt;=1,"",T52/(1-Parametros!$B$15-Parametros!$B$16)))</f>
        <v/>
      </c>
      <c r="AA52" s="17">
        <f>IF($A52="","",IF(J52="","Falta precio",IF(W52&lt;0,"PIERDE",IF(X52&lt;Parametros!$B$16,"BAJO META","OK"))))</f>
        <v/>
      </c>
      <c r="AB52" s="18">
        <f>IF($A52="","",IF(OR(C52="",D52=""),"Falta tela o consumo. ","")&amp;IF(AND(C52&lt;&gt;"",M52=0),"Tela sin precio. ","")&amp;IF(S52=0,"Confección sin valor. ","")&amp;IF(J52="","Falta precio de venta. ",""))</f>
        <v/>
      </c>
    </row>
    <row r="53">
      <c r="A53" s="9" t="n"/>
      <c r="B53" s="9" t="n"/>
      <c r="C53" s="9" t="n"/>
      <c r="D53" s="10" t="n"/>
      <c r="E53" s="11" t="n"/>
      <c r="F53" s="11" t="n"/>
      <c r="G53" s="9" t="n"/>
      <c r="H53" s="9" t="n"/>
      <c r="I53" s="12" t="n"/>
      <c r="J53" s="12" t="n"/>
      <c r="K53" s="9" t="n"/>
      <c r="L53" s="13" t="n"/>
      <c r="M53" s="14">
        <f>IF($A53="","",IFERROR(D53*INDEX(Insumos!$D$6:$D$98,MATCH(C53,Insumos!$A$6:$A$98,0)),0))</f>
        <v/>
      </c>
      <c r="N53" s="14">
        <f>IF($A53="","",E53*Parametros!$H$21)</f>
        <v/>
      </c>
      <c r="O53" s="14">
        <f>IF($A53="","",F53*Parametros!$H$22)</f>
        <v/>
      </c>
      <c r="P53" s="14">
        <f>IF($A53="","",F53*Parametros!$B$17)</f>
        <v/>
      </c>
      <c r="Q53" s="14">
        <f>IF($A53="","",D53*Parametros!$H$23)</f>
        <v/>
      </c>
      <c r="R53" s="14">
        <f>IF($A53="","",H53*Parametros!$H$24)</f>
        <v/>
      </c>
      <c r="S53" s="14">
        <f>IF($A53="","",IFERROR(INDEX(Confeccion!$B$5:$B$80,MATCH(G53,Confeccion!$A$5:$A$80,0)),0))</f>
        <v/>
      </c>
      <c r="T53" s="15">
        <f>IF($A53="","",SUM(M53:S53)+I53)</f>
        <v/>
      </c>
      <c r="U53" s="14">
        <f>IF($A53="","",IF(J53="","",J53*Parametros!$B$13))</f>
        <v/>
      </c>
      <c r="V53" s="14">
        <f>IF($A53="","",IF(J53="","",J53*Parametros!$B$14))</f>
        <v/>
      </c>
      <c r="W53" s="15">
        <f>IF($A53="","",IF(J53="","",J53-T53-U53-V53))</f>
        <v/>
      </c>
      <c r="X53" s="16">
        <f>IF($A53="","",IF(J53="","",W53/J53))</f>
        <v/>
      </c>
      <c r="Y53" s="14">
        <f>IF($A53="","",IF(Parametros!$B$15&gt;=1,"",T53/(1-Parametros!$B$15)))</f>
        <v/>
      </c>
      <c r="Z53" s="14">
        <f>IF($A53="","",IF(Parametros!$B$15+Parametros!$B$16&gt;=1,"",T53/(1-Parametros!$B$15-Parametros!$B$16)))</f>
        <v/>
      </c>
      <c r="AA53" s="17">
        <f>IF($A53="","",IF(J53="","Falta precio",IF(W53&lt;0,"PIERDE",IF(X53&lt;Parametros!$B$16,"BAJO META","OK"))))</f>
        <v/>
      </c>
      <c r="AB53" s="18">
        <f>IF($A53="","",IF(OR(C53="",D53=""),"Falta tela o consumo. ","")&amp;IF(AND(C53&lt;&gt;"",M53=0),"Tela sin precio. ","")&amp;IF(S53=0,"Confección sin valor. ","")&amp;IF(J53="","Falta precio de venta. ",""))</f>
        <v/>
      </c>
    </row>
    <row r="54">
      <c r="A54" s="9" t="n"/>
      <c r="B54" s="9" t="n"/>
      <c r="C54" s="9" t="n"/>
      <c r="D54" s="10" t="n"/>
      <c r="E54" s="11" t="n"/>
      <c r="F54" s="11" t="n"/>
      <c r="G54" s="9" t="n"/>
      <c r="H54" s="9" t="n"/>
      <c r="I54" s="12" t="n"/>
      <c r="J54" s="12" t="n"/>
      <c r="K54" s="9" t="n"/>
      <c r="L54" s="13" t="n"/>
      <c r="M54" s="14">
        <f>IF($A54="","",IFERROR(D54*INDEX(Insumos!$D$6:$D$98,MATCH(C54,Insumos!$A$6:$A$98,0)),0))</f>
        <v/>
      </c>
      <c r="N54" s="14">
        <f>IF($A54="","",E54*Parametros!$H$21)</f>
        <v/>
      </c>
      <c r="O54" s="14">
        <f>IF($A54="","",F54*Parametros!$H$22)</f>
        <v/>
      </c>
      <c r="P54" s="14">
        <f>IF($A54="","",F54*Parametros!$B$17)</f>
        <v/>
      </c>
      <c r="Q54" s="14">
        <f>IF($A54="","",D54*Parametros!$H$23)</f>
        <v/>
      </c>
      <c r="R54" s="14">
        <f>IF($A54="","",H54*Parametros!$H$24)</f>
        <v/>
      </c>
      <c r="S54" s="14">
        <f>IF($A54="","",IFERROR(INDEX(Confeccion!$B$5:$B$80,MATCH(G54,Confeccion!$A$5:$A$80,0)),0))</f>
        <v/>
      </c>
      <c r="T54" s="15">
        <f>IF($A54="","",SUM(M54:S54)+I54)</f>
        <v/>
      </c>
      <c r="U54" s="14">
        <f>IF($A54="","",IF(J54="","",J54*Parametros!$B$13))</f>
        <v/>
      </c>
      <c r="V54" s="14">
        <f>IF($A54="","",IF(J54="","",J54*Parametros!$B$14))</f>
        <v/>
      </c>
      <c r="W54" s="15">
        <f>IF($A54="","",IF(J54="","",J54-T54-U54-V54))</f>
        <v/>
      </c>
      <c r="X54" s="16">
        <f>IF($A54="","",IF(J54="","",W54/J54))</f>
        <v/>
      </c>
      <c r="Y54" s="14">
        <f>IF($A54="","",IF(Parametros!$B$15&gt;=1,"",T54/(1-Parametros!$B$15)))</f>
        <v/>
      </c>
      <c r="Z54" s="14">
        <f>IF($A54="","",IF(Parametros!$B$15+Parametros!$B$16&gt;=1,"",T54/(1-Parametros!$B$15-Parametros!$B$16)))</f>
        <v/>
      </c>
      <c r="AA54" s="17">
        <f>IF($A54="","",IF(J54="","Falta precio",IF(W54&lt;0,"PIERDE",IF(X54&lt;Parametros!$B$16,"BAJO META","OK"))))</f>
        <v/>
      </c>
      <c r="AB54" s="18">
        <f>IF($A54="","",IF(OR(C54="",D54=""),"Falta tela o consumo. ","")&amp;IF(AND(C54&lt;&gt;"",M54=0),"Tela sin precio. ","")&amp;IF(S54=0,"Confección sin valor. ","")&amp;IF(J54="","Falta precio de venta. ",""))</f>
        <v/>
      </c>
    </row>
    <row r="55">
      <c r="A55" s="9" t="n"/>
      <c r="B55" s="9" t="n"/>
      <c r="C55" s="9" t="n"/>
      <c r="D55" s="10" t="n"/>
      <c r="E55" s="11" t="n"/>
      <c r="F55" s="11" t="n"/>
      <c r="G55" s="9" t="n"/>
      <c r="H55" s="9" t="n"/>
      <c r="I55" s="12" t="n"/>
      <c r="J55" s="12" t="n"/>
      <c r="K55" s="9" t="n"/>
      <c r="L55" s="13" t="n"/>
      <c r="M55" s="14">
        <f>IF($A55="","",IFERROR(D55*INDEX(Insumos!$D$6:$D$98,MATCH(C55,Insumos!$A$6:$A$98,0)),0))</f>
        <v/>
      </c>
      <c r="N55" s="14">
        <f>IF($A55="","",E55*Parametros!$H$21)</f>
        <v/>
      </c>
      <c r="O55" s="14">
        <f>IF($A55="","",F55*Parametros!$H$22)</f>
        <v/>
      </c>
      <c r="P55" s="14">
        <f>IF($A55="","",F55*Parametros!$B$17)</f>
        <v/>
      </c>
      <c r="Q55" s="14">
        <f>IF($A55="","",D55*Parametros!$H$23)</f>
        <v/>
      </c>
      <c r="R55" s="14">
        <f>IF($A55="","",H55*Parametros!$H$24)</f>
        <v/>
      </c>
      <c r="S55" s="14">
        <f>IF($A55="","",IFERROR(INDEX(Confeccion!$B$5:$B$80,MATCH(G55,Confeccion!$A$5:$A$80,0)),0))</f>
        <v/>
      </c>
      <c r="T55" s="15">
        <f>IF($A55="","",SUM(M55:S55)+I55)</f>
        <v/>
      </c>
      <c r="U55" s="14">
        <f>IF($A55="","",IF(J55="","",J55*Parametros!$B$13))</f>
        <v/>
      </c>
      <c r="V55" s="14">
        <f>IF($A55="","",IF(J55="","",J55*Parametros!$B$14))</f>
        <v/>
      </c>
      <c r="W55" s="15">
        <f>IF($A55="","",IF(J55="","",J55-T55-U55-V55))</f>
        <v/>
      </c>
      <c r="X55" s="16">
        <f>IF($A55="","",IF(J55="","",W55/J55))</f>
        <v/>
      </c>
      <c r="Y55" s="14">
        <f>IF($A55="","",IF(Parametros!$B$15&gt;=1,"",T55/(1-Parametros!$B$15)))</f>
        <v/>
      </c>
      <c r="Z55" s="14">
        <f>IF($A55="","",IF(Parametros!$B$15+Parametros!$B$16&gt;=1,"",T55/(1-Parametros!$B$15-Parametros!$B$16)))</f>
        <v/>
      </c>
      <c r="AA55" s="17">
        <f>IF($A55="","",IF(J55="","Falta precio",IF(W55&lt;0,"PIERDE",IF(X55&lt;Parametros!$B$16,"BAJO META","OK"))))</f>
        <v/>
      </c>
      <c r="AB55" s="18">
        <f>IF($A55="","",IF(OR(C55="",D55=""),"Falta tela o consumo. ","")&amp;IF(AND(C55&lt;&gt;"",M55=0),"Tela sin precio. ","")&amp;IF(S55=0,"Confección sin valor. ","")&amp;IF(J55="","Falta precio de venta. ",""))</f>
        <v/>
      </c>
    </row>
    <row r="56">
      <c r="A56" s="9" t="n"/>
      <c r="B56" s="9" t="n"/>
      <c r="C56" s="9" t="n"/>
      <c r="D56" s="10" t="n"/>
      <c r="E56" s="11" t="n"/>
      <c r="F56" s="11" t="n"/>
      <c r="G56" s="9" t="n"/>
      <c r="H56" s="9" t="n"/>
      <c r="I56" s="12" t="n"/>
      <c r="J56" s="12" t="n"/>
      <c r="K56" s="9" t="n"/>
      <c r="L56" s="13" t="n"/>
      <c r="M56" s="14">
        <f>IF($A56="","",IFERROR(D56*INDEX(Insumos!$D$6:$D$98,MATCH(C56,Insumos!$A$6:$A$98,0)),0))</f>
        <v/>
      </c>
      <c r="N56" s="14">
        <f>IF($A56="","",E56*Parametros!$H$21)</f>
        <v/>
      </c>
      <c r="O56" s="14">
        <f>IF($A56="","",F56*Parametros!$H$22)</f>
        <v/>
      </c>
      <c r="P56" s="14">
        <f>IF($A56="","",F56*Parametros!$B$17)</f>
        <v/>
      </c>
      <c r="Q56" s="14">
        <f>IF($A56="","",D56*Parametros!$H$23)</f>
        <v/>
      </c>
      <c r="R56" s="14">
        <f>IF($A56="","",H56*Parametros!$H$24)</f>
        <v/>
      </c>
      <c r="S56" s="14">
        <f>IF($A56="","",IFERROR(INDEX(Confeccion!$B$5:$B$80,MATCH(G56,Confeccion!$A$5:$A$80,0)),0))</f>
        <v/>
      </c>
      <c r="T56" s="15">
        <f>IF($A56="","",SUM(M56:S56)+I56)</f>
        <v/>
      </c>
      <c r="U56" s="14">
        <f>IF($A56="","",IF(J56="","",J56*Parametros!$B$13))</f>
        <v/>
      </c>
      <c r="V56" s="14">
        <f>IF($A56="","",IF(J56="","",J56*Parametros!$B$14))</f>
        <v/>
      </c>
      <c r="W56" s="15">
        <f>IF($A56="","",IF(J56="","",J56-T56-U56-V56))</f>
        <v/>
      </c>
      <c r="X56" s="16">
        <f>IF($A56="","",IF(J56="","",W56/J56))</f>
        <v/>
      </c>
      <c r="Y56" s="14">
        <f>IF($A56="","",IF(Parametros!$B$15&gt;=1,"",T56/(1-Parametros!$B$15)))</f>
        <v/>
      </c>
      <c r="Z56" s="14">
        <f>IF($A56="","",IF(Parametros!$B$15+Parametros!$B$16&gt;=1,"",T56/(1-Parametros!$B$15-Parametros!$B$16)))</f>
        <v/>
      </c>
      <c r="AA56" s="17">
        <f>IF($A56="","",IF(J56="","Falta precio",IF(W56&lt;0,"PIERDE",IF(X56&lt;Parametros!$B$16,"BAJO META","OK"))))</f>
        <v/>
      </c>
      <c r="AB56" s="18">
        <f>IF($A56="","",IF(OR(C56="",D56=""),"Falta tela o consumo. ","")&amp;IF(AND(C56&lt;&gt;"",M56=0),"Tela sin precio. ","")&amp;IF(S56=0,"Confección sin valor. ","")&amp;IF(J56="","Falta precio de venta. ",""))</f>
        <v/>
      </c>
    </row>
    <row r="57">
      <c r="A57" s="9" t="n"/>
      <c r="B57" s="9" t="n"/>
      <c r="C57" s="9" t="n"/>
      <c r="D57" s="10" t="n"/>
      <c r="E57" s="11" t="n"/>
      <c r="F57" s="11" t="n"/>
      <c r="G57" s="9" t="n"/>
      <c r="H57" s="9" t="n"/>
      <c r="I57" s="12" t="n"/>
      <c r="J57" s="12" t="n"/>
      <c r="K57" s="9" t="n"/>
      <c r="L57" s="13" t="n"/>
      <c r="M57" s="14">
        <f>IF($A57="","",IFERROR(D57*INDEX(Insumos!$D$6:$D$98,MATCH(C57,Insumos!$A$6:$A$98,0)),0))</f>
        <v/>
      </c>
      <c r="N57" s="14">
        <f>IF($A57="","",E57*Parametros!$H$21)</f>
        <v/>
      </c>
      <c r="O57" s="14">
        <f>IF($A57="","",F57*Parametros!$H$22)</f>
        <v/>
      </c>
      <c r="P57" s="14">
        <f>IF($A57="","",F57*Parametros!$B$17)</f>
        <v/>
      </c>
      <c r="Q57" s="14">
        <f>IF($A57="","",D57*Parametros!$H$23)</f>
        <v/>
      </c>
      <c r="R57" s="14">
        <f>IF($A57="","",H57*Parametros!$H$24)</f>
        <v/>
      </c>
      <c r="S57" s="14">
        <f>IF($A57="","",IFERROR(INDEX(Confeccion!$B$5:$B$80,MATCH(G57,Confeccion!$A$5:$A$80,0)),0))</f>
        <v/>
      </c>
      <c r="T57" s="15">
        <f>IF($A57="","",SUM(M57:S57)+I57)</f>
        <v/>
      </c>
      <c r="U57" s="14">
        <f>IF($A57="","",IF(J57="","",J57*Parametros!$B$13))</f>
        <v/>
      </c>
      <c r="V57" s="14">
        <f>IF($A57="","",IF(J57="","",J57*Parametros!$B$14))</f>
        <v/>
      </c>
      <c r="W57" s="15">
        <f>IF($A57="","",IF(J57="","",J57-T57-U57-V57))</f>
        <v/>
      </c>
      <c r="X57" s="16">
        <f>IF($A57="","",IF(J57="","",W57/J57))</f>
        <v/>
      </c>
      <c r="Y57" s="14">
        <f>IF($A57="","",IF(Parametros!$B$15&gt;=1,"",T57/(1-Parametros!$B$15)))</f>
        <v/>
      </c>
      <c r="Z57" s="14">
        <f>IF($A57="","",IF(Parametros!$B$15+Parametros!$B$16&gt;=1,"",T57/(1-Parametros!$B$15-Parametros!$B$16)))</f>
        <v/>
      </c>
      <c r="AA57" s="17">
        <f>IF($A57="","",IF(J57="","Falta precio",IF(W57&lt;0,"PIERDE",IF(X57&lt;Parametros!$B$16,"BAJO META","OK"))))</f>
        <v/>
      </c>
      <c r="AB57" s="18">
        <f>IF($A57="","",IF(OR(C57="",D57=""),"Falta tela o consumo. ","")&amp;IF(AND(C57&lt;&gt;"",M57=0),"Tela sin precio. ","")&amp;IF(S57=0,"Confección sin valor. ","")&amp;IF(J57="","Falta precio de venta. ",""))</f>
        <v/>
      </c>
    </row>
    <row r="58">
      <c r="A58" s="9" t="n"/>
      <c r="B58" s="9" t="n"/>
      <c r="C58" s="9" t="n"/>
      <c r="D58" s="10" t="n"/>
      <c r="E58" s="11" t="n"/>
      <c r="F58" s="11" t="n"/>
      <c r="G58" s="9" t="n"/>
      <c r="H58" s="9" t="n"/>
      <c r="I58" s="12" t="n"/>
      <c r="J58" s="12" t="n"/>
      <c r="K58" s="9" t="n"/>
      <c r="L58" s="13" t="n"/>
      <c r="M58" s="14">
        <f>IF($A58="","",IFERROR(D58*INDEX(Insumos!$D$6:$D$98,MATCH(C58,Insumos!$A$6:$A$98,0)),0))</f>
        <v/>
      </c>
      <c r="N58" s="14">
        <f>IF($A58="","",E58*Parametros!$H$21)</f>
        <v/>
      </c>
      <c r="O58" s="14">
        <f>IF($A58="","",F58*Parametros!$H$22)</f>
        <v/>
      </c>
      <c r="P58" s="14">
        <f>IF($A58="","",F58*Parametros!$B$17)</f>
        <v/>
      </c>
      <c r="Q58" s="14">
        <f>IF($A58="","",D58*Parametros!$H$23)</f>
        <v/>
      </c>
      <c r="R58" s="14">
        <f>IF($A58="","",H58*Parametros!$H$24)</f>
        <v/>
      </c>
      <c r="S58" s="14">
        <f>IF($A58="","",IFERROR(INDEX(Confeccion!$B$5:$B$80,MATCH(G58,Confeccion!$A$5:$A$80,0)),0))</f>
        <v/>
      </c>
      <c r="T58" s="15">
        <f>IF($A58="","",SUM(M58:S58)+I58)</f>
        <v/>
      </c>
      <c r="U58" s="14">
        <f>IF($A58="","",IF(J58="","",J58*Parametros!$B$13))</f>
        <v/>
      </c>
      <c r="V58" s="14">
        <f>IF($A58="","",IF(J58="","",J58*Parametros!$B$14))</f>
        <v/>
      </c>
      <c r="W58" s="15">
        <f>IF($A58="","",IF(J58="","",J58-T58-U58-V58))</f>
        <v/>
      </c>
      <c r="X58" s="16">
        <f>IF($A58="","",IF(J58="","",W58/J58))</f>
        <v/>
      </c>
      <c r="Y58" s="14">
        <f>IF($A58="","",IF(Parametros!$B$15&gt;=1,"",T58/(1-Parametros!$B$15)))</f>
        <v/>
      </c>
      <c r="Z58" s="14">
        <f>IF($A58="","",IF(Parametros!$B$15+Parametros!$B$16&gt;=1,"",T58/(1-Parametros!$B$15-Parametros!$B$16)))</f>
        <v/>
      </c>
      <c r="AA58" s="17">
        <f>IF($A58="","",IF(J58="","Falta precio",IF(W58&lt;0,"PIERDE",IF(X58&lt;Parametros!$B$16,"BAJO META","OK"))))</f>
        <v/>
      </c>
      <c r="AB58" s="18">
        <f>IF($A58="","",IF(OR(C58="",D58=""),"Falta tela o consumo. ","")&amp;IF(AND(C58&lt;&gt;"",M58=0),"Tela sin precio. ","")&amp;IF(S58=0,"Confección sin valor. ","")&amp;IF(J58="","Falta precio de venta. ",""))</f>
        <v/>
      </c>
    </row>
    <row r="59">
      <c r="A59" s="9" t="n"/>
      <c r="B59" s="9" t="n"/>
      <c r="C59" s="9" t="n"/>
      <c r="D59" s="10" t="n"/>
      <c r="E59" s="11" t="n"/>
      <c r="F59" s="11" t="n"/>
      <c r="G59" s="9" t="n"/>
      <c r="H59" s="9" t="n"/>
      <c r="I59" s="12" t="n"/>
      <c r="J59" s="12" t="n"/>
      <c r="K59" s="9" t="n"/>
      <c r="L59" s="13" t="n"/>
      <c r="M59" s="14">
        <f>IF($A59="","",IFERROR(D59*INDEX(Insumos!$D$6:$D$98,MATCH(C59,Insumos!$A$6:$A$98,0)),0))</f>
        <v/>
      </c>
      <c r="N59" s="14">
        <f>IF($A59="","",E59*Parametros!$H$21)</f>
        <v/>
      </c>
      <c r="O59" s="14">
        <f>IF($A59="","",F59*Parametros!$H$22)</f>
        <v/>
      </c>
      <c r="P59" s="14">
        <f>IF($A59="","",F59*Parametros!$B$17)</f>
        <v/>
      </c>
      <c r="Q59" s="14">
        <f>IF($A59="","",D59*Parametros!$H$23)</f>
        <v/>
      </c>
      <c r="R59" s="14">
        <f>IF($A59="","",H59*Parametros!$H$24)</f>
        <v/>
      </c>
      <c r="S59" s="14">
        <f>IF($A59="","",IFERROR(INDEX(Confeccion!$B$5:$B$80,MATCH(G59,Confeccion!$A$5:$A$80,0)),0))</f>
        <v/>
      </c>
      <c r="T59" s="15">
        <f>IF($A59="","",SUM(M59:S59)+I59)</f>
        <v/>
      </c>
      <c r="U59" s="14">
        <f>IF($A59="","",IF(J59="","",J59*Parametros!$B$13))</f>
        <v/>
      </c>
      <c r="V59" s="14">
        <f>IF($A59="","",IF(J59="","",J59*Parametros!$B$14))</f>
        <v/>
      </c>
      <c r="W59" s="15">
        <f>IF($A59="","",IF(J59="","",J59-T59-U59-V59))</f>
        <v/>
      </c>
      <c r="X59" s="16">
        <f>IF($A59="","",IF(J59="","",W59/J59))</f>
        <v/>
      </c>
      <c r="Y59" s="14">
        <f>IF($A59="","",IF(Parametros!$B$15&gt;=1,"",T59/(1-Parametros!$B$15)))</f>
        <v/>
      </c>
      <c r="Z59" s="14">
        <f>IF($A59="","",IF(Parametros!$B$15+Parametros!$B$16&gt;=1,"",T59/(1-Parametros!$B$15-Parametros!$B$16)))</f>
        <v/>
      </c>
      <c r="AA59" s="17">
        <f>IF($A59="","",IF(J59="","Falta precio",IF(W59&lt;0,"PIERDE",IF(X59&lt;Parametros!$B$16,"BAJO META","OK"))))</f>
        <v/>
      </c>
      <c r="AB59" s="18">
        <f>IF($A59="","",IF(OR(C59="",D59=""),"Falta tela o consumo. ","")&amp;IF(AND(C59&lt;&gt;"",M59=0),"Tela sin precio. ","")&amp;IF(S59=0,"Confección sin valor. ","")&amp;IF(J59="","Falta precio de venta. ",""))</f>
        <v/>
      </c>
    </row>
    <row r="60">
      <c r="A60" s="9" t="n"/>
      <c r="B60" s="9" t="n"/>
      <c r="C60" s="9" t="n"/>
      <c r="D60" s="10" t="n"/>
      <c r="E60" s="11" t="n"/>
      <c r="F60" s="11" t="n"/>
      <c r="G60" s="9" t="n"/>
      <c r="H60" s="9" t="n"/>
      <c r="I60" s="12" t="n"/>
      <c r="J60" s="12" t="n"/>
      <c r="K60" s="9" t="n"/>
      <c r="L60" s="13" t="n"/>
      <c r="M60" s="14">
        <f>IF($A60="","",IFERROR(D60*INDEX(Insumos!$D$6:$D$98,MATCH(C60,Insumos!$A$6:$A$98,0)),0))</f>
        <v/>
      </c>
      <c r="N60" s="14">
        <f>IF($A60="","",E60*Parametros!$H$21)</f>
        <v/>
      </c>
      <c r="O60" s="14">
        <f>IF($A60="","",F60*Parametros!$H$22)</f>
        <v/>
      </c>
      <c r="P60" s="14">
        <f>IF($A60="","",F60*Parametros!$B$17)</f>
        <v/>
      </c>
      <c r="Q60" s="14">
        <f>IF($A60="","",D60*Parametros!$H$23)</f>
        <v/>
      </c>
      <c r="R60" s="14">
        <f>IF($A60="","",H60*Parametros!$H$24)</f>
        <v/>
      </c>
      <c r="S60" s="14">
        <f>IF($A60="","",IFERROR(INDEX(Confeccion!$B$5:$B$80,MATCH(G60,Confeccion!$A$5:$A$80,0)),0))</f>
        <v/>
      </c>
      <c r="T60" s="15">
        <f>IF($A60="","",SUM(M60:S60)+I60)</f>
        <v/>
      </c>
      <c r="U60" s="14">
        <f>IF($A60="","",IF(J60="","",J60*Parametros!$B$13))</f>
        <v/>
      </c>
      <c r="V60" s="14">
        <f>IF($A60="","",IF(J60="","",J60*Parametros!$B$14))</f>
        <v/>
      </c>
      <c r="W60" s="15">
        <f>IF($A60="","",IF(J60="","",J60-T60-U60-V60))</f>
        <v/>
      </c>
      <c r="X60" s="16">
        <f>IF($A60="","",IF(J60="","",W60/J60))</f>
        <v/>
      </c>
      <c r="Y60" s="14">
        <f>IF($A60="","",IF(Parametros!$B$15&gt;=1,"",T60/(1-Parametros!$B$15)))</f>
        <v/>
      </c>
      <c r="Z60" s="14">
        <f>IF($A60="","",IF(Parametros!$B$15+Parametros!$B$16&gt;=1,"",T60/(1-Parametros!$B$15-Parametros!$B$16)))</f>
        <v/>
      </c>
      <c r="AA60" s="17">
        <f>IF($A60="","",IF(J60="","Falta precio",IF(W60&lt;0,"PIERDE",IF(X60&lt;Parametros!$B$16,"BAJO META","OK"))))</f>
        <v/>
      </c>
      <c r="AB60" s="18">
        <f>IF($A60="","",IF(OR(C60="",D60=""),"Falta tela o consumo. ","")&amp;IF(AND(C60&lt;&gt;"",M60=0),"Tela sin precio. ","")&amp;IF(S60=0,"Confección sin valor. ","")&amp;IF(J60="","Falta precio de venta. ",""))</f>
        <v/>
      </c>
    </row>
    <row r="61">
      <c r="A61" s="9" t="n"/>
      <c r="B61" s="9" t="n"/>
      <c r="C61" s="9" t="n"/>
      <c r="D61" s="10" t="n"/>
      <c r="E61" s="11" t="n"/>
      <c r="F61" s="11" t="n"/>
      <c r="G61" s="9" t="n"/>
      <c r="H61" s="9" t="n"/>
      <c r="I61" s="12" t="n"/>
      <c r="J61" s="12" t="n"/>
      <c r="K61" s="9" t="n"/>
      <c r="L61" s="13" t="n"/>
      <c r="M61" s="14">
        <f>IF($A61="","",IFERROR(D61*INDEX(Insumos!$D$6:$D$98,MATCH(C61,Insumos!$A$6:$A$98,0)),0))</f>
        <v/>
      </c>
      <c r="N61" s="14">
        <f>IF($A61="","",E61*Parametros!$H$21)</f>
        <v/>
      </c>
      <c r="O61" s="14">
        <f>IF($A61="","",F61*Parametros!$H$22)</f>
        <v/>
      </c>
      <c r="P61" s="14">
        <f>IF($A61="","",F61*Parametros!$B$17)</f>
        <v/>
      </c>
      <c r="Q61" s="14">
        <f>IF($A61="","",D61*Parametros!$H$23)</f>
        <v/>
      </c>
      <c r="R61" s="14">
        <f>IF($A61="","",H61*Parametros!$H$24)</f>
        <v/>
      </c>
      <c r="S61" s="14">
        <f>IF($A61="","",IFERROR(INDEX(Confeccion!$B$5:$B$80,MATCH(G61,Confeccion!$A$5:$A$80,0)),0))</f>
        <v/>
      </c>
      <c r="T61" s="15">
        <f>IF($A61="","",SUM(M61:S61)+I61)</f>
        <v/>
      </c>
      <c r="U61" s="14">
        <f>IF($A61="","",IF(J61="","",J61*Parametros!$B$13))</f>
        <v/>
      </c>
      <c r="V61" s="14">
        <f>IF($A61="","",IF(J61="","",J61*Parametros!$B$14))</f>
        <v/>
      </c>
      <c r="W61" s="15">
        <f>IF($A61="","",IF(J61="","",J61-T61-U61-V61))</f>
        <v/>
      </c>
      <c r="X61" s="16">
        <f>IF($A61="","",IF(J61="","",W61/J61))</f>
        <v/>
      </c>
      <c r="Y61" s="14">
        <f>IF($A61="","",IF(Parametros!$B$15&gt;=1,"",T61/(1-Parametros!$B$15)))</f>
        <v/>
      </c>
      <c r="Z61" s="14">
        <f>IF($A61="","",IF(Parametros!$B$15+Parametros!$B$16&gt;=1,"",T61/(1-Parametros!$B$15-Parametros!$B$16)))</f>
        <v/>
      </c>
      <c r="AA61" s="17">
        <f>IF($A61="","",IF(J61="","Falta precio",IF(W61&lt;0,"PIERDE",IF(X61&lt;Parametros!$B$16,"BAJO META","OK"))))</f>
        <v/>
      </c>
      <c r="AB61" s="18">
        <f>IF($A61="","",IF(OR(C61="",D61=""),"Falta tela o consumo. ","")&amp;IF(AND(C61&lt;&gt;"",M61=0),"Tela sin precio. ","")&amp;IF(S61=0,"Confección sin valor. ","")&amp;IF(J61="","Falta precio de venta. ",""))</f>
        <v/>
      </c>
    </row>
    <row r="62">
      <c r="A62" s="9" t="n"/>
      <c r="B62" s="9" t="n"/>
      <c r="C62" s="9" t="n"/>
      <c r="D62" s="10" t="n"/>
      <c r="E62" s="11" t="n"/>
      <c r="F62" s="11" t="n"/>
      <c r="G62" s="9" t="n"/>
      <c r="H62" s="9" t="n"/>
      <c r="I62" s="12" t="n"/>
      <c r="J62" s="12" t="n"/>
      <c r="K62" s="9" t="n"/>
      <c r="L62" s="13" t="n"/>
      <c r="M62" s="14">
        <f>IF($A62="","",IFERROR(D62*INDEX(Insumos!$D$6:$D$98,MATCH(C62,Insumos!$A$6:$A$98,0)),0))</f>
        <v/>
      </c>
      <c r="N62" s="14">
        <f>IF($A62="","",E62*Parametros!$H$21)</f>
        <v/>
      </c>
      <c r="O62" s="14">
        <f>IF($A62="","",F62*Parametros!$H$22)</f>
        <v/>
      </c>
      <c r="P62" s="14">
        <f>IF($A62="","",F62*Parametros!$B$17)</f>
        <v/>
      </c>
      <c r="Q62" s="14">
        <f>IF($A62="","",D62*Parametros!$H$23)</f>
        <v/>
      </c>
      <c r="R62" s="14">
        <f>IF($A62="","",H62*Parametros!$H$24)</f>
        <v/>
      </c>
      <c r="S62" s="14">
        <f>IF($A62="","",IFERROR(INDEX(Confeccion!$B$5:$B$80,MATCH(G62,Confeccion!$A$5:$A$80,0)),0))</f>
        <v/>
      </c>
      <c r="T62" s="15">
        <f>IF($A62="","",SUM(M62:S62)+I62)</f>
        <v/>
      </c>
      <c r="U62" s="14">
        <f>IF($A62="","",IF(J62="","",J62*Parametros!$B$13))</f>
        <v/>
      </c>
      <c r="V62" s="14">
        <f>IF($A62="","",IF(J62="","",J62*Parametros!$B$14))</f>
        <v/>
      </c>
      <c r="W62" s="15">
        <f>IF($A62="","",IF(J62="","",J62-T62-U62-V62))</f>
        <v/>
      </c>
      <c r="X62" s="16">
        <f>IF($A62="","",IF(J62="","",W62/J62))</f>
        <v/>
      </c>
      <c r="Y62" s="14">
        <f>IF($A62="","",IF(Parametros!$B$15&gt;=1,"",T62/(1-Parametros!$B$15)))</f>
        <v/>
      </c>
      <c r="Z62" s="14">
        <f>IF($A62="","",IF(Parametros!$B$15+Parametros!$B$16&gt;=1,"",T62/(1-Parametros!$B$15-Parametros!$B$16)))</f>
        <v/>
      </c>
      <c r="AA62" s="17">
        <f>IF($A62="","",IF(J62="","Falta precio",IF(W62&lt;0,"PIERDE",IF(X62&lt;Parametros!$B$16,"BAJO META","OK"))))</f>
        <v/>
      </c>
      <c r="AB62" s="18">
        <f>IF($A62="","",IF(OR(C62="",D62=""),"Falta tela o consumo. ","")&amp;IF(AND(C62&lt;&gt;"",M62=0),"Tela sin precio. ","")&amp;IF(S62=0,"Confección sin valor. ","")&amp;IF(J62="","Falta precio de venta. ",""))</f>
        <v/>
      </c>
    </row>
    <row r="63">
      <c r="A63" s="9" t="n"/>
      <c r="B63" s="9" t="n"/>
      <c r="C63" s="9" t="n"/>
      <c r="D63" s="10" t="n"/>
      <c r="E63" s="11" t="n"/>
      <c r="F63" s="11" t="n"/>
      <c r="G63" s="9" t="n"/>
      <c r="H63" s="9" t="n"/>
      <c r="I63" s="12" t="n"/>
      <c r="J63" s="12" t="n"/>
      <c r="K63" s="9" t="n"/>
      <c r="L63" s="13" t="n"/>
      <c r="M63" s="14">
        <f>IF($A63="","",IFERROR(D63*INDEX(Insumos!$D$6:$D$98,MATCH(C63,Insumos!$A$6:$A$98,0)),0))</f>
        <v/>
      </c>
      <c r="N63" s="14">
        <f>IF($A63="","",E63*Parametros!$H$21)</f>
        <v/>
      </c>
      <c r="O63" s="14">
        <f>IF($A63="","",F63*Parametros!$H$22)</f>
        <v/>
      </c>
      <c r="P63" s="14">
        <f>IF($A63="","",F63*Parametros!$B$17)</f>
        <v/>
      </c>
      <c r="Q63" s="14">
        <f>IF($A63="","",D63*Parametros!$H$23)</f>
        <v/>
      </c>
      <c r="R63" s="14">
        <f>IF($A63="","",H63*Parametros!$H$24)</f>
        <v/>
      </c>
      <c r="S63" s="14">
        <f>IF($A63="","",IFERROR(INDEX(Confeccion!$B$5:$B$80,MATCH(G63,Confeccion!$A$5:$A$80,0)),0))</f>
        <v/>
      </c>
      <c r="T63" s="15">
        <f>IF($A63="","",SUM(M63:S63)+I63)</f>
        <v/>
      </c>
      <c r="U63" s="14">
        <f>IF($A63="","",IF(J63="","",J63*Parametros!$B$13))</f>
        <v/>
      </c>
      <c r="V63" s="14">
        <f>IF($A63="","",IF(J63="","",J63*Parametros!$B$14))</f>
        <v/>
      </c>
      <c r="W63" s="15">
        <f>IF($A63="","",IF(J63="","",J63-T63-U63-V63))</f>
        <v/>
      </c>
      <c r="X63" s="16">
        <f>IF($A63="","",IF(J63="","",W63/J63))</f>
        <v/>
      </c>
      <c r="Y63" s="14">
        <f>IF($A63="","",IF(Parametros!$B$15&gt;=1,"",T63/(1-Parametros!$B$15)))</f>
        <v/>
      </c>
      <c r="Z63" s="14">
        <f>IF($A63="","",IF(Parametros!$B$15+Parametros!$B$16&gt;=1,"",T63/(1-Parametros!$B$15-Parametros!$B$16)))</f>
        <v/>
      </c>
      <c r="AA63" s="17">
        <f>IF($A63="","",IF(J63="","Falta precio",IF(W63&lt;0,"PIERDE",IF(X63&lt;Parametros!$B$16,"BAJO META","OK"))))</f>
        <v/>
      </c>
      <c r="AB63" s="18">
        <f>IF($A63="","",IF(OR(C63="",D63=""),"Falta tela o consumo. ","")&amp;IF(AND(C63&lt;&gt;"",M63=0),"Tela sin precio. ","")&amp;IF(S63=0,"Confección sin valor. ","")&amp;IF(J63="","Falta precio de venta. ",""))</f>
        <v/>
      </c>
    </row>
    <row r="64">
      <c r="A64" s="9" t="n"/>
      <c r="B64" s="9" t="n"/>
      <c r="C64" s="9" t="n"/>
      <c r="D64" s="10" t="n"/>
      <c r="E64" s="11" t="n"/>
      <c r="F64" s="11" t="n"/>
      <c r="G64" s="9" t="n"/>
      <c r="H64" s="9" t="n"/>
      <c r="I64" s="12" t="n"/>
      <c r="J64" s="12" t="n"/>
      <c r="K64" s="9" t="n"/>
      <c r="L64" s="13" t="n"/>
      <c r="M64" s="14">
        <f>IF($A64="","",IFERROR(D64*INDEX(Insumos!$D$6:$D$98,MATCH(C64,Insumos!$A$6:$A$98,0)),0))</f>
        <v/>
      </c>
      <c r="N64" s="14">
        <f>IF($A64="","",E64*Parametros!$H$21)</f>
        <v/>
      </c>
      <c r="O64" s="14">
        <f>IF($A64="","",F64*Parametros!$H$22)</f>
        <v/>
      </c>
      <c r="P64" s="14">
        <f>IF($A64="","",F64*Parametros!$B$17)</f>
        <v/>
      </c>
      <c r="Q64" s="14">
        <f>IF($A64="","",D64*Parametros!$H$23)</f>
        <v/>
      </c>
      <c r="R64" s="14">
        <f>IF($A64="","",H64*Parametros!$H$24)</f>
        <v/>
      </c>
      <c r="S64" s="14">
        <f>IF($A64="","",IFERROR(INDEX(Confeccion!$B$5:$B$80,MATCH(G64,Confeccion!$A$5:$A$80,0)),0))</f>
        <v/>
      </c>
      <c r="T64" s="15">
        <f>IF($A64="","",SUM(M64:S64)+I64)</f>
        <v/>
      </c>
      <c r="U64" s="14">
        <f>IF($A64="","",IF(J64="","",J64*Parametros!$B$13))</f>
        <v/>
      </c>
      <c r="V64" s="14">
        <f>IF($A64="","",IF(J64="","",J64*Parametros!$B$14))</f>
        <v/>
      </c>
      <c r="W64" s="15">
        <f>IF($A64="","",IF(J64="","",J64-T64-U64-V64))</f>
        <v/>
      </c>
      <c r="X64" s="16">
        <f>IF($A64="","",IF(J64="","",W64/J64))</f>
        <v/>
      </c>
      <c r="Y64" s="14">
        <f>IF($A64="","",IF(Parametros!$B$15&gt;=1,"",T64/(1-Parametros!$B$15)))</f>
        <v/>
      </c>
      <c r="Z64" s="14">
        <f>IF($A64="","",IF(Parametros!$B$15+Parametros!$B$16&gt;=1,"",T64/(1-Parametros!$B$15-Parametros!$B$16)))</f>
        <v/>
      </c>
      <c r="AA64" s="17">
        <f>IF($A64="","",IF(J64="","Falta precio",IF(W64&lt;0,"PIERDE",IF(X64&lt;Parametros!$B$16,"BAJO META","OK"))))</f>
        <v/>
      </c>
      <c r="AB64" s="18">
        <f>IF($A64="","",IF(OR(C64="",D64=""),"Falta tela o consumo. ","")&amp;IF(AND(C64&lt;&gt;"",M64=0),"Tela sin precio. ","")&amp;IF(S64=0,"Confección sin valor. ","")&amp;IF(J64="","Falta precio de venta. ",""))</f>
        <v/>
      </c>
    </row>
    <row r="65">
      <c r="A65" s="9" t="n"/>
      <c r="B65" s="9" t="n"/>
      <c r="C65" s="9" t="n"/>
      <c r="D65" s="10" t="n"/>
      <c r="E65" s="11" t="n"/>
      <c r="F65" s="11" t="n"/>
      <c r="G65" s="9" t="n"/>
      <c r="H65" s="9" t="n"/>
      <c r="I65" s="12" t="n"/>
      <c r="J65" s="12" t="n"/>
      <c r="K65" s="9" t="n"/>
      <c r="L65" s="13" t="n"/>
      <c r="M65" s="14">
        <f>IF($A65="","",IFERROR(D65*INDEX(Insumos!$D$6:$D$98,MATCH(C65,Insumos!$A$6:$A$98,0)),0))</f>
        <v/>
      </c>
      <c r="N65" s="14">
        <f>IF($A65="","",E65*Parametros!$H$21)</f>
        <v/>
      </c>
      <c r="O65" s="14">
        <f>IF($A65="","",F65*Parametros!$H$22)</f>
        <v/>
      </c>
      <c r="P65" s="14">
        <f>IF($A65="","",F65*Parametros!$B$17)</f>
        <v/>
      </c>
      <c r="Q65" s="14">
        <f>IF($A65="","",D65*Parametros!$H$23)</f>
        <v/>
      </c>
      <c r="R65" s="14">
        <f>IF($A65="","",H65*Parametros!$H$24)</f>
        <v/>
      </c>
      <c r="S65" s="14">
        <f>IF($A65="","",IFERROR(INDEX(Confeccion!$B$5:$B$80,MATCH(G65,Confeccion!$A$5:$A$80,0)),0))</f>
        <v/>
      </c>
      <c r="T65" s="15">
        <f>IF($A65="","",SUM(M65:S65)+I65)</f>
        <v/>
      </c>
      <c r="U65" s="14">
        <f>IF($A65="","",IF(J65="","",J65*Parametros!$B$13))</f>
        <v/>
      </c>
      <c r="V65" s="14">
        <f>IF($A65="","",IF(J65="","",J65*Parametros!$B$14))</f>
        <v/>
      </c>
      <c r="W65" s="15">
        <f>IF($A65="","",IF(J65="","",J65-T65-U65-V65))</f>
        <v/>
      </c>
      <c r="X65" s="16">
        <f>IF($A65="","",IF(J65="","",W65/J65))</f>
        <v/>
      </c>
      <c r="Y65" s="14">
        <f>IF($A65="","",IF(Parametros!$B$15&gt;=1,"",T65/(1-Parametros!$B$15)))</f>
        <v/>
      </c>
      <c r="Z65" s="14">
        <f>IF($A65="","",IF(Parametros!$B$15+Parametros!$B$16&gt;=1,"",T65/(1-Parametros!$B$15-Parametros!$B$16)))</f>
        <v/>
      </c>
      <c r="AA65" s="17">
        <f>IF($A65="","",IF(J65="","Falta precio",IF(W65&lt;0,"PIERDE",IF(X65&lt;Parametros!$B$16,"BAJO META","OK"))))</f>
        <v/>
      </c>
      <c r="AB65" s="18">
        <f>IF($A65="","",IF(OR(C65="",D65=""),"Falta tela o consumo. ","")&amp;IF(AND(C65&lt;&gt;"",M65=0),"Tela sin precio. ","")&amp;IF(S65=0,"Confección sin valor. ","")&amp;IF(J65="","Falta precio de venta. ",""))</f>
        <v/>
      </c>
    </row>
    <row r="66">
      <c r="A66" s="9" t="n"/>
      <c r="B66" s="9" t="n"/>
      <c r="C66" s="9" t="n"/>
      <c r="D66" s="10" t="n"/>
      <c r="E66" s="11" t="n"/>
      <c r="F66" s="11" t="n"/>
      <c r="G66" s="9" t="n"/>
      <c r="H66" s="9" t="n"/>
      <c r="I66" s="12" t="n"/>
      <c r="J66" s="12" t="n"/>
      <c r="K66" s="9" t="n"/>
      <c r="L66" s="13" t="n"/>
      <c r="M66" s="14">
        <f>IF($A66="","",IFERROR(D66*INDEX(Insumos!$D$6:$D$98,MATCH(C66,Insumos!$A$6:$A$98,0)),0))</f>
        <v/>
      </c>
      <c r="N66" s="14">
        <f>IF($A66="","",E66*Parametros!$H$21)</f>
        <v/>
      </c>
      <c r="O66" s="14">
        <f>IF($A66="","",F66*Parametros!$H$22)</f>
        <v/>
      </c>
      <c r="P66" s="14">
        <f>IF($A66="","",F66*Parametros!$B$17)</f>
        <v/>
      </c>
      <c r="Q66" s="14">
        <f>IF($A66="","",D66*Parametros!$H$23)</f>
        <v/>
      </c>
      <c r="R66" s="14">
        <f>IF($A66="","",H66*Parametros!$H$24)</f>
        <v/>
      </c>
      <c r="S66" s="14">
        <f>IF($A66="","",IFERROR(INDEX(Confeccion!$B$5:$B$80,MATCH(G66,Confeccion!$A$5:$A$80,0)),0))</f>
        <v/>
      </c>
      <c r="T66" s="15">
        <f>IF($A66="","",SUM(M66:S66)+I66)</f>
        <v/>
      </c>
      <c r="U66" s="14">
        <f>IF($A66="","",IF(J66="","",J66*Parametros!$B$13))</f>
        <v/>
      </c>
      <c r="V66" s="14">
        <f>IF($A66="","",IF(J66="","",J66*Parametros!$B$14))</f>
        <v/>
      </c>
      <c r="W66" s="15">
        <f>IF($A66="","",IF(J66="","",J66-T66-U66-V66))</f>
        <v/>
      </c>
      <c r="X66" s="16">
        <f>IF($A66="","",IF(J66="","",W66/J66))</f>
        <v/>
      </c>
      <c r="Y66" s="14">
        <f>IF($A66="","",IF(Parametros!$B$15&gt;=1,"",T66/(1-Parametros!$B$15)))</f>
        <v/>
      </c>
      <c r="Z66" s="14">
        <f>IF($A66="","",IF(Parametros!$B$15+Parametros!$B$16&gt;=1,"",T66/(1-Parametros!$B$15-Parametros!$B$16)))</f>
        <v/>
      </c>
      <c r="AA66" s="17">
        <f>IF($A66="","",IF(J66="","Falta precio",IF(W66&lt;0,"PIERDE",IF(X66&lt;Parametros!$B$16,"BAJO META","OK"))))</f>
        <v/>
      </c>
      <c r="AB66" s="18">
        <f>IF($A66="","",IF(OR(C66="",D66=""),"Falta tela o consumo. ","")&amp;IF(AND(C66&lt;&gt;"",M66=0),"Tela sin precio. ","")&amp;IF(S66=0,"Confección sin valor. ","")&amp;IF(J66="","Falta precio de venta. ",""))</f>
        <v/>
      </c>
    </row>
    <row r="67">
      <c r="A67" s="9" t="n"/>
      <c r="B67" s="9" t="n"/>
      <c r="C67" s="9" t="n"/>
      <c r="D67" s="10" t="n"/>
      <c r="E67" s="11" t="n"/>
      <c r="F67" s="11" t="n"/>
      <c r="G67" s="9" t="n"/>
      <c r="H67" s="9" t="n"/>
      <c r="I67" s="12" t="n"/>
      <c r="J67" s="12" t="n"/>
      <c r="K67" s="9" t="n"/>
      <c r="L67" s="13" t="n"/>
      <c r="M67" s="14">
        <f>IF($A67="","",IFERROR(D67*INDEX(Insumos!$D$6:$D$98,MATCH(C67,Insumos!$A$6:$A$98,0)),0))</f>
        <v/>
      </c>
      <c r="N67" s="14">
        <f>IF($A67="","",E67*Parametros!$H$21)</f>
        <v/>
      </c>
      <c r="O67" s="14">
        <f>IF($A67="","",F67*Parametros!$H$22)</f>
        <v/>
      </c>
      <c r="P67" s="14">
        <f>IF($A67="","",F67*Parametros!$B$17)</f>
        <v/>
      </c>
      <c r="Q67" s="14">
        <f>IF($A67="","",D67*Parametros!$H$23)</f>
        <v/>
      </c>
      <c r="R67" s="14">
        <f>IF($A67="","",H67*Parametros!$H$24)</f>
        <v/>
      </c>
      <c r="S67" s="14">
        <f>IF($A67="","",IFERROR(INDEX(Confeccion!$B$5:$B$80,MATCH(G67,Confeccion!$A$5:$A$80,0)),0))</f>
        <v/>
      </c>
      <c r="T67" s="15">
        <f>IF($A67="","",SUM(M67:S67)+I67)</f>
        <v/>
      </c>
      <c r="U67" s="14">
        <f>IF($A67="","",IF(J67="","",J67*Parametros!$B$13))</f>
        <v/>
      </c>
      <c r="V67" s="14">
        <f>IF($A67="","",IF(J67="","",J67*Parametros!$B$14))</f>
        <v/>
      </c>
      <c r="W67" s="15">
        <f>IF($A67="","",IF(J67="","",J67-T67-U67-V67))</f>
        <v/>
      </c>
      <c r="X67" s="16">
        <f>IF($A67="","",IF(J67="","",W67/J67))</f>
        <v/>
      </c>
      <c r="Y67" s="14">
        <f>IF($A67="","",IF(Parametros!$B$15&gt;=1,"",T67/(1-Parametros!$B$15)))</f>
        <v/>
      </c>
      <c r="Z67" s="14">
        <f>IF($A67="","",IF(Parametros!$B$15+Parametros!$B$16&gt;=1,"",T67/(1-Parametros!$B$15-Parametros!$B$16)))</f>
        <v/>
      </c>
      <c r="AA67" s="17">
        <f>IF($A67="","",IF(J67="","Falta precio",IF(W67&lt;0,"PIERDE",IF(X67&lt;Parametros!$B$16,"BAJO META","OK"))))</f>
        <v/>
      </c>
      <c r="AB67" s="18">
        <f>IF($A67="","",IF(OR(C67="",D67=""),"Falta tela o consumo. ","")&amp;IF(AND(C67&lt;&gt;"",M67=0),"Tela sin precio. ","")&amp;IF(S67=0,"Confección sin valor. ","")&amp;IF(J67="","Falta precio de venta. ",""))</f>
        <v/>
      </c>
    </row>
    <row r="68">
      <c r="A68" s="9" t="n"/>
      <c r="B68" s="9" t="n"/>
      <c r="C68" s="9" t="n"/>
      <c r="D68" s="10" t="n"/>
      <c r="E68" s="11" t="n"/>
      <c r="F68" s="11" t="n"/>
      <c r="G68" s="9" t="n"/>
      <c r="H68" s="9" t="n"/>
      <c r="I68" s="12" t="n"/>
      <c r="J68" s="12" t="n"/>
      <c r="K68" s="9" t="n"/>
      <c r="L68" s="13" t="n"/>
      <c r="M68" s="14">
        <f>IF($A68="","",IFERROR(D68*INDEX(Insumos!$D$6:$D$98,MATCH(C68,Insumos!$A$6:$A$98,0)),0))</f>
        <v/>
      </c>
      <c r="N68" s="14">
        <f>IF($A68="","",E68*Parametros!$H$21)</f>
        <v/>
      </c>
      <c r="O68" s="14">
        <f>IF($A68="","",F68*Parametros!$H$22)</f>
        <v/>
      </c>
      <c r="P68" s="14">
        <f>IF($A68="","",F68*Parametros!$B$17)</f>
        <v/>
      </c>
      <c r="Q68" s="14">
        <f>IF($A68="","",D68*Parametros!$H$23)</f>
        <v/>
      </c>
      <c r="R68" s="14">
        <f>IF($A68="","",H68*Parametros!$H$24)</f>
        <v/>
      </c>
      <c r="S68" s="14">
        <f>IF($A68="","",IFERROR(INDEX(Confeccion!$B$5:$B$80,MATCH(G68,Confeccion!$A$5:$A$80,0)),0))</f>
        <v/>
      </c>
      <c r="T68" s="15">
        <f>IF($A68="","",SUM(M68:S68)+I68)</f>
        <v/>
      </c>
      <c r="U68" s="14">
        <f>IF($A68="","",IF(J68="","",J68*Parametros!$B$13))</f>
        <v/>
      </c>
      <c r="V68" s="14">
        <f>IF($A68="","",IF(J68="","",J68*Parametros!$B$14))</f>
        <v/>
      </c>
      <c r="W68" s="15">
        <f>IF($A68="","",IF(J68="","",J68-T68-U68-V68))</f>
        <v/>
      </c>
      <c r="X68" s="16">
        <f>IF($A68="","",IF(J68="","",W68/J68))</f>
        <v/>
      </c>
      <c r="Y68" s="14">
        <f>IF($A68="","",IF(Parametros!$B$15&gt;=1,"",T68/(1-Parametros!$B$15)))</f>
        <v/>
      </c>
      <c r="Z68" s="14">
        <f>IF($A68="","",IF(Parametros!$B$15+Parametros!$B$16&gt;=1,"",T68/(1-Parametros!$B$15-Parametros!$B$16)))</f>
        <v/>
      </c>
      <c r="AA68" s="17">
        <f>IF($A68="","",IF(J68="","Falta precio",IF(W68&lt;0,"PIERDE",IF(X68&lt;Parametros!$B$16,"BAJO META","OK"))))</f>
        <v/>
      </c>
      <c r="AB68" s="18">
        <f>IF($A68="","",IF(OR(C68="",D68=""),"Falta tela o consumo. ","")&amp;IF(AND(C68&lt;&gt;"",M68=0),"Tela sin precio. ","")&amp;IF(S68=0,"Confección sin valor. ","")&amp;IF(J68="","Falta precio de venta. ",""))</f>
        <v/>
      </c>
    </row>
    <row r="69">
      <c r="A69" s="9" t="n"/>
      <c r="B69" s="9" t="n"/>
      <c r="C69" s="9" t="n"/>
      <c r="D69" s="10" t="n"/>
      <c r="E69" s="11" t="n"/>
      <c r="F69" s="11" t="n"/>
      <c r="G69" s="9" t="n"/>
      <c r="H69" s="9" t="n"/>
      <c r="I69" s="12" t="n"/>
      <c r="J69" s="12" t="n"/>
      <c r="K69" s="9" t="n"/>
      <c r="L69" s="13" t="n"/>
      <c r="M69" s="14">
        <f>IF($A69="","",IFERROR(D69*INDEX(Insumos!$D$6:$D$98,MATCH(C69,Insumos!$A$6:$A$98,0)),0))</f>
        <v/>
      </c>
      <c r="N69" s="14">
        <f>IF($A69="","",E69*Parametros!$H$21)</f>
        <v/>
      </c>
      <c r="O69" s="14">
        <f>IF($A69="","",F69*Parametros!$H$22)</f>
        <v/>
      </c>
      <c r="P69" s="14">
        <f>IF($A69="","",F69*Parametros!$B$17)</f>
        <v/>
      </c>
      <c r="Q69" s="14">
        <f>IF($A69="","",D69*Parametros!$H$23)</f>
        <v/>
      </c>
      <c r="R69" s="14">
        <f>IF($A69="","",H69*Parametros!$H$24)</f>
        <v/>
      </c>
      <c r="S69" s="14">
        <f>IF($A69="","",IFERROR(INDEX(Confeccion!$B$5:$B$80,MATCH(G69,Confeccion!$A$5:$A$80,0)),0))</f>
        <v/>
      </c>
      <c r="T69" s="15">
        <f>IF($A69="","",SUM(M69:S69)+I69)</f>
        <v/>
      </c>
      <c r="U69" s="14">
        <f>IF($A69="","",IF(J69="","",J69*Parametros!$B$13))</f>
        <v/>
      </c>
      <c r="V69" s="14">
        <f>IF($A69="","",IF(J69="","",J69*Parametros!$B$14))</f>
        <v/>
      </c>
      <c r="W69" s="15">
        <f>IF($A69="","",IF(J69="","",J69-T69-U69-V69))</f>
        <v/>
      </c>
      <c r="X69" s="16">
        <f>IF($A69="","",IF(J69="","",W69/J69))</f>
        <v/>
      </c>
      <c r="Y69" s="14">
        <f>IF($A69="","",IF(Parametros!$B$15&gt;=1,"",T69/(1-Parametros!$B$15)))</f>
        <v/>
      </c>
      <c r="Z69" s="14">
        <f>IF($A69="","",IF(Parametros!$B$15+Parametros!$B$16&gt;=1,"",T69/(1-Parametros!$B$15-Parametros!$B$16)))</f>
        <v/>
      </c>
      <c r="AA69" s="17">
        <f>IF($A69="","",IF(J69="","Falta precio",IF(W69&lt;0,"PIERDE",IF(X69&lt;Parametros!$B$16,"BAJO META","OK"))))</f>
        <v/>
      </c>
      <c r="AB69" s="18">
        <f>IF($A69="","",IF(OR(C69="",D69=""),"Falta tela o consumo. ","")&amp;IF(AND(C69&lt;&gt;"",M69=0),"Tela sin precio. ","")&amp;IF(S69=0,"Confección sin valor. ","")&amp;IF(J69="","Falta precio de venta. ",""))</f>
        <v/>
      </c>
    </row>
    <row r="70">
      <c r="A70" s="9" t="n"/>
      <c r="B70" s="9" t="n"/>
      <c r="C70" s="9" t="n"/>
      <c r="D70" s="10" t="n"/>
      <c r="E70" s="11" t="n"/>
      <c r="F70" s="11" t="n"/>
      <c r="G70" s="9" t="n"/>
      <c r="H70" s="9" t="n"/>
      <c r="I70" s="12" t="n"/>
      <c r="J70" s="12" t="n"/>
      <c r="K70" s="9" t="n"/>
      <c r="L70" s="13" t="n"/>
      <c r="M70" s="14">
        <f>IF($A70="","",IFERROR(D70*INDEX(Insumos!$D$6:$D$98,MATCH(C70,Insumos!$A$6:$A$98,0)),0))</f>
        <v/>
      </c>
      <c r="N70" s="14">
        <f>IF($A70="","",E70*Parametros!$H$21)</f>
        <v/>
      </c>
      <c r="O70" s="14">
        <f>IF($A70="","",F70*Parametros!$H$22)</f>
        <v/>
      </c>
      <c r="P70" s="14">
        <f>IF($A70="","",F70*Parametros!$B$17)</f>
        <v/>
      </c>
      <c r="Q70" s="14">
        <f>IF($A70="","",D70*Parametros!$H$23)</f>
        <v/>
      </c>
      <c r="R70" s="14">
        <f>IF($A70="","",H70*Parametros!$H$24)</f>
        <v/>
      </c>
      <c r="S70" s="14">
        <f>IF($A70="","",IFERROR(INDEX(Confeccion!$B$5:$B$80,MATCH(G70,Confeccion!$A$5:$A$80,0)),0))</f>
        <v/>
      </c>
      <c r="T70" s="15">
        <f>IF($A70="","",SUM(M70:S70)+I70)</f>
        <v/>
      </c>
      <c r="U70" s="14">
        <f>IF($A70="","",IF(J70="","",J70*Parametros!$B$13))</f>
        <v/>
      </c>
      <c r="V70" s="14">
        <f>IF($A70="","",IF(J70="","",J70*Parametros!$B$14))</f>
        <v/>
      </c>
      <c r="W70" s="15">
        <f>IF($A70="","",IF(J70="","",J70-T70-U70-V70))</f>
        <v/>
      </c>
      <c r="X70" s="16">
        <f>IF($A70="","",IF(J70="","",W70/J70))</f>
        <v/>
      </c>
      <c r="Y70" s="14">
        <f>IF($A70="","",IF(Parametros!$B$15&gt;=1,"",T70/(1-Parametros!$B$15)))</f>
        <v/>
      </c>
      <c r="Z70" s="14">
        <f>IF($A70="","",IF(Parametros!$B$15+Parametros!$B$16&gt;=1,"",T70/(1-Parametros!$B$15-Parametros!$B$16)))</f>
        <v/>
      </c>
      <c r="AA70" s="17">
        <f>IF($A70="","",IF(J70="","Falta precio",IF(W70&lt;0,"PIERDE",IF(X70&lt;Parametros!$B$16,"BAJO META","OK"))))</f>
        <v/>
      </c>
      <c r="AB70" s="18">
        <f>IF($A70="","",IF(OR(C70="",D70=""),"Falta tela o consumo. ","")&amp;IF(AND(C70&lt;&gt;"",M70=0),"Tela sin precio. ","")&amp;IF(S70=0,"Confección sin valor. ","")&amp;IF(J70="","Falta precio de venta. ",""))</f>
        <v/>
      </c>
    </row>
    <row r="71">
      <c r="A71" s="9" t="n"/>
      <c r="B71" s="9" t="n"/>
      <c r="C71" s="9" t="n"/>
      <c r="D71" s="10" t="n"/>
      <c r="E71" s="11" t="n"/>
      <c r="F71" s="11" t="n"/>
      <c r="G71" s="9" t="n"/>
      <c r="H71" s="9" t="n"/>
      <c r="I71" s="12" t="n"/>
      <c r="J71" s="12" t="n"/>
      <c r="K71" s="9" t="n"/>
      <c r="L71" s="13" t="n"/>
      <c r="M71" s="14">
        <f>IF($A71="","",IFERROR(D71*INDEX(Insumos!$D$6:$D$98,MATCH(C71,Insumos!$A$6:$A$98,0)),0))</f>
        <v/>
      </c>
      <c r="N71" s="14">
        <f>IF($A71="","",E71*Parametros!$H$21)</f>
        <v/>
      </c>
      <c r="O71" s="14">
        <f>IF($A71="","",F71*Parametros!$H$22)</f>
        <v/>
      </c>
      <c r="P71" s="14">
        <f>IF($A71="","",F71*Parametros!$B$17)</f>
        <v/>
      </c>
      <c r="Q71" s="14">
        <f>IF($A71="","",D71*Parametros!$H$23)</f>
        <v/>
      </c>
      <c r="R71" s="14">
        <f>IF($A71="","",H71*Parametros!$H$24)</f>
        <v/>
      </c>
      <c r="S71" s="14">
        <f>IF($A71="","",IFERROR(INDEX(Confeccion!$B$5:$B$80,MATCH(G71,Confeccion!$A$5:$A$80,0)),0))</f>
        <v/>
      </c>
      <c r="T71" s="15">
        <f>IF($A71="","",SUM(M71:S71)+I71)</f>
        <v/>
      </c>
      <c r="U71" s="14">
        <f>IF($A71="","",IF(J71="","",J71*Parametros!$B$13))</f>
        <v/>
      </c>
      <c r="V71" s="14">
        <f>IF($A71="","",IF(J71="","",J71*Parametros!$B$14))</f>
        <v/>
      </c>
      <c r="W71" s="15">
        <f>IF($A71="","",IF(J71="","",J71-T71-U71-V71))</f>
        <v/>
      </c>
      <c r="X71" s="16">
        <f>IF($A71="","",IF(J71="","",W71/J71))</f>
        <v/>
      </c>
      <c r="Y71" s="14">
        <f>IF($A71="","",IF(Parametros!$B$15&gt;=1,"",T71/(1-Parametros!$B$15)))</f>
        <v/>
      </c>
      <c r="Z71" s="14">
        <f>IF($A71="","",IF(Parametros!$B$15+Parametros!$B$16&gt;=1,"",T71/(1-Parametros!$B$15-Parametros!$B$16)))</f>
        <v/>
      </c>
      <c r="AA71" s="17">
        <f>IF($A71="","",IF(J71="","Falta precio",IF(W71&lt;0,"PIERDE",IF(X71&lt;Parametros!$B$16,"BAJO META","OK"))))</f>
        <v/>
      </c>
      <c r="AB71" s="18">
        <f>IF($A71="","",IF(OR(C71="",D71=""),"Falta tela o consumo. ","")&amp;IF(AND(C71&lt;&gt;"",M71=0),"Tela sin precio. ","")&amp;IF(S71=0,"Confección sin valor. ","")&amp;IF(J71="","Falta precio de venta. ",""))</f>
        <v/>
      </c>
    </row>
    <row r="72">
      <c r="A72" s="9" t="n"/>
      <c r="B72" s="9" t="n"/>
      <c r="C72" s="9" t="n"/>
      <c r="D72" s="10" t="n"/>
      <c r="E72" s="11" t="n"/>
      <c r="F72" s="11" t="n"/>
      <c r="G72" s="9" t="n"/>
      <c r="H72" s="9" t="n"/>
      <c r="I72" s="12" t="n"/>
      <c r="J72" s="12" t="n"/>
      <c r="K72" s="9" t="n"/>
      <c r="L72" s="13" t="n"/>
      <c r="M72" s="14">
        <f>IF($A72="","",IFERROR(D72*INDEX(Insumos!$D$6:$D$98,MATCH(C72,Insumos!$A$6:$A$98,0)),0))</f>
        <v/>
      </c>
      <c r="N72" s="14">
        <f>IF($A72="","",E72*Parametros!$H$21)</f>
        <v/>
      </c>
      <c r="O72" s="14">
        <f>IF($A72="","",F72*Parametros!$H$22)</f>
        <v/>
      </c>
      <c r="P72" s="14">
        <f>IF($A72="","",F72*Parametros!$B$17)</f>
        <v/>
      </c>
      <c r="Q72" s="14">
        <f>IF($A72="","",D72*Parametros!$H$23)</f>
        <v/>
      </c>
      <c r="R72" s="14">
        <f>IF($A72="","",H72*Parametros!$H$24)</f>
        <v/>
      </c>
      <c r="S72" s="14">
        <f>IF($A72="","",IFERROR(INDEX(Confeccion!$B$5:$B$80,MATCH(G72,Confeccion!$A$5:$A$80,0)),0))</f>
        <v/>
      </c>
      <c r="T72" s="15">
        <f>IF($A72="","",SUM(M72:S72)+I72)</f>
        <v/>
      </c>
      <c r="U72" s="14">
        <f>IF($A72="","",IF(J72="","",J72*Parametros!$B$13))</f>
        <v/>
      </c>
      <c r="V72" s="14">
        <f>IF($A72="","",IF(J72="","",J72*Parametros!$B$14))</f>
        <v/>
      </c>
      <c r="W72" s="15">
        <f>IF($A72="","",IF(J72="","",J72-T72-U72-V72))</f>
        <v/>
      </c>
      <c r="X72" s="16">
        <f>IF($A72="","",IF(J72="","",W72/J72))</f>
        <v/>
      </c>
      <c r="Y72" s="14">
        <f>IF($A72="","",IF(Parametros!$B$15&gt;=1,"",T72/(1-Parametros!$B$15)))</f>
        <v/>
      </c>
      <c r="Z72" s="14">
        <f>IF($A72="","",IF(Parametros!$B$15+Parametros!$B$16&gt;=1,"",T72/(1-Parametros!$B$15-Parametros!$B$16)))</f>
        <v/>
      </c>
      <c r="AA72" s="17">
        <f>IF($A72="","",IF(J72="","Falta precio",IF(W72&lt;0,"PIERDE",IF(X72&lt;Parametros!$B$16,"BAJO META","OK"))))</f>
        <v/>
      </c>
      <c r="AB72" s="18">
        <f>IF($A72="","",IF(OR(C72="",D72=""),"Falta tela o consumo. ","")&amp;IF(AND(C72&lt;&gt;"",M72=0),"Tela sin precio. ","")&amp;IF(S72=0,"Confección sin valor. ","")&amp;IF(J72="","Falta precio de venta. ",""))</f>
        <v/>
      </c>
    </row>
    <row r="73">
      <c r="A73" s="9" t="n"/>
      <c r="B73" s="9" t="n"/>
      <c r="C73" s="9" t="n"/>
      <c r="D73" s="10" t="n"/>
      <c r="E73" s="11" t="n"/>
      <c r="F73" s="11" t="n"/>
      <c r="G73" s="9" t="n"/>
      <c r="H73" s="9" t="n"/>
      <c r="I73" s="12" t="n"/>
      <c r="J73" s="12" t="n"/>
      <c r="K73" s="9" t="n"/>
      <c r="L73" s="13" t="n"/>
      <c r="M73" s="14">
        <f>IF($A73="","",IFERROR(D73*INDEX(Insumos!$D$6:$D$98,MATCH(C73,Insumos!$A$6:$A$98,0)),0))</f>
        <v/>
      </c>
      <c r="N73" s="14">
        <f>IF($A73="","",E73*Parametros!$H$21)</f>
        <v/>
      </c>
      <c r="O73" s="14">
        <f>IF($A73="","",F73*Parametros!$H$22)</f>
        <v/>
      </c>
      <c r="P73" s="14">
        <f>IF($A73="","",F73*Parametros!$B$17)</f>
        <v/>
      </c>
      <c r="Q73" s="14">
        <f>IF($A73="","",D73*Parametros!$H$23)</f>
        <v/>
      </c>
      <c r="R73" s="14">
        <f>IF($A73="","",H73*Parametros!$H$24)</f>
        <v/>
      </c>
      <c r="S73" s="14">
        <f>IF($A73="","",IFERROR(INDEX(Confeccion!$B$5:$B$80,MATCH(G73,Confeccion!$A$5:$A$80,0)),0))</f>
        <v/>
      </c>
      <c r="T73" s="15">
        <f>IF($A73="","",SUM(M73:S73)+I73)</f>
        <v/>
      </c>
      <c r="U73" s="14">
        <f>IF($A73="","",IF(J73="","",J73*Parametros!$B$13))</f>
        <v/>
      </c>
      <c r="V73" s="14">
        <f>IF($A73="","",IF(J73="","",J73*Parametros!$B$14))</f>
        <v/>
      </c>
      <c r="W73" s="15">
        <f>IF($A73="","",IF(J73="","",J73-T73-U73-V73))</f>
        <v/>
      </c>
      <c r="X73" s="16">
        <f>IF($A73="","",IF(J73="","",W73/J73))</f>
        <v/>
      </c>
      <c r="Y73" s="14">
        <f>IF($A73="","",IF(Parametros!$B$15&gt;=1,"",T73/(1-Parametros!$B$15)))</f>
        <v/>
      </c>
      <c r="Z73" s="14">
        <f>IF($A73="","",IF(Parametros!$B$15+Parametros!$B$16&gt;=1,"",T73/(1-Parametros!$B$15-Parametros!$B$16)))</f>
        <v/>
      </c>
      <c r="AA73" s="17">
        <f>IF($A73="","",IF(J73="","Falta precio",IF(W73&lt;0,"PIERDE",IF(X73&lt;Parametros!$B$16,"BAJO META","OK"))))</f>
        <v/>
      </c>
      <c r="AB73" s="18">
        <f>IF($A73="","",IF(OR(C73="",D73=""),"Falta tela o consumo. ","")&amp;IF(AND(C73&lt;&gt;"",M73=0),"Tela sin precio. ","")&amp;IF(S73=0,"Confección sin valor. ","")&amp;IF(J73="","Falta precio de venta. ",""))</f>
        <v/>
      </c>
    </row>
    <row r="74">
      <c r="A74" s="9" t="n"/>
      <c r="B74" s="9" t="n"/>
      <c r="C74" s="9" t="n"/>
      <c r="D74" s="10" t="n"/>
      <c r="E74" s="11" t="n"/>
      <c r="F74" s="11" t="n"/>
      <c r="G74" s="9" t="n"/>
      <c r="H74" s="9" t="n"/>
      <c r="I74" s="12" t="n"/>
      <c r="J74" s="12" t="n"/>
      <c r="K74" s="9" t="n"/>
      <c r="L74" s="13" t="n"/>
      <c r="M74" s="14">
        <f>IF($A74="","",IFERROR(D74*INDEX(Insumos!$D$6:$D$98,MATCH(C74,Insumos!$A$6:$A$98,0)),0))</f>
        <v/>
      </c>
      <c r="N74" s="14">
        <f>IF($A74="","",E74*Parametros!$H$21)</f>
        <v/>
      </c>
      <c r="O74" s="14">
        <f>IF($A74="","",F74*Parametros!$H$22)</f>
        <v/>
      </c>
      <c r="P74" s="14">
        <f>IF($A74="","",F74*Parametros!$B$17)</f>
        <v/>
      </c>
      <c r="Q74" s="14">
        <f>IF($A74="","",D74*Parametros!$H$23)</f>
        <v/>
      </c>
      <c r="R74" s="14">
        <f>IF($A74="","",H74*Parametros!$H$24)</f>
        <v/>
      </c>
      <c r="S74" s="14">
        <f>IF($A74="","",IFERROR(INDEX(Confeccion!$B$5:$B$80,MATCH(G74,Confeccion!$A$5:$A$80,0)),0))</f>
        <v/>
      </c>
      <c r="T74" s="15">
        <f>IF($A74="","",SUM(M74:S74)+I74)</f>
        <v/>
      </c>
      <c r="U74" s="14">
        <f>IF($A74="","",IF(J74="","",J74*Parametros!$B$13))</f>
        <v/>
      </c>
      <c r="V74" s="14">
        <f>IF($A74="","",IF(J74="","",J74*Parametros!$B$14))</f>
        <v/>
      </c>
      <c r="W74" s="15">
        <f>IF($A74="","",IF(J74="","",J74-T74-U74-V74))</f>
        <v/>
      </c>
      <c r="X74" s="16">
        <f>IF($A74="","",IF(J74="","",W74/J74))</f>
        <v/>
      </c>
      <c r="Y74" s="14">
        <f>IF($A74="","",IF(Parametros!$B$15&gt;=1,"",T74/(1-Parametros!$B$15)))</f>
        <v/>
      </c>
      <c r="Z74" s="14">
        <f>IF($A74="","",IF(Parametros!$B$15+Parametros!$B$16&gt;=1,"",T74/(1-Parametros!$B$15-Parametros!$B$16)))</f>
        <v/>
      </c>
      <c r="AA74" s="17">
        <f>IF($A74="","",IF(J74="","Falta precio",IF(W74&lt;0,"PIERDE",IF(X74&lt;Parametros!$B$16,"BAJO META","OK"))))</f>
        <v/>
      </c>
      <c r="AB74" s="18">
        <f>IF($A74="","",IF(OR(C74="",D74=""),"Falta tela o consumo. ","")&amp;IF(AND(C74&lt;&gt;"",M74=0),"Tela sin precio. ","")&amp;IF(S74=0,"Confección sin valor. ","")&amp;IF(J74="","Falta precio de venta. ",""))</f>
        <v/>
      </c>
    </row>
    <row r="75">
      <c r="A75" s="9" t="n"/>
      <c r="B75" s="9" t="n"/>
      <c r="C75" s="9" t="n"/>
      <c r="D75" s="10" t="n"/>
      <c r="E75" s="11" t="n"/>
      <c r="F75" s="11" t="n"/>
      <c r="G75" s="9" t="n"/>
      <c r="H75" s="9" t="n"/>
      <c r="I75" s="12" t="n"/>
      <c r="J75" s="12" t="n"/>
      <c r="K75" s="9" t="n"/>
      <c r="L75" s="13" t="n"/>
      <c r="M75" s="14">
        <f>IF($A75="","",IFERROR(D75*INDEX(Insumos!$D$6:$D$98,MATCH(C75,Insumos!$A$6:$A$98,0)),0))</f>
        <v/>
      </c>
      <c r="N75" s="14">
        <f>IF($A75="","",E75*Parametros!$H$21)</f>
        <v/>
      </c>
      <c r="O75" s="14">
        <f>IF($A75="","",F75*Parametros!$H$22)</f>
        <v/>
      </c>
      <c r="P75" s="14">
        <f>IF($A75="","",F75*Parametros!$B$17)</f>
        <v/>
      </c>
      <c r="Q75" s="14">
        <f>IF($A75="","",D75*Parametros!$H$23)</f>
        <v/>
      </c>
      <c r="R75" s="14">
        <f>IF($A75="","",H75*Parametros!$H$24)</f>
        <v/>
      </c>
      <c r="S75" s="14">
        <f>IF($A75="","",IFERROR(INDEX(Confeccion!$B$5:$B$80,MATCH(G75,Confeccion!$A$5:$A$80,0)),0))</f>
        <v/>
      </c>
      <c r="T75" s="15">
        <f>IF($A75="","",SUM(M75:S75)+I75)</f>
        <v/>
      </c>
      <c r="U75" s="14">
        <f>IF($A75="","",IF(J75="","",J75*Parametros!$B$13))</f>
        <v/>
      </c>
      <c r="V75" s="14">
        <f>IF($A75="","",IF(J75="","",J75*Parametros!$B$14))</f>
        <v/>
      </c>
      <c r="W75" s="15">
        <f>IF($A75="","",IF(J75="","",J75-T75-U75-V75))</f>
        <v/>
      </c>
      <c r="X75" s="16">
        <f>IF($A75="","",IF(J75="","",W75/J75))</f>
        <v/>
      </c>
      <c r="Y75" s="14">
        <f>IF($A75="","",IF(Parametros!$B$15&gt;=1,"",T75/(1-Parametros!$B$15)))</f>
        <v/>
      </c>
      <c r="Z75" s="14">
        <f>IF($A75="","",IF(Parametros!$B$15+Parametros!$B$16&gt;=1,"",T75/(1-Parametros!$B$15-Parametros!$B$16)))</f>
        <v/>
      </c>
      <c r="AA75" s="17">
        <f>IF($A75="","",IF(J75="","Falta precio",IF(W75&lt;0,"PIERDE",IF(X75&lt;Parametros!$B$16,"BAJO META","OK"))))</f>
        <v/>
      </c>
      <c r="AB75" s="18">
        <f>IF($A75="","",IF(OR(C75="",D75=""),"Falta tela o consumo. ","")&amp;IF(AND(C75&lt;&gt;"",M75=0),"Tela sin precio. ","")&amp;IF(S75=0,"Confección sin valor. ","")&amp;IF(J75="","Falta precio de venta. ",""))</f>
        <v/>
      </c>
    </row>
    <row r="76">
      <c r="A76" s="9" t="n"/>
      <c r="B76" s="9" t="n"/>
      <c r="C76" s="9" t="n"/>
      <c r="D76" s="10" t="n"/>
      <c r="E76" s="11" t="n"/>
      <c r="F76" s="11" t="n"/>
      <c r="G76" s="9" t="n"/>
      <c r="H76" s="9" t="n"/>
      <c r="I76" s="12" t="n"/>
      <c r="J76" s="12" t="n"/>
      <c r="K76" s="9" t="n"/>
      <c r="L76" s="13" t="n"/>
      <c r="M76" s="14">
        <f>IF($A76="","",IFERROR(D76*INDEX(Insumos!$D$6:$D$98,MATCH(C76,Insumos!$A$6:$A$98,0)),0))</f>
        <v/>
      </c>
      <c r="N76" s="14">
        <f>IF($A76="","",E76*Parametros!$H$21)</f>
        <v/>
      </c>
      <c r="O76" s="14">
        <f>IF($A76="","",F76*Parametros!$H$22)</f>
        <v/>
      </c>
      <c r="P76" s="14">
        <f>IF($A76="","",F76*Parametros!$B$17)</f>
        <v/>
      </c>
      <c r="Q76" s="14">
        <f>IF($A76="","",D76*Parametros!$H$23)</f>
        <v/>
      </c>
      <c r="R76" s="14">
        <f>IF($A76="","",H76*Parametros!$H$24)</f>
        <v/>
      </c>
      <c r="S76" s="14">
        <f>IF($A76="","",IFERROR(INDEX(Confeccion!$B$5:$B$80,MATCH(G76,Confeccion!$A$5:$A$80,0)),0))</f>
        <v/>
      </c>
      <c r="T76" s="15">
        <f>IF($A76="","",SUM(M76:S76)+I76)</f>
        <v/>
      </c>
      <c r="U76" s="14">
        <f>IF($A76="","",IF(J76="","",J76*Parametros!$B$13))</f>
        <v/>
      </c>
      <c r="V76" s="14">
        <f>IF($A76="","",IF(J76="","",J76*Parametros!$B$14))</f>
        <v/>
      </c>
      <c r="W76" s="15">
        <f>IF($A76="","",IF(J76="","",J76-T76-U76-V76))</f>
        <v/>
      </c>
      <c r="X76" s="16">
        <f>IF($A76="","",IF(J76="","",W76/J76))</f>
        <v/>
      </c>
      <c r="Y76" s="14">
        <f>IF($A76="","",IF(Parametros!$B$15&gt;=1,"",T76/(1-Parametros!$B$15)))</f>
        <v/>
      </c>
      <c r="Z76" s="14">
        <f>IF($A76="","",IF(Parametros!$B$15+Parametros!$B$16&gt;=1,"",T76/(1-Parametros!$B$15-Parametros!$B$16)))</f>
        <v/>
      </c>
      <c r="AA76" s="17">
        <f>IF($A76="","",IF(J76="","Falta precio",IF(W76&lt;0,"PIERDE",IF(X76&lt;Parametros!$B$16,"BAJO META","OK"))))</f>
        <v/>
      </c>
      <c r="AB76" s="18">
        <f>IF($A76="","",IF(OR(C76="",D76=""),"Falta tela o consumo. ","")&amp;IF(AND(C76&lt;&gt;"",M76=0),"Tela sin precio. ","")&amp;IF(S76=0,"Confección sin valor. ","")&amp;IF(J76="","Falta precio de venta. ",""))</f>
        <v/>
      </c>
    </row>
    <row r="77">
      <c r="A77" s="9" t="n"/>
      <c r="B77" s="9" t="n"/>
      <c r="C77" s="9" t="n"/>
      <c r="D77" s="10" t="n"/>
      <c r="E77" s="11" t="n"/>
      <c r="F77" s="11" t="n"/>
      <c r="G77" s="9" t="n"/>
      <c r="H77" s="9" t="n"/>
      <c r="I77" s="12" t="n"/>
      <c r="J77" s="12" t="n"/>
      <c r="K77" s="9" t="n"/>
      <c r="L77" s="13" t="n"/>
      <c r="M77" s="14">
        <f>IF($A77="","",IFERROR(D77*INDEX(Insumos!$D$6:$D$98,MATCH(C77,Insumos!$A$6:$A$98,0)),0))</f>
        <v/>
      </c>
      <c r="N77" s="14">
        <f>IF($A77="","",E77*Parametros!$H$21)</f>
        <v/>
      </c>
      <c r="O77" s="14">
        <f>IF($A77="","",F77*Parametros!$H$22)</f>
        <v/>
      </c>
      <c r="P77" s="14">
        <f>IF($A77="","",F77*Parametros!$B$17)</f>
        <v/>
      </c>
      <c r="Q77" s="14">
        <f>IF($A77="","",D77*Parametros!$H$23)</f>
        <v/>
      </c>
      <c r="R77" s="14">
        <f>IF($A77="","",H77*Parametros!$H$24)</f>
        <v/>
      </c>
      <c r="S77" s="14">
        <f>IF($A77="","",IFERROR(INDEX(Confeccion!$B$5:$B$80,MATCH(G77,Confeccion!$A$5:$A$80,0)),0))</f>
        <v/>
      </c>
      <c r="T77" s="15">
        <f>IF($A77="","",SUM(M77:S77)+I77)</f>
        <v/>
      </c>
      <c r="U77" s="14">
        <f>IF($A77="","",IF(J77="","",J77*Parametros!$B$13))</f>
        <v/>
      </c>
      <c r="V77" s="14">
        <f>IF($A77="","",IF(J77="","",J77*Parametros!$B$14))</f>
        <v/>
      </c>
      <c r="W77" s="15">
        <f>IF($A77="","",IF(J77="","",J77-T77-U77-V77))</f>
        <v/>
      </c>
      <c r="X77" s="16">
        <f>IF($A77="","",IF(J77="","",W77/J77))</f>
        <v/>
      </c>
      <c r="Y77" s="14">
        <f>IF($A77="","",IF(Parametros!$B$15&gt;=1,"",T77/(1-Parametros!$B$15)))</f>
        <v/>
      </c>
      <c r="Z77" s="14">
        <f>IF($A77="","",IF(Parametros!$B$15+Parametros!$B$16&gt;=1,"",T77/(1-Parametros!$B$15-Parametros!$B$16)))</f>
        <v/>
      </c>
      <c r="AA77" s="17">
        <f>IF($A77="","",IF(J77="","Falta precio",IF(W77&lt;0,"PIERDE",IF(X77&lt;Parametros!$B$16,"BAJO META","OK"))))</f>
        <v/>
      </c>
      <c r="AB77" s="18">
        <f>IF($A77="","",IF(OR(C77="",D77=""),"Falta tela o consumo. ","")&amp;IF(AND(C77&lt;&gt;"",M77=0),"Tela sin precio. ","")&amp;IF(S77=0,"Confección sin valor. ","")&amp;IF(J77="","Falta precio de venta. ",""))</f>
        <v/>
      </c>
    </row>
    <row r="78">
      <c r="A78" s="9" t="n"/>
      <c r="B78" s="9" t="n"/>
      <c r="C78" s="9" t="n"/>
      <c r="D78" s="10" t="n"/>
      <c r="E78" s="11" t="n"/>
      <c r="F78" s="11" t="n"/>
      <c r="G78" s="9" t="n"/>
      <c r="H78" s="9" t="n"/>
      <c r="I78" s="12" t="n"/>
      <c r="J78" s="12" t="n"/>
      <c r="K78" s="9" t="n"/>
      <c r="L78" s="13" t="n"/>
      <c r="M78" s="14">
        <f>IF($A78="","",IFERROR(D78*INDEX(Insumos!$D$6:$D$98,MATCH(C78,Insumos!$A$6:$A$98,0)),0))</f>
        <v/>
      </c>
      <c r="N78" s="14">
        <f>IF($A78="","",E78*Parametros!$H$21)</f>
        <v/>
      </c>
      <c r="O78" s="14">
        <f>IF($A78="","",F78*Parametros!$H$22)</f>
        <v/>
      </c>
      <c r="P78" s="14">
        <f>IF($A78="","",F78*Parametros!$B$17)</f>
        <v/>
      </c>
      <c r="Q78" s="14">
        <f>IF($A78="","",D78*Parametros!$H$23)</f>
        <v/>
      </c>
      <c r="R78" s="14">
        <f>IF($A78="","",H78*Parametros!$H$24)</f>
        <v/>
      </c>
      <c r="S78" s="14">
        <f>IF($A78="","",IFERROR(INDEX(Confeccion!$B$5:$B$80,MATCH(G78,Confeccion!$A$5:$A$80,0)),0))</f>
        <v/>
      </c>
      <c r="T78" s="15">
        <f>IF($A78="","",SUM(M78:S78)+I78)</f>
        <v/>
      </c>
      <c r="U78" s="14">
        <f>IF($A78="","",IF(J78="","",J78*Parametros!$B$13))</f>
        <v/>
      </c>
      <c r="V78" s="14">
        <f>IF($A78="","",IF(J78="","",J78*Parametros!$B$14))</f>
        <v/>
      </c>
      <c r="W78" s="15">
        <f>IF($A78="","",IF(J78="","",J78-T78-U78-V78))</f>
        <v/>
      </c>
      <c r="X78" s="16">
        <f>IF($A78="","",IF(J78="","",W78/J78))</f>
        <v/>
      </c>
      <c r="Y78" s="14">
        <f>IF($A78="","",IF(Parametros!$B$15&gt;=1,"",T78/(1-Parametros!$B$15)))</f>
        <v/>
      </c>
      <c r="Z78" s="14">
        <f>IF($A78="","",IF(Parametros!$B$15+Parametros!$B$16&gt;=1,"",T78/(1-Parametros!$B$15-Parametros!$B$16)))</f>
        <v/>
      </c>
      <c r="AA78" s="17">
        <f>IF($A78="","",IF(J78="","Falta precio",IF(W78&lt;0,"PIERDE",IF(X78&lt;Parametros!$B$16,"BAJO META","OK"))))</f>
        <v/>
      </c>
      <c r="AB78" s="18">
        <f>IF($A78="","",IF(OR(C78="",D78=""),"Falta tela o consumo. ","")&amp;IF(AND(C78&lt;&gt;"",M78=0),"Tela sin precio. ","")&amp;IF(S78=0,"Confección sin valor. ","")&amp;IF(J78="","Falta precio de venta. ",""))</f>
        <v/>
      </c>
    </row>
    <row r="79">
      <c r="A79" s="9" t="n"/>
      <c r="B79" s="9" t="n"/>
      <c r="C79" s="9" t="n"/>
      <c r="D79" s="10" t="n"/>
      <c r="E79" s="11" t="n"/>
      <c r="F79" s="11" t="n"/>
      <c r="G79" s="9" t="n"/>
      <c r="H79" s="9" t="n"/>
      <c r="I79" s="12" t="n"/>
      <c r="J79" s="12" t="n"/>
      <c r="K79" s="9" t="n"/>
      <c r="L79" s="13" t="n"/>
      <c r="M79" s="14">
        <f>IF($A79="","",IFERROR(D79*INDEX(Insumos!$D$6:$D$98,MATCH(C79,Insumos!$A$6:$A$98,0)),0))</f>
        <v/>
      </c>
      <c r="N79" s="14">
        <f>IF($A79="","",E79*Parametros!$H$21)</f>
        <v/>
      </c>
      <c r="O79" s="14">
        <f>IF($A79="","",F79*Parametros!$H$22)</f>
        <v/>
      </c>
      <c r="P79" s="14">
        <f>IF($A79="","",F79*Parametros!$B$17)</f>
        <v/>
      </c>
      <c r="Q79" s="14">
        <f>IF($A79="","",D79*Parametros!$H$23)</f>
        <v/>
      </c>
      <c r="R79" s="14">
        <f>IF($A79="","",H79*Parametros!$H$24)</f>
        <v/>
      </c>
      <c r="S79" s="14">
        <f>IF($A79="","",IFERROR(INDEX(Confeccion!$B$5:$B$80,MATCH(G79,Confeccion!$A$5:$A$80,0)),0))</f>
        <v/>
      </c>
      <c r="T79" s="15">
        <f>IF($A79="","",SUM(M79:S79)+I79)</f>
        <v/>
      </c>
      <c r="U79" s="14">
        <f>IF($A79="","",IF(J79="","",J79*Parametros!$B$13))</f>
        <v/>
      </c>
      <c r="V79" s="14">
        <f>IF($A79="","",IF(J79="","",J79*Parametros!$B$14))</f>
        <v/>
      </c>
      <c r="W79" s="15">
        <f>IF($A79="","",IF(J79="","",J79-T79-U79-V79))</f>
        <v/>
      </c>
      <c r="X79" s="16">
        <f>IF($A79="","",IF(J79="","",W79/J79))</f>
        <v/>
      </c>
      <c r="Y79" s="14">
        <f>IF($A79="","",IF(Parametros!$B$15&gt;=1,"",T79/(1-Parametros!$B$15)))</f>
        <v/>
      </c>
      <c r="Z79" s="14">
        <f>IF($A79="","",IF(Parametros!$B$15+Parametros!$B$16&gt;=1,"",T79/(1-Parametros!$B$15-Parametros!$B$16)))</f>
        <v/>
      </c>
      <c r="AA79" s="17">
        <f>IF($A79="","",IF(J79="","Falta precio",IF(W79&lt;0,"PIERDE",IF(X79&lt;Parametros!$B$16,"BAJO META","OK"))))</f>
        <v/>
      </c>
      <c r="AB79" s="18">
        <f>IF($A79="","",IF(OR(C79="",D79=""),"Falta tela o consumo. ","")&amp;IF(AND(C79&lt;&gt;"",M79=0),"Tela sin precio. ","")&amp;IF(S79=0,"Confección sin valor. ","")&amp;IF(J79="","Falta precio de venta. ",""))</f>
        <v/>
      </c>
    </row>
    <row r="80">
      <c r="A80" s="9" t="n"/>
      <c r="B80" s="9" t="n"/>
      <c r="C80" s="9" t="n"/>
      <c r="D80" s="10" t="n"/>
      <c r="E80" s="11" t="n"/>
      <c r="F80" s="11" t="n"/>
      <c r="G80" s="9" t="n"/>
      <c r="H80" s="9" t="n"/>
      <c r="I80" s="12" t="n"/>
      <c r="J80" s="12" t="n"/>
      <c r="K80" s="9" t="n"/>
      <c r="L80" s="13" t="n"/>
      <c r="M80" s="14">
        <f>IF($A80="","",IFERROR(D80*INDEX(Insumos!$D$6:$D$98,MATCH(C80,Insumos!$A$6:$A$98,0)),0))</f>
        <v/>
      </c>
      <c r="N80" s="14">
        <f>IF($A80="","",E80*Parametros!$H$21)</f>
        <v/>
      </c>
      <c r="O80" s="14">
        <f>IF($A80="","",F80*Parametros!$H$22)</f>
        <v/>
      </c>
      <c r="P80" s="14">
        <f>IF($A80="","",F80*Parametros!$B$17)</f>
        <v/>
      </c>
      <c r="Q80" s="14">
        <f>IF($A80="","",D80*Parametros!$H$23)</f>
        <v/>
      </c>
      <c r="R80" s="14">
        <f>IF($A80="","",H80*Parametros!$H$24)</f>
        <v/>
      </c>
      <c r="S80" s="14">
        <f>IF($A80="","",IFERROR(INDEX(Confeccion!$B$5:$B$80,MATCH(G80,Confeccion!$A$5:$A$80,0)),0))</f>
        <v/>
      </c>
      <c r="T80" s="15">
        <f>IF($A80="","",SUM(M80:S80)+I80)</f>
        <v/>
      </c>
      <c r="U80" s="14">
        <f>IF($A80="","",IF(J80="","",J80*Parametros!$B$13))</f>
        <v/>
      </c>
      <c r="V80" s="14">
        <f>IF($A80="","",IF(J80="","",J80*Parametros!$B$14))</f>
        <v/>
      </c>
      <c r="W80" s="15">
        <f>IF($A80="","",IF(J80="","",J80-T80-U80-V80))</f>
        <v/>
      </c>
      <c r="X80" s="16">
        <f>IF($A80="","",IF(J80="","",W80/J80))</f>
        <v/>
      </c>
      <c r="Y80" s="14">
        <f>IF($A80="","",IF(Parametros!$B$15&gt;=1,"",T80/(1-Parametros!$B$15)))</f>
        <v/>
      </c>
      <c r="Z80" s="14">
        <f>IF($A80="","",IF(Parametros!$B$15+Parametros!$B$16&gt;=1,"",T80/(1-Parametros!$B$15-Parametros!$B$16)))</f>
        <v/>
      </c>
      <c r="AA80" s="17">
        <f>IF($A80="","",IF(J80="","Falta precio",IF(W80&lt;0,"PIERDE",IF(X80&lt;Parametros!$B$16,"BAJO META","OK"))))</f>
        <v/>
      </c>
      <c r="AB80" s="18">
        <f>IF($A80="","",IF(OR(C80="",D80=""),"Falta tela o consumo. ","")&amp;IF(AND(C80&lt;&gt;"",M80=0),"Tela sin precio. ","")&amp;IF(S80=0,"Confección sin valor. ","")&amp;IF(J80="","Falta precio de venta. ",""))</f>
        <v/>
      </c>
    </row>
    <row r="81">
      <c r="A81" s="9" t="n"/>
      <c r="B81" s="9" t="n"/>
      <c r="C81" s="9" t="n"/>
      <c r="D81" s="10" t="n"/>
      <c r="E81" s="11" t="n"/>
      <c r="F81" s="11" t="n"/>
      <c r="G81" s="9" t="n"/>
      <c r="H81" s="9" t="n"/>
      <c r="I81" s="12" t="n"/>
      <c r="J81" s="12" t="n"/>
      <c r="K81" s="9" t="n"/>
      <c r="L81" s="13" t="n"/>
      <c r="M81" s="14">
        <f>IF($A81="","",IFERROR(D81*INDEX(Insumos!$D$6:$D$98,MATCH(C81,Insumos!$A$6:$A$98,0)),0))</f>
        <v/>
      </c>
      <c r="N81" s="14">
        <f>IF($A81="","",E81*Parametros!$H$21)</f>
        <v/>
      </c>
      <c r="O81" s="14">
        <f>IF($A81="","",F81*Parametros!$H$22)</f>
        <v/>
      </c>
      <c r="P81" s="14">
        <f>IF($A81="","",F81*Parametros!$B$17)</f>
        <v/>
      </c>
      <c r="Q81" s="14">
        <f>IF($A81="","",D81*Parametros!$H$23)</f>
        <v/>
      </c>
      <c r="R81" s="14">
        <f>IF($A81="","",H81*Parametros!$H$24)</f>
        <v/>
      </c>
      <c r="S81" s="14">
        <f>IF($A81="","",IFERROR(INDEX(Confeccion!$B$5:$B$80,MATCH(G81,Confeccion!$A$5:$A$80,0)),0))</f>
        <v/>
      </c>
      <c r="T81" s="15">
        <f>IF($A81="","",SUM(M81:S81)+I81)</f>
        <v/>
      </c>
      <c r="U81" s="14">
        <f>IF($A81="","",IF(J81="","",J81*Parametros!$B$13))</f>
        <v/>
      </c>
      <c r="V81" s="14">
        <f>IF($A81="","",IF(J81="","",J81*Parametros!$B$14))</f>
        <v/>
      </c>
      <c r="W81" s="15">
        <f>IF($A81="","",IF(J81="","",J81-T81-U81-V81))</f>
        <v/>
      </c>
      <c r="X81" s="16">
        <f>IF($A81="","",IF(J81="","",W81/J81))</f>
        <v/>
      </c>
      <c r="Y81" s="14">
        <f>IF($A81="","",IF(Parametros!$B$15&gt;=1,"",T81/(1-Parametros!$B$15)))</f>
        <v/>
      </c>
      <c r="Z81" s="14">
        <f>IF($A81="","",IF(Parametros!$B$15+Parametros!$B$16&gt;=1,"",T81/(1-Parametros!$B$15-Parametros!$B$16)))</f>
        <v/>
      </c>
      <c r="AA81" s="17">
        <f>IF($A81="","",IF(J81="","Falta precio",IF(W81&lt;0,"PIERDE",IF(X81&lt;Parametros!$B$16,"BAJO META","OK"))))</f>
        <v/>
      </c>
      <c r="AB81" s="18">
        <f>IF($A81="","",IF(OR(C81="",D81=""),"Falta tela o consumo. ","")&amp;IF(AND(C81&lt;&gt;"",M81=0),"Tela sin precio. ","")&amp;IF(S81=0,"Confección sin valor. ","")&amp;IF(J81="","Falta precio de venta. ",""))</f>
        <v/>
      </c>
    </row>
    <row r="82">
      <c r="A82" s="9" t="n"/>
      <c r="B82" s="9" t="n"/>
      <c r="C82" s="9" t="n"/>
      <c r="D82" s="10" t="n"/>
      <c r="E82" s="11" t="n"/>
      <c r="F82" s="11" t="n"/>
      <c r="G82" s="9" t="n"/>
      <c r="H82" s="9" t="n"/>
      <c r="I82" s="12" t="n"/>
      <c r="J82" s="12" t="n"/>
      <c r="K82" s="9" t="n"/>
      <c r="L82" s="13" t="n"/>
      <c r="M82" s="14">
        <f>IF($A82="","",IFERROR(D82*INDEX(Insumos!$D$6:$D$98,MATCH(C82,Insumos!$A$6:$A$98,0)),0))</f>
        <v/>
      </c>
      <c r="N82" s="14">
        <f>IF($A82="","",E82*Parametros!$H$21)</f>
        <v/>
      </c>
      <c r="O82" s="14">
        <f>IF($A82="","",F82*Parametros!$H$22)</f>
        <v/>
      </c>
      <c r="P82" s="14">
        <f>IF($A82="","",F82*Parametros!$B$17)</f>
        <v/>
      </c>
      <c r="Q82" s="14">
        <f>IF($A82="","",D82*Parametros!$H$23)</f>
        <v/>
      </c>
      <c r="R82" s="14">
        <f>IF($A82="","",H82*Parametros!$H$24)</f>
        <v/>
      </c>
      <c r="S82" s="14">
        <f>IF($A82="","",IFERROR(INDEX(Confeccion!$B$5:$B$80,MATCH(G82,Confeccion!$A$5:$A$80,0)),0))</f>
        <v/>
      </c>
      <c r="T82" s="15">
        <f>IF($A82="","",SUM(M82:S82)+I82)</f>
        <v/>
      </c>
      <c r="U82" s="14">
        <f>IF($A82="","",IF(J82="","",J82*Parametros!$B$13))</f>
        <v/>
      </c>
      <c r="V82" s="14">
        <f>IF($A82="","",IF(J82="","",J82*Parametros!$B$14))</f>
        <v/>
      </c>
      <c r="W82" s="15">
        <f>IF($A82="","",IF(J82="","",J82-T82-U82-V82))</f>
        <v/>
      </c>
      <c r="X82" s="16">
        <f>IF($A82="","",IF(J82="","",W82/J82))</f>
        <v/>
      </c>
      <c r="Y82" s="14">
        <f>IF($A82="","",IF(Parametros!$B$15&gt;=1,"",T82/(1-Parametros!$B$15)))</f>
        <v/>
      </c>
      <c r="Z82" s="14">
        <f>IF($A82="","",IF(Parametros!$B$15+Parametros!$B$16&gt;=1,"",T82/(1-Parametros!$B$15-Parametros!$B$16)))</f>
        <v/>
      </c>
      <c r="AA82" s="17">
        <f>IF($A82="","",IF(J82="","Falta precio",IF(W82&lt;0,"PIERDE",IF(X82&lt;Parametros!$B$16,"BAJO META","OK"))))</f>
        <v/>
      </c>
      <c r="AB82" s="18">
        <f>IF($A82="","",IF(OR(C82="",D82=""),"Falta tela o consumo. ","")&amp;IF(AND(C82&lt;&gt;"",M82=0),"Tela sin precio. ","")&amp;IF(S82=0,"Confección sin valor. ","")&amp;IF(J82="","Falta precio de venta. ",""))</f>
        <v/>
      </c>
    </row>
    <row r="83">
      <c r="A83" s="9" t="n"/>
      <c r="B83" s="9" t="n"/>
      <c r="C83" s="9" t="n"/>
      <c r="D83" s="10" t="n"/>
      <c r="E83" s="11" t="n"/>
      <c r="F83" s="11" t="n"/>
      <c r="G83" s="9" t="n"/>
      <c r="H83" s="9" t="n"/>
      <c r="I83" s="12" t="n"/>
      <c r="J83" s="12" t="n"/>
      <c r="K83" s="9" t="n"/>
      <c r="L83" s="13" t="n"/>
      <c r="M83" s="14">
        <f>IF($A83="","",IFERROR(D83*INDEX(Insumos!$D$6:$D$98,MATCH(C83,Insumos!$A$6:$A$98,0)),0))</f>
        <v/>
      </c>
      <c r="N83" s="14">
        <f>IF($A83="","",E83*Parametros!$H$21)</f>
        <v/>
      </c>
      <c r="O83" s="14">
        <f>IF($A83="","",F83*Parametros!$H$22)</f>
        <v/>
      </c>
      <c r="P83" s="14">
        <f>IF($A83="","",F83*Parametros!$B$17)</f>
        <v/>
      </c>
      <c r="Q83" s="14">
        <f>IF($A83="","",D83*Parametros!$H$23)</f>
        <v/>
      </c>
      <c r="R83" s="14">
        <f>IF($A83="","",H83*Parametros!$H$24)</f>
        <v/>
      </c>
      <c r="S83" s="14">
        <f>IF($A83="","",IFERROR(INDEX(Confeccion!$B$5:$B$80,MATCH(G83,Confeccion!$A$5:$A$80,0)),0))</f>
        <v/>
      </c>
      <c r="T83" s="15">
        <f>IF($A83="","",SUM(M83:S83)+I83)</f>
        <v/>
      </c>
      <c r="U83" s="14">
        <f>IF($A83="","",IF(J83="","",J83*Parametros!$B$13))</f>
        <v/>
      </c>
      <c r="V83" s="14">
        <f>IF($A83="","",IF(J83="","",J83*Parametros!$B$14))</f>
        <v/>
      </c>
      <c r="W83" s="15">
        <f>IF($A83="","",IF(J83="","",J83-T83-U83-V83))</f>
        <v/>
      </c>
      <c r="X83" s="16">
        <f>IF($A83="","",IF(J83="","",W83/J83))</f>
        <v/>
      </c>
      <c r="Y83" s="14">
        <f>IF($A83="","",IF(Parametros!$B$15&gt;=1,"",T83/(1-Parametros!$B$15)))</f>
        <v/>
      </c>
      <c r="Z83" s="14">
        <f>IF($A83="","",IF(Parametros!$B$15+Parametros!$B$16&gt;=1,"",T83/(1-Parametros!$B$15-Parametros!$B$16)))</f>
        <v/>
      </c>
      <c r="AA83" s="17">
        <f>IF($A83="","",IF(J83="","Falta precio",IF(W83&lt;0,"PIERDE",IF(X83&lt;Parametros!$B$16,"BAJO META","OK"))))</f>
        <v/>
      </c>
      <c r="AB83" s="18">
        <f>IF($A83="","",IF(OR(C83="",D83=""),"Falta tela o consumo. ","")&amp;IF(AND(C83&lt;&gt;"",M83=0),"Tela sin precio. ","")&amp;IF(S83=0,"Confección sin valor. ","")&amp;IF(J83="","Falta precio de venta. ",""))</f>
        <v/>
      </c>
    </row>
    <row r="84">
      <c r="A84" s="9" t="n"/>
      <c r="B84" s="9" t="n"/>
      <c r="C84" s="9" t="n"/>
      <c r="D84" s="10" t="n"/>
      <c r="E84" s="11" t="n"/>
      <c r="F84" s="11" t="n"/>
      <c r="G84" s="9" t="n"/>
      <c r="H84" s="9" t="n"/>
      <c r="I84" s="12" t="n"/>
      <c r="J84" s="12" t="n"/>
      <c r="K84" s="9" t="n"/>
      <c r="L84" s="13" t="n"/>
      <c r="M84" s="14">
        <f>IF($A84="","",IFERROR(D84*INDEX(Insumos!$D$6:$D$98,MATCH(C84,Insumos!$A$6:$A$98,0)),0))</f>
        <v/>
      </c>
      <c r="N84" s="14">
        <f>IF($A84="","",E84*Parametros!$H$21)</f>
        <v/>
      </c>
      <c r="O84" s="14">
        <f>IF($A84="","",F84*Parametros!$H$22)</f>
        <v/>
      </c>
      <c r="P84" s="14">
        <f>IF($A84="","",F84*Parametros!$B$17)</f>
        <v/>
      </c>
      <c r="Q84" s="14">
        <f>IF($A84="","",D84*Parametros!$H$23)</f>
        <v/>
      </c>
      <c r="R84" s="14">
        <f>IF($A84="","",H84*Parametros!$H$24)</f>
        <v/>
      </c>
      <c r="S84" s="14">
        <f>IF($A84="","",IFERROR(INDEX(Confeccion!$B$5:$B$80,MATCH(G84,Confeccion!$A$5:$A$80,0)),0))</f>
        <v/>
      </c>
      <c r="T84" s="15">
        <f>IF($A84="","",SUM(M84:S84)+I84)</f>
        <v/>
      </c>
      <c r="U84" s="14">
        <f>IF($A84="","",IF(J84="","",J84*Parametros!$B$13))</f>
        <v/>
      </c>
      <c r="V84" s="14">
        <f>IF($A84="","",IF(J84="","",J84*Parametros!$B$14))</f>
        <v/>
      </c>
      <c r="W84" s="15">
        <f>IF($A84="","",IF(J84="","",J84-T84-U84-V84))</f>
        <v/>
      </c>
      <c r="X84" s="16">
        <f>IF($A84="","",IF(J84="","",W84/J84))</f>
        <v/>
      </c>
      <c r="Y84" s="14">
        <f>IF($A84="","",IF(Parametros!$B$15&gt;=1,"",T84/(1-Parametros!$B$15)))</f>
        <v/>
      </c>
      <c r="Z84" s="14">
        <f>IF($A84="","",IF(Parametros!$B$15+Parametros!$B$16&gt;=1,"",T84/(1-Parametros!$B$15-Parametros!$B$16)))</f>
        <v/>
      </c>
      <c r="AA84" s="17">
        <f>IF($A84="","",IF(J84="","Falta precio",IF(W84&lt;0,"PIERDE",IF(X84&lt;Parametros!$B$16,"BAJO META","OK"))))</f>
        <v/>
      </c>
      <c r="AB84" s="18">
        <f>IF($A84="","",IF(OR(C84="",D84=""),"Falta tela o consumo. ","")&amp;IF(AND(C84&lt;&gt;"",M84=0),"Tela sin precio. ","")&amp;IF(S84=0,"Confección sin valor. ","")&amp;IF(J84="","Falta precio de venta. ",""))</f>
        <v/>
      </c>
    </row>
    <row r="85">
      <c r="A85" s="9" t="n"/>
      <c r="B85" s="9" t="n"/>
      <c r="C85" s="9" t="n"/>
      <c r="D85" s="10" t="n"/>
      <c r="E85" s="11" t="n"/>
      <c r="F85" s="11" t="n"/>
      <c r="G85" s="9" t="n"/>
      <c r="H85" s="9" t="n"/>
      <c r="I85" s="12" t="n"/>
      <c r="J85" s="12" t="n"/>
      <c r="K85" s="9" t="n"/>
      <c r="L85" s="13" t="n"/>
      <c r="M85" s="14">
        <f>IF($A85="","",IFERROR(D85*INDEX(Insumos!$D$6:$D$98,MATCH(C85,Insumos!$A$6:$A$98,0)),0))</f>
        <v/>
      </c>
      <c r="N85" s="14">
        <f>IF($A85="","",E85*Parametros!$H$21)</f>
        <v/>
      </c>
      <c r="O85" s="14">
        <f>IF($A85="","",F85*Parametros!$H$22)</f>
        <v/>
      </c>
      <c r="P85" s="14">
        <f>IF($A85="","",F85*Parametros!$B$17)</f>
        <v/>
      </c>
      <c r="Q85" s="14">
        <f>IF($A85="","",D85*Parametros!$H$23)</f>
        <v/>
      </c>
      <c r="R85" s="14">
        <f>IF($A85="","",H85*Parametros!$H$24)</f>
        <v/>
      </c>
      <c r="S85" s="14">
        <f>IF($A85="","",IFERROR(INDEX(Confeccion!$B$5:$B$80,MATCH(G85,Confeccion!$A$5:$A$80,0)),0))</f>
        <v/>
      </c>
      <c r="T85" s="15">
        <f>IF($A85="","",SUM(M85:S85)+I85)</f>
        <v/>
      </c>
      <c r="U85" s="14">
        <f>IF($A85="","",IF(J85="","",J85*Parametros!$B$13))</f>
        <v/>
      </c>
      <c r="V85" s="14">
        <f>IF($A85="","",IF(J85="","",J85*Parametros!$B$14))</f>
        <v/>
      </c>
      <c r="W85" s="15">
        <f>IF($A85="","",IF(J85="","",J85-T85-U85-V85))</f>
        <v/>
      </c>
      <c r="X85" s="16">
        <f>IF($A85="","",IF(J85="","",W85/J85))</f>
        <v/>
      </c>
      <c r="Y85" s="14">
        <f>IF($A85="","",IF(Parametros!$B$15&gt;=1,"",T85/(1-Parametros!$B$15)))</f>
        <v/>
      </c>
      <c r="Z85" s="14">
        <f>IF($A85="","",IF(Parametros!$B$15+Parametros!$B$16&gt;=1,"",T85/(1-Parametros!$B$15-Parametros!$B$16)))</f>
        <v/>
      </c>
      <c r="AA85" s="17">
        <f>IF($A85="","",IF(J85="","Falta precio",IF(W85&lt;0,"PIERDE",IF(X85&lt;Parametros!$B$16,"BAJO META","OK"))))</f>
        <v/>
      </c>
      <c r="AB85" s="18">
        <f>IF($A85="","",IF(OR(C85="",D85=""),"Falta tela o consumo. ","")&amp;IF(AND(C85&lt;&gt;"",M85=0),"Tela sin precio. ","")&amp;IF(S85=0,"Confección sin valor. ","")&amp;IF(J85="","Falta precio de venta. ",""))</f>
        <v/>
      </c>
    </row>
    <row r="86">
      <c r="A86" s="9" t="n"/>
      <c r="B86" s="9" t="n"/>
      <c r="C86" s="9" t="n"/>
      <c r="D86" s="10" t="n"/>
      <c r="E86" s="11" t="n"/>
      <c r="F86" s="11" t="n"/>
      <c r="G86" s="9" t="n"/>
      <c r="H86" s="9" t="n"/>
      <c r="I86" s="12" t="n"/>
      <c r="J86" s="12" t="n"/>
      <c r="K86" s="9" t="n"/>
      <c r="L86" s="13" t="n"/>
      <c r="M86" s="14">
        <f>IF($A86="","",IFERROR(D86*INDEX(Insumos!$D$6:$D$98,MATCH(C86,Insumos!$A$6:$A$98,0)),0))</f>
        <v/>
      </c>
      <c r="N86" s="14">
        <f>IF($A86="","",E86*Parametros!$H$21)</f>
        <v/>
      </c>
      <c r="O86" s="14">
        <f>IF($A86="","",F86*Parametros!$H$22)</f>
        <v/>
      </c>
      <c r="P86" s="14">
        <f>IF($A86="","",F86*Parametros!$B$17)</f>
        <v/>
      </c>
      <c r="Q86" s="14">
        <f>IF($A86="","",D86*Parametros!$H$23)</f>
        <v/>
      </c>
      <c r="R86" s="14">
        <f>IF($A86="","",H86*Parametros!$H$24)</f>
        <v/>
      </c>
      <c r="S86" s="14">
        <f>IF($A86="","",IFERROR(INDEX(Confeccion!$B$5:$B$80,MATCH(G86,Confeccion!$A$5:$A$80,0)),0))</f>
        <v/>
      </c>
      <c r="T86" s="15">
        <f>IF($A86="","",SUM(M86:S86)+I86)</f>
        <v/>
      </c>
      <c r="U86" s="14">
        <f>IF($A86="","",IF(J86="","",J86*Parametros!$B$13))</f>
        <v/>
      </c>
      <c r="V86" s="14">
        <f>IF($A86="","",IF(J86="","",J86*Parametros!$B$14))</f>
        <v/>
      </c>
      <c r="W86" s="15">
        <f>IF($A86="","",IF(J86="","",J86-T86-U86-V86))</f>
        <v/>
      </c>
      <c r="X86" s="16">
        <f>IF($A86="","",IF(J86="","",W86/J86))</f>
        <v/>
      </c>
      <c r="Y86" s="14">
        <f>IF($A86="","",IF(Parametros!$B$15&gt;=1,"",T86/(1-Parametros!$B$15)))</f>
        <v/>
      </c>
      <c r="Z86" s="14">
        <f>IF($A86="","",IF(Parametros!$B$15+Parametros!$B$16&gt;=1,"",T86/(1-Parametros!$B$15-Parametros!$B$16)))</f>
        <v/>
      </c>
      <c r="AA86" s="17">
        <f>IF($A86="","",IF(J86="","Falta precio",IF(W86&lt;0,"PIERDE",IF(X86&lt;Parametros!$B$16,"BAJO META","OK"))))</f>
        <v/>
      </c>
      <c r="AB86" s="18">
        <f>IF($A86="","",IF(OR(C86="",D86=""),"Falta tela o consumo. ","")&amp;IF(AND(C86&lt;&gt;"",M86=0),"Tela sin precio. ","")&amp;IF(S86=0,"Confección sin valor. ","")&amp;IF(J86="","Falta precio de venta. ",""))</f>
        <v/>
      </c>
    </row>
    <row r="87">
      <c r="A87" s="9" t="n"/>
      <c r="B87" s="9" t="n"/>
      <c r="C87" s="9" t="n"/>
      <c r="D87" s="10" t="n"/>
      <c r="E87" s="11" t="n"/>
      <c r="F87" s="11" t="n"/>
      <c r="G87" s="9" t="n"/>
      <c r="H87" s="9" t="n"/>
      <c r="I87" s="12" t="n"/>
      <c r="J87" s="12" t="n"/>
      <c r="K87" s="9" t="n"/>
      <c r="L87" s="13" t="n"/>
      <c r="M87" s="14">
        <f>IF($A87="","",IFERROR(D87*INDEX(Insumos!$D$6:$D$98,MATCH(C87,Insumos!$A$6:$A$98,0)),0))</f>
        <v/>
      </c>
      <c r="N87" s="14">
        <f>IF($A87="","",E87*Parametros!$H$21)</f>
        <v/>
      </c>
      <c r="O87" s="14">
        <f>IF($A87="","",F87*Parametros!$H$22)</f>
        <v/>
      </c>
      <c r="P87" s="14">
        <f>IF($A87="","",F87*Parametros!$B$17)</f>
        <v/>
      </c>
      <c r="Q87" s="14">
        <f>IF($A87="","",D87*Parametros!$H$23)</f>
        <v/>
      </c>
      <c r="R87" s="14">
        <f>IF($A87="","",H87*Parametros!$H$24)</f>
        <v/>
      </c>
      <c r="S87" s="14">
        <f>IF($A87="","",IFERROR(INDEX(Confeccion!$B$5:$B$80,MATCH(G87,Confeccion!$A$5:$A$80,0)),0))</f>
        <v/>
      </c>
      <c r="T87" s="15">
        <f>IF($A87="","",SUM(M87:S87)+I87)</f>
        <v/>
      </c>
      <c r="U87" s="14">
        <f>IF($A87="","",IF(J87="","",J87*Parametros!$B$13))</f>
        <v/>
      </c>
      <c r="V87" s="14">
        <f>IF($A87="","",IF(J87="","",J87*Parametros!$B$14))</f>
        <v/>
      </c>
      <c r="W87" s="15">
        <f>IF($A87="","",IF(J87="","",J87-T87-U87-V87))</f>
        <v/>
      </c>
      <c r="X87" s="16">
        <f>IF($A87="","",IF(J87="","",W87/J87))</f>
        <v/>
      </c>
      <c r="Y87" s="14">
        <f>IF($A87="","",IF(Parametros!$B$15&gt;=1,"",T87/(1-Parametros!$B$15)))</f>
        <v/>
      </c>
      <c r="Z87" s="14">
        <f>IF($A87="","",IF(Parametros!$B$15+Parametros!$B$16&gt;=1,"",T87/(1-Parametros!$B$15-Parametros!$B$16)))</f>
        <v/>
      </c>
      <c r="AA87" s="17">
        <f>IF($A87="","",IF(J87="","Falta precio",IF(W87&lt;0,"PIERDE",IF(X87&lt;Parametros!$B$16,"BAJO META","OK"))))</f>
        <v/>
      </c>
      <c r="AB87" s="18">
        <f>IF($A87="","",IF(OR(C87="",D87=""),"Falta tela o consumo. ","")&amp;IF(AND(C87&lt;&gt;"",M87=0),"Tela sin precio. ","")&amp;IF(S87=0,"Confección sin valor. ","")&amp;IF(J87="","Falta precio de venta. ",""))</f>
        <v/>
      </c>
    </row>
    <row r="88">
      <c r="A88" s="9" t="n"/>
      <c r="B88" s="9" t="n"/>
      <c r="C88" s="9" t="n"/>
      <c r="D88" s="10" t="n"/>
      <c r="E88" s="11" t="n"/>
      <c r="F88" s="11" t="n"/>
      <c r="G88" s="9" t="n"/>
      <c r="H88" s="9" t="n"/>
      <c r="I88" s="12" t="n"/>
      <c r="J88" s="12" t="n"/>
      <c r="K88" s="9" t="n"/>
      <c r="L88" s="13" t="n"/>
      <c r="M88" s="14">
        <f>IF($A88="","",IFERROR(D88*INDEX(Insumos!$D$6:$D$98,MATCH(C88,Insumos!$A$6:$A$98,0)),0))</f>
        <v/>
      </c>
      <c r="N88" s="14">
        <f>IF($A88="","",E88*Parametros!$H$21)</f>
        <v/>
      </c>
      <c r="O88" s="14">
        <f>IF($A88="","",F88*Parametros!$H$22)</f>
        <v/>
      </c>
      <c r="P88" s="14">
        <f>IF($A88="","",F88*Parametros!$B$17)</f>
        <v/>
      </c>
      <c r="Q88" s="14">
        <f>IF($A88="","",D88*Parametros!$H$23)</f>
        <v/>
      </c>
      <c r="R88" s="14">
        <f>IF($A88="","",H88*Parametros!$H$24)</f>
        <v/>
      </c>
      <c r="S88" s="14">
        <f>IF($A88="","",IFERROR(INDEX(Confeccion!$B$5:$B$80,MATCH(G88,Confeccion!$A$5:$A$80,0)),0))</f>
        <v/>
      </c>
      <c r="T88" s="15">
        <f>IF($A88="","",SUM(M88:S88)+I88)</f>
        <v/>
      </c>
      <c r="U88" s="14">
        <f>IF($A88="","",IF(J88="","",J88*Parametros!$B$13))</f>
        <v/>
      </c>
      <c r="V88" s="14">
        <f>IF($A88="","",IF(J88="","",J88*Parametros!$B$14))</f>
        <v/>
      </c>
      <c r="W88" s="15">
        <f>IF($A88="","",IF(J88="","",J88-T88-U88-V88))</f>
        <v/>
      </c>
      <c r="X88" s="16">
        <f>IF($A88="","",IF(J88="","",W88/J88))</f>
        <v/>
      </c>
      <c r="Y88" s="14">
        <f>IF($A88="","",IF(Parametros!$B$15&gt;=1,"",T88/(1-Parametros!$B$15)))</f>
        <v/>
      </c>
      <c r="Z88" s="14">
        <f>IF($A88="","",IF(Parametros!$B$15+Parametros!$B$16&gt;=1,"",T88/(1-Parametros!$B$15-Parametros!$B$16)))</f>
        <v/>
      </c>
      <c r="AA88" s="17">
        <f>IF($A88="","",IF(J88="","Falta precio",IF(W88&lt;0,"PIERDE",IF(X88&lt;Parametros!$B$16,"BAJO META","OK"))))</f>
        <v/>
      </c>
      <c r="AB88" s="18">
        <f>IF($A88="","",IF(OR(C88="",D88=""),"Falta tela o consumo. ","")&amp;IF(AND(C88&lt;&gt;"",M88=0),"Tela sin precio. ","")&amp;IF(S88=0,"Confección sin valor. ","")&amp;IF(J88="","Falta precio de venta. ",""))</f>
        <v/>
      </c>
    </row>
    <row r="89">
      <c r="A89" s="9" t="n"/>
      <c r="B89" s="9" t="n"/>
      <c r="C89" s="9" t="n"/>
      <c r="D89" s="10" t="n"/>
      <c r="E89" s="11" t="n"/>
      <c r="F89" s="11" t="n"/>
      <c r="G89" s="9" t="n"/>
      <c r="H89" s="9" t="n"/>
      <c r="I89" s="12" t="n"/>
      <c r="J89" s="12" t="n"/>
      <c r="K89" s="9" t="n"/>
      <c r="L89" s="13" t="n"/>
      <c r="M89" s="14">
        <f>IF($A89="","",IFERROR(D89*INDEX(Insumos!$D$6:$D$98,MATCH(C89,Insumos!$A$6:$A$98,0)),0))</f>
        <v/>
      </c>
      <c r="N89" s="14">
        <f>IF($A89="","",E89*Parametros!$H$21)</f>
        <v/>
      </c>
      <c r="O89" s="14">
        <f>IF($A89="","",F89*Parametros!$H$22)</f>
        <v/>
      </c>
      <c r="P89" s="14">
        <f>IF($A89="","",F89*Parametros!$B$17)</f>
        <v/>
      </c>
      <c r="Q89" s="14">
        <f>IF($A89="","",D89*Parametros!$H$23)</f>
        <v/>
      </c>
      <c r="R89" s="14">
        <f>IF($A89="","",H89*Parametros!$H$24)</f>
        <v/>
      </c>
      <c r="S89" s="14">
        <f>IF($A89="","",IFERROR(INDEX(Confeccion!$B$5:$B$80,MATCH(G89,Confeccion!$A$5:$A$80,0)),0))</f>
        <v/>
      </c>
      <c r="T89" s="15">
        <f>IF($A89="","",SUM(M89:S89)+I89)</f>
        <v/>
      </c>
      <c r="U89" s="14">
        <f>IF($A89="","",IF(J89="","",J89*Parametros!$B$13))</f>
        <v/>
      </c>
      <c r="V89" s="14">
        <f>IF($A89="","",IF(J89="","",J89*Parametros!$B$14))</f>
        <v/>
      </c>
      <c r="W89" s="15">
        <f>IF($A89="","",IF(J89="","",J89-T89-U89-V89))</f>
        <v/>
      </c>
      <c r="X89" s="16">
        <f>IF($A89="","",IF(J89="","",W89/J89))</f>
        <v/>
      </c>
      <c r="Y89" s="14">
        <f>IF($A89="","",IF(Parametros!$B$15&gt;=1,"",T89/(1-Parametros!$B$15)))</f>
        <v/>
      </c>
      <c r="Z89" s="14">
        <f>IF($A89="","",IF(Parametros!$B$15+Parametros!$B$16&gt;=1,"",T89/(1-Parametros!$B$15-Parametros!$B$16)))</f>
        <v/>
      </c>
      <c r="AA89" s="17">
        <f>IF($A89="","",IF(J89="","Falta precio",IF(W89&lt;0,"PIERDE",IF(X89&lt;Parametros!$B$16,"BAJO META","OK"))))</f>
        <v/>
      </c>
      <c r="AB89" s="18">
        <f>IF($A89="","",IF(OR(C89="",D89=""),"Falta tela o consumo. ","")&amp;IF(AND(C89&lt;&gt;"",M89=0),"Tela sin precio. ","")&amp;IF(S89=0,"Confección sin valor. ","")&amp;IF(J89="","Falta precio de venta. ",""))</f>
        <v/>
      </c>
    </row>
    <row r="90">
      <c r="A90" s="9" t="n"/>
      <c r="B90" s="9" t="n"/>
      <c r="C90" s="9" t="n"/>
      <c r="D90" s="10" t="n"/>
      <c r="E90" s="11" t="n"/>
      <c r="F90" s="11" t="n"/>
      <c r="G90" s="9" t="n"/>
      <c r="H90" s="9" t="n"/>
      <c r="I90" s="12" t="n"/>
      <c r="J90" s="12" t="n"/>
      <c r="K90" s="9" t="n"/>
      <c r="L90" s="13" t="n"/>
      <c r="M90" s="14">
        <f>IF($A90="","",IFERROR(D90*INDEX(Insumos!$D$6:$D$98,MATCH(C90,Insumos!$A$6:$A$98,0)),0))</f>
        <v/>
      </c>
      <c r="N90" s="14">
        <f>IF($A90="","",E90*Parametros!$H$21)</f>
        <v/>
      </c>
      <c r="O90" s="14">
        <f>IF($A90="","",F90*Parametros!$H$22)</f>
        <v/>
      </c>
      <c r="P90" s="14">
        <f>IF($A90="","",F90*Parametros!$B$17)</f>
        <v/>
      </c>
      <c r="Q90" s="14">
        <f>IF($A90="","",D90*Parametros!$H$23)</f>
        <v/>
      </c>
      <c r="R90" s="14">
        <f>IF($A90="","",H90*Parametros!$H$24)</f>
        <v/>
      </c>
      <c r="S90" s="14">
        <f>IF($A90="","",IFERROR(INDEX(Confeccion!$B$5:$B$80,MATCH(G90,Confeccion!$A$5:$A$80,0)),0))</f>
        <v/>
      </c>
      <c r="T90" s="15">
        <f>IF($A90="","",SUM(M90:S90)+I90)</f>
        <v/>
      </c>
      <c r="U90" s="14">
        <f>IF($A90="","",IF(J90="","",J90*Parametros!$B$13))</f>
        <v/>
      </c>
      <c r="V90" s="14">
        <f>IF($A90="","",IF(J90="","",J90*Parametros!$B$14))</f>
        <v/>
      </c>
      <c r="W90" s="15">
        <f>IF($A90="","",IF(J90="","",J90-T90-U90-V90))</f>
        <v/>
      </c>
      <c r="X90" s="16">
        <f>IF($A90="","",IF(J90="","",W90/J90))</f>
        <v/>
      </c>
      <c r="Y90" s="14">
        <f>IF($A90="","",IF(Parametros!$B$15&gt;=1,"",T90/(1-Parametros!$B$15)))</f>
        <v/>
      </c>
      <c r="Z90" s="14">
        <f>IF($A90="","",IF(Parametros!$B$15+Parametros!$B$16&gt;=1,"",T90/(1-Parametros!$B$15-Parametros!$B$16)))</f>
        <v/>
      </c>
      <c r="AA90" s="17">
        <f>IF($A90="","",IF(J90="","Falta precio",IF(W90&lt;0,"PIERDE",IF(X90&lt;Parametros!$B$16,"BAJO META","OK"))))</f>
        <v/>
      </c>
      <c r="AB90" s="18">
        <f>IF($A90="","",IF(OR(C90="",D90=""),"Falta tela o consumo. ","")&amp;IF(AND(C90&lt;&gt;"",M90=0),"Tela sin precio. ","")&amp;IF(S90=0,"Confección sin valor. ","")&amp;IF(J90="","Falta precio de venta. ",""))</f>
        <v/>
      </c>
    </row>
    <row r="91">
      <c r="A91" s="9" t="n"/>
      <c r="B91" s="9" t="n"/>
      <c r="C91" s="9" t="n"/>
      <c r="D91" s="10" t="n"/>
      <c r="E91" s="11" t="n"/>
      <c r="F91" s="11" t="n"/>
      <c r="G91" s="9" t="n"/>
      <c r="H91" s="9" t="n"/>
      <c r="I91" s="12" t="n"/>
      <c r="J91" s="12" t="n"/>
      <c r="K91" s="9" t="n"/>
      <c r="L91" s="13" t="n"/>
      <c r="M91" s="14">
        <f>IF($A91="","",IFERROR(D91*INDEX(Insumos!$D$6:$D$98,MATCH(C91,Insumos!$A$6:$A$98,0)),0))</f>
        <v/>
      </c>
      <c r="N91" s="14">
        <f>IF($A91="","",E91*Parametros!$H$21)</f>
        <v/>
      </c>
      <c r="O91" s="14">
        <f>IF($A91="","",F91*Parametros!$H$22)</f>
        <v/>
      </c>
      <c r="P91" s="14">
        <f>IF($A91="","",F91*Parametros!$B$17)</f>
        <v/>
      </c>
      <c r="Q91" s="14">
        <f>IF($A91="","",D91*Parametros!$H$23)</f>
        <v/>
      </c>
      <c r="R91" s="14">
        <f>IF($A91="","",H91*Parametros!$H$24)</f>
        <v/>
      </c>
      <c r="S91" s="14">
        <f>IF($A91="","",IFERROR(INDEX(Confeccion!$B$5:$B$80,MATCH(G91,Confeccion!$A$5:$A$80,0)),0))</f>
        <v/>
      </c>
      <c r="T91" s="15">
        <f>IF($A91="","",SUM(M91:S91)+I91)</f>
        <v/>
      </c>
      <c r="U91" s="14">
        <f>IF($A91="","",IF(J91="","",J91*Parametros!$B$13))</f>
        <v/>
      </c>
      <c r="V91" s="14">
        <f>IF($A91="","",IF(J91="","",J91*Parametros!$B$14))</f>
        <v/>
      </c>
      <c r="W91" s="15">
        <f>IF($A91="","",IF(J91="","",J91-T91-U91-V91))</f>
        <v/>
      </c>
      <c r="X91" s="16">
        <f>IF($A91="","",IF(J91="","",W91/J91))</f>
        <v/>
      </c>
      <c r="Y91" s="14">
        <f>IF($A91="","",IF(Parametros!$B$15&gt;=1,"",T91/(1-Parametros!$B$15)))</f>
        <v/>
      </c>
      <c r="Z91" s="14">
        <f>IF($A91="","",IF(Parametros!$B$15+Parametros!$B$16&gt;=1,"",T91/(1-Parametros!$B$15-Parametros!$B$16)))</f>
        <v/>
      </c>
      <c r="AA91" s="17">
        <f>IF($A91="","",IF(J91="","Falta precio",IF(W91&lt;0,"PIERDE",IF(X91&lt;Parametros!$B$16,"BAJO META","OK"))))</f>
        <v/>
      </c>
      <c r="AB91" s="18">
        <f>IF($A91="","",IF(OR(C91="",D91=""),"Falta tela o consumo. ","")&amp;IF(AND(C91&lt;&gt;"",M91=0),"Tela sin precio. ","")&amp;IF(S91=0,"Confección sin valor. ","")&amp;IF(J91="","Falta precio de venta. ",""))</f>
        <v/>
      </c>
    </row>
    <row r="92">
      <c r="A92" s="9" t="n"/>
      <c r="B92" s="9" t="n"/>
      <c r="C92" s="9" t="n"/>
      <c r="D92" s="10" t="n"/>
      <c r="E92" s="11" t="n"/>
      <c r="F92" s="11" t="n"/>
      <c r="G92" s="9" t="n"/>
      <c r="H92" s="9" t="n"/>
      <c r="I92" s="12" t="n"/>
      <c r="J92" s="12" t="n"/>
      <c r="K92" s="9" t="n"/>
      <c r="L92" s="13" t="n"/>
      <c r="M92" s="14">
        <f>IF($A92="","",IFERROR(D92*INDEX(Insumos!$D$6:$D$98,MATCH(C92,Insumos!$A$6:$A$98,0)),0))</f>
        <v/>
      </c>
      <c r="N92" s="14">
        <f>IF($A92="","",E92*Parametros!$H$21)</f>
        <v/>
      </c>
      <c r="O92" s="14">
        <f>IF($A92="","",F92*Parametros!$H$22)</f>
        <v/>
      </c>
      <c r="P92" s="14">
        <f>IF($A92="","",F92*Parametros!$B$17)</f>
        <v/>
      </c>
      <c r="Q92" s="14">
        <f>IF($A92="","",D92*Parametros!$H$23)</f>
        <v/>
      </c>
      <c r="R92" s="14">
        <f>IF($A92="","",H92*Parametros!$H$24)</f>
        <v/>
      </c>
      <c r="S92" s="14">
        <f>IF($A92="","",IFERROR(INDEX(Confeccion!$B$5:$B$80,MATCH(G92,Confeccion!$A$5:$A$80,0)),0))</f>
        <v/>
      </c>
      <c r="T92" s="15">
        <f>IF($A92="","",SUM(M92:S92)+I92)</f>
        <v/>
      </c>
      <c r="U92" s="14">
        <f>IF($A92="","",IF(J92="","",J92*Parametros!$B$13))</f>
        <v/>
      </c>
      <c r="V92" s="14">
        <f>IF($A92="","",IF(J92="","",J92*Parametros!$B$14))</f>
        <v/>
      </c>
      <c r="W92" s="15">
        <f>IF($A92="","",IF(J92="","",J92-T92-U92-V92))</f>
        <v/>
      </c>
      <c r="X92" s="16">
        <f>IF($A92="","",IF(J92="","",W92/J92))</f>
        <v/>
      </c>
      <c r="Y92" s="14">
        <f>IF($A92="","",IF(Parametros!$B$15&gt;=1,"",T92/(1-Parametros!$B$15)))</f>
        <v/>
      </c>
      <c r="Z92" s="14">
        <f>IF($A92="","",IF(Parametros!$B$15+Parametros!$B$16&gt;=1,"",T92/(1-Parametros!$B$15-Parametros!$B$16)))</f>
        <v/>
      </c>
      <c r="AA92" s="17">
        <f>IF($A92="","",IF(J92="","Falta precio",IF(W92&lt;0,"PIERDE",IF(X92&lt;Parametros!$B$16,"BAJO META","OK"))))</f>
        <v/>
      </c>
      <c r="AB92" s="18">
        <f>IF($A92="","",IF(OR(C92="",D92=""),"Falta tela o consumo. ","")&amp;IF(AND(C92&lt;&gt;"",M92=0),"Tela sin precio. ","")&amp;IF(S92=0,"Confección sin valor. ","")&amp;IF(J92="","Falta precio de venta. ",""))</f>
        <v/>
      </c>
    </row>
    <row r="93">
      <c r="A93" s="9" t="n"/>
      <c r="B93" s="9" t="n"/>
      <c r="C93" s="9" t="n"/>
      <c r="D93" s="10" t="n"/>
      <c r="E93" s="11" t="n"/>
      <c r="F93" s="11" t="n"/>
      <c r="G93" s="9" t="n"/>
      <c r="H93" s="9" t="n"/>
      <c r="I93" s="12" t="n"/>
      <c r="J93" s="12" t="n"/>
      <c r="K93" s="9" t="n"/>
      <c r="L93" s="13" t="n"/>
      <c r="M93" s="14">
        <f>IF($A93="","",IFERROR(D93*INDEX(Insumos!$D$6:$D$98,MATCH(C93,Insumos!$A$6:$A$98,0)),0))</f>
        <v/>
      </c>
      <c r="N93" s="14">
        <f>IF($A93="","",E93*Parametros!$H$21)</f>
        <v/>
      </c>
      <c r="O93" s="14">
        <f>IF($A93="","",F93*Parametros!$H$22)</f>
        <v/>
      </c>
      <c r="P93" s="14">
        <f>IF($A93="","",F93*Parametros!$B$17)</f>
        <v/>
      </c>
      <c r="Q93" s="14">
        <f>IF($A93="","",D93*Parametros!$H$23)</f>
        <v/>
      </c>
      <c r="R93" s="14">
        <f>IF($A93="","",H93*Parametros!$H$24)</f>
        <v/>
      </c>
      <c r="S93" s="14">
        <f>IF($A93="","",IFERROR(INDEX(Confeccion!$B$5:$B$80,MATCH(G93,Confeccion!$A$5:$A$80,0)),0))</f>
        <v/>
      </c>
      <c r="T93" s="15">
        <f>IF($A93="","",SUM(M93:S93)+I93)</f>
        <v/>
      </c>
      <c r="U93" s="14">
        <f>IF($A93="","",IF(J93="","",J93*Parametros!$B$13))</f>
        <v/>
      </c>
      <c r="V93" s="14">
        <f>IF($A93="","",IF(J93="","",J93*Parametros!$B$14))</f>
        <v/>
      </c>
      <c r="W93" s="15">
        <f>IF($A93="","",IF(J93="","",J93-T93-U93-V93))</f>
        <v/>
      </c>
      <c r="X93" s="16">
        <f>IF($A93="","",IF(J93="","",W93/J93))</f>
        <v/>
      </c>
      <c r="Y93" s="14">
        <f>IF($A93="","",IF(Parametros!$B$15&gt;=1,"",T93/(1-Parametros!$B$15)))</f>
        <v/>
      </c>
      <c r="Z93" s="14">
        <f>IF($A93="","",IF(Parametros!$B$15+Parametros!$B$16&gt;=1,"",T93/(1-Parametros!$B$15-Parametros!$B$16)))</f>
        <v/>
      </c>
      <c r="AA93" s="17">
        <f>IF($A93="","",IF(J93="","Falta precio",IF(W93&lt;0,"PIERDE",IF(X93&lt;Parametros!$B$16,"BAJO META","OK"))))</f>
        <v/>
      </c>
      <c r="AB93" s="18">
        <f>IF($A93="","",IF(OR(C93="",D93=""),"Falta tela o consumo. ","")&amp;IF(AND(C93&lt;&gt;"",M93=0),"Tela sin precio. ","")&amp;IF(S93=0,"Confección sin valor. ","")&amp;IF(J93="","Falta precio de venta. ",""))</f>
        <v/>
      </c>
    </row>
    <row r="94">
      <c r="A94" s="9" t="n"/>
      <c r="B94" s="9" t="n"/>
      <c r="C94" s="9" t="n"/>
      <c r="D94" s="10" t="n"/>
      <c r="E94" s="11" t="n"/>
      <c r="F94" s="11" t="n"/>
      <c r="G94" s="9" t="n"/>
      <c r="H94" s="9" t="n"/>
      <c r="I94" s="12" t="n"/>
      <c r="J94" s="12" t="n"/>
      <c r="K94" s="9" t="n"/>
      <c r="L94" s="13" t="n"/>
      <c r="M94" s="14">
        <f>IF($A94="","",IFERROR(D94*INDEX(Insumos!$D$6:$D$98,MATCH(C94,Insumos!$A$6:$A$98,0)),0))</f>
        <v/>
      </c>
      <c r="N94" s="14">
        <f>IF($A94="","",E94*Parametros!$H$21)</f>
        <v/>
      </c>
      <c r="O94" s="14">
        <f>IF($A94="","",F94*Parametros!$H$22)</f>
        <v/>
      </c>
      <c r="P94" s="14">
        <f>IF($A94="","",F94*Parametros!$B$17)</f>
        <v/>
      </c>
      <c r="Q94" s="14">
        <f>IF($A94="","",D94*Parametros!$H$23)</f>
        <v/>
      </c>
      <c r="R94" s="14">
        <f>IF($A94="","",H94*Parametros!$H$24)</f>
        <v/>
      </c>
      <c r="S94" s="14">
        <f>IF($A94="","",IFERROR(INDEX(Confeccion!$B$5:$B$80,MATCH(G94,Confeccion!$A$5:$A$80,0)),0))</f>
        <v/>
      </c>
      <c r="T94" s="15">
        <f>IF($A94="","",SUM(M94:S94)+I94)</f>
        <v/>
      </c>
      <c r="U94" s="14">
        <f>IF($A94="","",IF(J94="","",J94*Parametros!$B$13))</f>
        <v/>
      </c>
      <c r="V94" s="14">
        <f>IF($A94="","",IF(J94="","",J94*Parametros!$B$14))</f>
        <v/>
      </c>
      <c r="W94" s="15">
        <f>IF($A94="","",IF(J94="","",J94-T94-U94-V94))</f>
        <v/>
      </c>
      <c r="X94" s="16">
        <f>IF($A94="","",IF(J94="","",W94/J94))</f>
        <v/>
      </c>
      <c r="Y94" s="14">
        <f>IF($A94="","",IF(Parametros!$B$15&gt;=1,"",T94/(1-Parametros!$B$15)))</f>
        <v/>
      </c>
      <c r="Z94" s="14">
        <f>IF($A94="","",IF(Parametros!$B$15+Parametros!$B$16&gt;=1,"",T94/(1-Parametros!$B$15-Parametros!$B$16)))</f>
        <v/>
      </c>
      <c r="AA94" s="17">
        <f>IF($A94="","",IF(J94="","Falta precio",IF(W94&lt;0,"PIERDE",IF(X94&lt;Parametros!$B$16,"BAJO META","OK"))))</f>
        <v/>
      </c>
      <c r="AB94" s="18">
        <f>IF($A94="","",IF(OR(C94="",D94=""),"Falta tela o consumo. ","")&amp;IF(AND(C94&lt;&gt;"",M94=0),"Tela sin precio. ","")&amp;IF(S94=0,"Confección sin valor. ","")&amp;IF(J94="","Falta precio de venta. ",""))</f>
        <v/>
      </c>
    </row>
    <row r="95">
      <c r="A95" s="9" t="n"/>
      <c r="B95" s="9" t="n"/>
      <c r="C95" s="9" t="n"/>
      <c r="D95" s="10" t="n"/>
      <c r="E95" s="11" t="n"/>
      <c r="F95" s="11" t="n"/>
      <c r="G95" s="9" t="n"/>
      <c r="H95" s="9" t="n"/>
      <c r="I95" s="12" t="n"/>
      <c r="J95" s="12" t="n"/>
      <c r="K95" s="9" t="n"/>
      <c r="L95" s="13" t="n"/>
      <c r="M95" s="14">
        <f>IF($A95="","",IFERROR(D95*INDEX(Insumos!$D$6:$D$98,MATCH(C95,Insumos!$A$6:$A$98,0)),0))</f>
        <v/>
      </c>
      <c r="N95" s="14">
        <f>IF($A95="","",E95*Parametros!$H$21)</f>
        <v/>
      </c>
      <c r="O95" s="14">
        <f>IF($A95="","",F95*Parametros!$H$22)</f>
        <v/>
      </c>
      <c r="P95" s="14">
        <f>IF($A95="","",F95*Parametros!$B$17)</f>
        <v/>
      </c>
      <c r="Q95" s="14">
        <f>IF($A95="","",D95*Parametros!$H$23)</f>
        <v/>
      </c>
      <c r="R95" s="14">
        <f>IF($A95="","",H95*Parametros!$H$24)</f>
        <v/>
      </c>
      <c r="S95" s="14">
        <f>IF($A95="","",IFERROR(INDEX(Confeccion!$B$5:$B$80,MATCH(G95,Confeccion!$A$5:$A$80,0)),0))</f>
        <v/>
      </c>
      <c r="T95" s="15">
        <f>IF($A95="","",SUM(M95:S95)+I95)</f>
        <v/>
      </c>
      <c r="U95" s="14">
        <f>IF($A95="","",IF(J95="","",J95*Parametros!$B$13))</f>
        <v/>
      </c>
      <c r="V95" s="14">
        <f>IF($A95="","",IF(J95="","",J95*Parametros!$B$14))</f>
        <v/>
      </c>
      <c r="W95" s="15">
        <f>IF($A95="","",IF(J95="","",J95-T95-U95-V95))</f>
        <v/>
      </c>
      <c r="X95" s="16">
        <f>IF($A95="","",IF(J95="","",W95/J95))</f>
        <v/>
      </c>
      <c r="Y95" s="14">
        <f>IF($A95="","",IF(Parametros!$B$15&gt;=1,"",T95/(1-Parametros!$B$15)))</f>
        <v/>
      </c>
      <c r="Z95" s="14">
        <f>IF($A95="","",IF(Parametros!$B$15+Parametros!$B$16&gt;=1,"",T95/(1-Parametros!$B$15-Parametros!$B$16)))</f>
        <v/>
      </c>
      <c r="AA95" s="17">
        <f>IF($A95="","",IF(J95="","Falta precio",IF(W95&lt;0,"PIERDE",IF(X95&lt;Parametros!$B$16,"BAJO META","OK"))))</f>
        <v/>
      </c>
      <c r="AB95" s="18">
        <f>IF($A95="","",IF(OR(C95="",D95=""),"Falta tela o consumo. ","")&amp;IF(AND(C95&lt;&gt;"",M95=0),"Tela sin precio. ","")&amp;IF(S95=0,"Confección sin valor. ","")&amp;IF(J95="","Falta precio de venta. ",""))</f>
        <v/>
      </c>
    </row>
    <row r="96">
      <c r="A96" s="9" t="n"/>
      <c r="B96" s="9" t="n"/>
      <c r="C96" s="9" t="n"/>
      <c r="D96" s="10" t="n"/>
      <c r="E96" s="11" t="n"/>
      <c r="F96" s="11" t="n"/>
      <c r="G96" s="9" t="n"/>
      <c r="H96" s="9" t="n"/>
      <c r="I96" s="12" t="n"/>
      <c r="J96" s="12" t="n"/>
      <c r="K96" s="9" t="n"/>
      <c r="L96" s="13" t="n"/>
      <c r="M96" s="14">
        <f>IF($A96="","",IFERROR(D96*INDEX(Insumos!$D$6:$D$98,MATCH(C96,Insumos!$A$6:$A$98,0)),0))</f>
        <v/>
      </c>
      <c r="N96" s="14">
        <f>IF($A96="","",E96*Parametros!$H$21)</f>
        <v/>
      </c>
      <c r="O96" s="14">
        <f>IF($A96="","",F96*Parametros!$H$22)</f>
        <v/>
      </c>
      <c r="P96" s="14">
        <f>IF($A96="","",F96*Parametros!$B$17)</f>
        <v/>
      </c>
      <c r="Q96" s="14">
        <f>IF($A96="","",D96*Parametros!$H$23)</f>
        <v/>
      </c>
      <c r="R96" s="14">
        <f>IF($A96="","",H96*Parametros!$H$24)</f>
        <v/>
      </c>
      <c r="S96" s="14">
        <f>IF($A96="","",IFERROR(INDEX(Confeccion!$B$5:$B$80,MATCH(G96,Confeccion!$A$5:$A$80,0)),0))</f>
        <v/>
      </c>
      <c r="T96" s="15">
        <f>IF($A96="","",SUM(M96:S96)+I96)</f>
        <v/>
      </c>
      <c r="U96" s="14">
        <f>IF($A96="","",IF(J96="","",J96*Parametros!$B$13))</f>
        <v/>
      </c>
      <c r="V96" s="14">
        <f>IF($A96="","",IF(J96="","",J96*Parametros!$B$14))</f>
        <v/>
      </c>
      <c r="W96" s="15">
        <f>IF($A96="","",IF(J96="","",J96-T96-U96-V96))</f>
        <v/>
      </c>
      <c r="X96" s="16">
        <f>IF($A96="","",IF(J96="","",W96/J96))</f>
        <v/>
      </c>
      <c r="Y96" s="14">
        <f>IF($A96="","",IF(Parametros!$B$15&gt;=1,"",T96/(1-Parametros!$B$15)))</f>
        <v/>
      </c>
      <c r="Z96" s="14">
        <f>IF($A96="","",IF(Parametros!$B$15+Parametros!$B$16&gt;=1,"",T96/(1-Parametros!$B$15-Parametros!$B$16)))</f>
        <v/>
      </c>
      <c r="AA96" s="17">
        <f>IF($A96="","",IF(J96="","Falta precio",IF(W96&lt;0,"PIERDE",IF(X96&lt;Parametros!$B$16,"BAJO META","OK"))))</f>
        <v/>
      </c>
      <c r="AB96" s="18">
        <f>IF($A96="","",IF(OR(C96="",D96=""),"Falta tela o consumo. ","")&amp;IF(AND(C96&lt;&gt;"",M96=0),"Tela sin precio. ","")&amp;IF(S96=0,"Confección sin valor. ","")&amp;IF(J96="","Falta precio de venta. ",""))</f>
        <v/>
      </c>
    </row>
    <row r="97">
      <c r="A97" s="9" t="n"/>
      <c r="B97" s="9" t="n"/>
      <c r="C97" s="9" t="n"/>
      <c r="D97" s="10" t="n"/>
      <c r="E97" s="11" t="n"/>
      <c r="F97" s="11" t="n"/>
      <c r="G97" s="9" t="n"/>
      <c r="H97" s="9" t="n"/>
      <c r="I97" s="12" t="n"/>
      <c r="J97" s="12" t="n"/>
      <c r="K97" s="9" t="n"/>
      <c r="L97" s="13" t="n"/>
      <c r="M97" s="14">
        <f>IF($A97="","",IFERROR(D97*INDEX(Insumos!$D$6:$D$98,MATCH(C97,Insumos!$A$6:$A$98,0)),0))</f>
        <v/>
      </c>
      <c r="N97" s="14">
        <f>IF($A97="","",E97*Parametros!$H$21)</f>
        <v/>
      </c>
      <c r="O97" s="14">
        <f>IF($A97="","",F97*Parametros!$H$22)</f>
        <v/>
      </c>
      <c r="P97" s="14">
        <f>IF($A97="","",F97*Parametros!$B$17)</f>
        <v/>
      </c>
      <c r="Q97" s="14">
        <f>IF($A97="","",D97*Parametros!$H$23)</f>
        <v/>
      </c>
      <c r="R97" s="14">
        <f>IF($A97="","",H97*Parametros!$H$24)</f>
        <v/>
      </c>
      <c r="S97" s="14">
        <f>IF($A97="","",IFERROR(INDEX(Confeccion!$B$5:$B$80,MATCH(G97,Confeccion!$A$5:$A$80,0)),0))</f>
        <v/>
      </c>
      <c r="T97" s="15">
        <f>IF($A97="","",SUM(M97:S97)+I97)</f>
        <v/>
      </c>
      <c r="U97" s="14">
        <f>IF($A97="","",IF(J97="","",J97*Parametros!$B$13))</f>
        <v/>
      </c>
      <c r="V97" s="14">
        <f>IF($A97="","",IF(J97="","",J97*Parametros!$B$14))</f>
        <v/>
      </c>
      <c r="W97" s="15">
        <f>IF($A97="","",IF(J97="","",J97-T97-U97-V97))</f>
        <v/>
      </c>
      <c r="X97" s="16">
        <f>IF($A97="","",IF(J97="","",W97/J97))</f>
        <v/>
      </c>
      <c r="Y97" s="14">
        <f>IF($A97="","",IF(Parametros!$B$15&gt;=1,"",T97/(1-Parametros!$B$15)))</f>
        <v/>
      </c>
      <c r="Z97" s="14">
        <f>IF($A97="","",IF(Parametros!$B$15+Parametros!$B$16&gt;=1,"",T97/(1-Parametros!$B$15-Parametros!$B$16)))</f>
        <v/>
      </c>
      <c r="AA97" s="17">
        <f>IF($A97="","",IF(J97="","Falta precio",IF(W97&lt;0,"PIERDE",IF(X97&lt;Parametros!$B$16,"BAJO META","OK"))))</f>
        <v/>
      </c>
      <c r="AB97" s="18">
        <f>IF($A97="","",IF(OR(C97="",D97=""),"Falta tela o consumo. ","")&amp;IF(AND(C97&lt;&gt;"",M97=0),"Tela sin precio. ","")&amp;IF(S97=0,"Confección sin valor. ","")&amp;IF(J97="","Falta precio de venta. ",""))</f>
        <v/>
      </c>
    </row>
    <row r="98">
      <c r="A98" s="9" t="n"/>
      <c r="B98" s="9" t="n"/>
      <c r="C98" s="9" t="n"/>
      <c r="D98" s="10" t="n"/>
      <c r="E98" s="11" t="n"/>
      <c r="F98" s="11" t="n"/>
      <c r="G98" s="9" t="n"/>
      <c r="H98" s="9" t="n"/>
      <c r="I98" s="12" t="n"/>
      <c r="J98" s="12" t="n"/>
      <c r="K98" s="9" t="n"/>
      <c r="L98" s="13" t="n"/>
      <c r="M98" s="14">
        <f>IF($A98="","",IFERROR(D98*INDEX(Insumos!$D$6:$D$98,MATCH(C98,Insumos!$A$6:$A$98,0)),0))</f>
        <v/>
      </c>
      <c r="N98" s="14">
        <f>IF($A98="","",E98*Parametros!$H$21)</f>
        <v/>
      </c>
      <c r="O98" s="14">
        <f>IF($A98="","",F98*Parametros!$H$22)</f>
        <v/>
      </c>
      <c r="P98" s="14">
        <f>IF($A98="","",F98*Parametros!$B$17)</f>
        <v/>
      </c>
      <c r="Q98" s="14">
        <f>IF($A98="","",D98*Parametros!$H$23)</f>
        <v/>
      </c>
      <c r="R98" s="14">
        <f>IF($A98="","",H98*Parametros!$H$24)</f>
        <v/>
      </c>
      <c r="S98" s="14">
        <f>IF($A98="","",IFERROR(INDEX(Confeccion!$B$5:$B$80,MATCH(G98,Confeccion!$A$5:$A$80,0)),0))</f>
        <v/>
      </c>
      <c r="T98" s="15">
        <f>IF($A98="","",SUM(M98:S98)+I98)</f>
        <v/>
      </c>
      <c r="U98" s="14">
        <f>IF($A98="","",IF(J98="","",J98*Parametros!$B$13))</f>
        <v/>
      </c>
      <c r="V98" s="14">
        <f>IF($A98="","",IF(J98="","",J98*Parametros!$B$14))</f>
        <v/>
      </c>
      <c r="W98" s="15">
        <f>IF($A98="","",IF(J98="","",J98-T98-U98-V98))</f>
        <v/>
      </c>
      <c r="X98" s="16">
        <f>IF($A98="","",IF(J98="","",W98/J98))</f>
        <v/>
      </c>
      <c r="Y98" s="14">
        <f>IF($A98="","",IF(Parametros!$B$15&gt;=1,"",T98/(1-Parametros!$B$15)))</f>
        <v/>
      </c>
      <c r="Z98" s="14">
        <f>IF($A98="","",IF(Parametros!$B$15+Parametros!$B$16&gt;=1,"",T98/(1-Parametros!$B$15-Parametros!$B$16)))</f>
        <v/>
      </c>
      <c r="AA98" s="17">
        <f>IF($A98="","",IF(J98="","Falta precio",IF(W98&lt;0,"PIERDE",IF(X98&lt;Parametros!$B$16,"BAJO META","OK"))))</f>
        <v/>
      </c>
      <c r="AB98" s="18">
        <f>IF($A98="","",IF(OR(C98="",D98=""),"Falta tela o consumo. ","")&amp;IF(AND(C98&lt;&gt;"",M98=0),"Tela sin precio. ","")&amp;IF(S98=0,"Confección sin valor. ","")&amp;IF(J98="","Falta precio de venta. ",""))</f>
        <v/>
      </c>
    </row>
    <row r="99">
      <c r="A99" s="9" t="n"/>
      <c r="B99" s="9" t="n"/>
      <c r="C99" s="9" t="n"/>
      <c r="D99" s="10" t="n"/>
      <c r="E99" s="11" t="n"/>
      <c r="F99" s="11" t="n"/>
      <c r="G99" s="9" t="n"/>
      <c r="H99" s="9" t="n"/>
      <c r="I99" s="12" t="n"/>
      <c r="J99" s="12" t="n"/>
      <c r="K99" s="9" t="n"/>
      <c r="L99" s="13" t="n"/>
      <c r="M99" s="14">
        <f>IF($A99="","",IFERROR(D99*INDEX(Insumos!$D$6:$D$98,MATCH(C99,Insumos!$A$6:$A$98,0)),0))</f>
        <v/>
      </c>
      <c r="N99" s="14">
        <f>IF($A99="","",E99*Parametros!$H$21)</f>
        <v/>
      </c>
      <c r="O99" s="14">
        <f>IF($A99="","",F99*Parametros!$H$22)</f>
        <v/>
      </c>
      <c r="P99" s="14">
        <f>IF($A99="","",F99*Parametros!$B$17)</f>
        <v/>
      </c>
      <c r="Q99" s="14">
        <f>IF($A99="","",D99*Parametros!$H$23)</f>
        <v/>
      </c>
      <c r="R99" s="14">
        <f>IF($A99="","",H99*Parametros!$H$24)</f>
        <v/>
      </c>
      <c r="S99" s="14">
        <f>IF($A99="","",IFERROR(INDEX(Confeccion!$B$5:$B$80,MATCH(G99,Confeccion!$A$5:$A$80,0)),0))</f>
        <v/>
      </c>
      <c r="T99" s="15">
        <f>IF($A99="","",SUM(M99:S99)+I99)</f>
        <v/>
      </c>
      <c r="U99" s="14">
        <f>IF($A99="","",IF(J99="","",J99*Parametros!$B$13))</f>
        <v/>
      </c>
      <c r="V99" s="14">
        <f>IF($A99="","",IF(J99="","",J99*Parametros!$B$14))</f>
        <v/>
      </c>
      <c r="W99" s="15">
        <f>IF($A99="","",IF(J99="","",J99-T99-U99-V99))</f>
        <v/>
      </c>
      <c r="X99" s="16">
        <f>IF($A99="","",IF(J99="","",W99/J99))</f>
        <v/>
      </c>
      <c r="Y99" s="14">
        <f>IF($A99="","",IF(Parametros!$B$15&gt;=1,"",T99/(1-Parametros!$B$15)))</f>
        <v/>
      </c>
      <c r="Z99" s="14">
        <f>IF($A99="","",IF(Parametros!$B$15+Parametros!$B$16&gt;=1,"",T99/(1-Parametros!$B$15-Parametros!$B$16)))</f>
        <v/>
      </c>
      <c r="AA99" s="17">
        <f>IF($A99="","",IF(J99="","Falta precio",IF(W99&lt;0,"PIERDE",IF(X99&lt;Parametros!$B$16,"BAJO META","OK"))))</f>
        <v/>
      </c>
      <c r="AB99" s="18">
        <f>IF($A99="","",IF(OR(C99="",D99=""),"Falta tela o consumo. ","")&amp;IF(AND(C99&lt;&gt;"",M99=0),"Tela sin precio. ","")&amp;IF(S99=0,"Confección sin valor. ","")&amp;IF(J99="","Falta precio de venta. ",""))</f>
        <v/>
      </c>
    </row>
    <row r="100">
      <c r="A100" s="9" t="n"/>
      <c r="B100" s="9" t="n"/>
      <c r="C100" s="9" t="n"/>
      <c r="D100" s="10" t="n"/>
      <c r="E100" s="11" t="n"/>
      <c r="F100" s="11" t="n"/>
      <c r="G100" s="9" t="n"/>
      <c r="H100" s="9" t="n"/>
      <c r="I100" s="12" t="n"/>
      <c r="J100" s="12" t="n"/>
      <c r="K100" s="9" t="n"/>
      <c r="L100" s="13" t="n"/>
      <c r="M100" s="14">
        <f>IF($A100="","",IFERROR(D100*INDEX(Insumos!$D$6:$D$98,MATCH(C100,Insumos!$A$6:$A$98,0)),0))</f>
        <v/>
      </c>
      <c r="N100" s="14">
        <f>IF($A100="","",E100*Parametros!$H$21)</f>
        <v/>
      </c>
      <c r="O100" s="14">
        <f>IF($A100="","",F100*Parametros!$H$22)</f>
        <v/>
      </c>
      <c r="P100" s="14">
        <f>IF($A100="","",F100*Parametros!$B$17)</f>
        <v/>
      </c>
      <c r="Q100" s="14">
        <f>IF($A100="","",D100*Parametros!$H$23)</f>
        <v/>
      </c>
      <c r="R100" s="14">
        <f>IF($A100="","",H100*Parametros!$H$24)</f>
        <v/>
      </c>
      <c r="S100" s="14">
        <f>IF($A100="","",IFERROR(INDEX(Confeccion!$B$5:$B$80,MATCH(G100,Confeccion!$A$5:$A$80,0)),0))</f>
        <v/>
      </c>
      <c r="T100" s="15">
        <f>IF($A100="","",SUM(M100:S100)+I100)</f>
        <v/>
      </c>
      <c r="U100" s="14">
        <f>IF($A100="","",IF(J100="","",J100*Parametros!$B$13))</f>
        <v/>
      </c>
      <c r="V100" s="14">
        <f>IF($A100="","",IF(J100="","",J100*Parametros!$B$14))</f>
        <v/>
      </c>
      <c r="W100" s="15">
        <f>IF($A100="","",IF(J100="","",J100-T100-U100-V100))</f>
        <v/>
      </c>
      <c r="X100" s="16">
        <f>IF($A100="","",IF(J100="","",W100/J100))</f>
        <v/>
      </c>
      <c r="Y100" s="14">
        <f>IF($A100="","",IF(Parametros!$B$15&gt;=1,"",T100/(1-Parametros!$B$15)))</f>
        <v/>
      </c>
      <c r="Z100" s="14">
        <f>IF($A100="","",IF(Parametros!$B$15+Parametros!$B$16&gt;=1,"",T100/(1-Parametros!$B$15-Parametros!$B$16)))</f>
        <v/>
      </c>
      <c r="AA100" s="17">
        <f>IF($A100="","",IF(J100="","Falta precio",IF(W100&lt;0,"PIERDE",IF(X100&lt;Parametros!$B$16,"BAJO META","OK"))))</f>
        <v/>
      </c>
      <c r="AB100" s="18">
        <f>IF($A100="","",IF(OR(C100="",D100=""),"Falta tela o consumo. ","")&amp;IF(AND(C100&lt;&gt;"",M100=0),"Tela sin precio. ","")&amp;IF(S100=0,"Confección sin valor. ","")&amp;IF(J100="","Falta precio de venta. ",""))</f>
        <v/>
      </c>
    </row>
    <row r="101">
      <c r="A101" s="9" t="n"/>
      <c r="B101" s="9" t="n"/>
      <c r="C101" s="9" t="n"/>
      <c r="D101" s="10" t="n"/>
      <c r="E101" s="11" t="n"/>
      <c r="F101" s="11" t="n"/>
      <c r="G101" s="9" t="n"/>
      <c r="H101" s="9" t="n"/>
      <c r="I101" s="12" t="n"/>
      <c r="J101" s="12" t="n"/>
      <c r="K101" s="9" t="n"/>
      <c r="L101" s="13" t="n"/>
      <c r="M101" s="14">
        <f>IF($A101="","",IFERROR(D101*INDEX(Insumos!$D$6:$D$98,MATCH(C101,Insumos!$A$6:$A$98,0)),0))</f>
        <v/>
      </c>
      <c r="N101" s="14">
        <f>IF($A101="","",E101*Parametros!$H$21)</f>
        <v/>
      </c>
      <c r="O101" s="14">
        <f>IF($A101="","",F101*Parametros!$H$22)</f>
        <v/>
      </c>
      <c r="P101" s="14">
        <f>IF($A101="","",F101*Parametros!$B$17)</f>
        <v/>
      </c>
      <c r="Q101" s="14">
        <f>IF($A101="","",D101*Parametros!$H$23)</f>
        <v/>
      </c>
      <c r="R101" s="14">
        <f>IF($A101="","",H101*Parametros!$H$24)</f>
        <v/>
      </c>
      <c r="S101" s="14">
        <f>IF($A101="","",IFERROR(INDEX(Confeccion!$B$5:$B$80,MATCH(G101,Confeccion!$A$5:$A$80,0)),0))</f>
        <v/>
      </c>
      <c r="T101" s="15">
        <f>IF($A101="","",SUM(M101:S101)+I101)</f>
        <v/>
      </c>
      <c r="U101" s="14">
        <f>IF($A101="","",IF(J101="","",J101*Parametros!$B$13))</f>
        <v/>
      </c>
      <c r="V101" s="14">
        <f>IF($A101="","",IF(J101="","",J101*Parametros!$B$14))</f>
        <v/>
      </c>
      <c r="W101" s="15">
        <f>IF($A101="","",IF(J101="","",J101-T101-U101-V101))</f>
        <v/>
      </c>
      <c r="X101" s="16">
        <f>IF($A101="","",IF(J101="","",W101/J101))</f>
        <v/>
      </c>
      <c r="Y101" s="14">
        <f>IF($A101="","",IF(Parametros!$B$15&gt;=1,"",T101/(1-Parametros!$B$15)))</f>
        <v/>
      </c>
      <c r="Z101" s="14">
        <f>IF($A101="","",IF(Parametros!$B$15+Parametros!$B$16&gt;=1,"",T101/(1-Parametros!$B$15-Parametros!$B$16)))</f>
        <v/>
      </c>
      <c r="AA101" s="17">
        <f>IF($A101="","",IF(J101="","Falta precio",IF(W101&lt;0,"PIERDE",IF(X101&lt;Parametros!$B$16,"BAJO META","OK"))))</f>
        <v/>
      </c>
      <c r="AB101" s="18">
        <f>IF($A101="","",IF(OR(C101="",D101=""),"Falta tela o consumo. ","")&amp;IF(AND(C101&lt;&gt;"",M101=0),"Tela sin precio. ","")&amp;IF(S101=0,"Confección sin valor. ","")&amp;IF(J101="","Falta precio de venta. ",""))</f>
        <v/>
      </c>
    </row>
    <row r="102">
      <c r="A102" s="9" t="n"/>
      <c r="B102" s="9" t="n"/>
      <c r="C102" s="9" t="n"/>
      <c r="D102" s="10" t="n"/>
      <c r="E102" s="11" t="n"/>
      <c r="F102" s="11" t="n"/>
      <c r="G102" s="9" t="n"/>
      <c r="H102" s="9" t="n"/>
      <c r="I102" s="12" t="n"/>
      <c r="J102" s="12" t="n"/>
      <c r="K102" s="9" t="n"/>
      <c r="L102" s="13" t="n"/>
      <c r="M102" s="14">
        <f>IF($A102="","",IFERROR(D102*INDEX(Insumos!$D$6:$D$98,MATCH(C102,Insumos!$A$6:$A$98,0)),0))</f>
        <v/>
      </c>
      <c r="N102" s="14">
        <f>IF($A102="","",E102*Parametros!$H$21)</f>
        <v/>
      </c>
      <c r="O102" s="14">
        <f>IF($A102="","",F102*Parametros!$H$22)</f>
        <v/>
      </c>
      <c r="P102" s="14">
        <f>IF($A102="","",F102*Parametros!$B$17)</f>
        <v/>
      </c>
      <c r="Q102" s="14">
        <f>IF($A102="","",D102*Parametros!$H$23)</f>
        <v/>
      </c>
      <c r="R102" s="14">
        <f>IF($A102="","",H102*Parametros!$H$24)</f>
        <v/>
      </c>
      <c r="S102" s="14">
        <f>IF($A102="","",IFERROR(INDEX(Confeccion!$B$5:$B$80,MATCH(G102,Confeccion!$A$5:$A$80,0)),0))</f>
        <v/>
      </c>
      <c r="T102" s="15">
        <f>IF($A102="","",SUM(M102:S102)+I102)</f>
        <v/>
      </c>
      <c r="U102" s="14">
        <f>IF($A102="","",IF(J102="","",J102*Parametros!$B$13))</f>
        <v/>
      </c>
      <c r="V102" s="14">
        <f>IF($A102="","",IF(J102="","",J102*Parametros!$B$14))</f>
        <v/>
      </c>
      <c r="W102" s="15">
        <f>IF($A102="","",IF(J102="","",J102-T102-U102-V102))</f>
        <v/>
      </c>
      <c r="X102" s="16">
        <f>IF($A102="","",IF(J102="","",W102/J102))</f>
        <v/>
      </c>
      <c r="Y102" s="14">
        <f>IF($A102="","",IF(Parametros!$B$15&gt;=1,"",T102/(1-Parametros!$B$15)))</f>
        <v/>
      </c>
      <c r="Z102" s="14">
        <f>IF($A102="","",IF(Parametros!$B$15+Parametros!$B$16&gt;=1,"",T102/(1-Parametros!$B$15-Parametros!$B$16)))</f>
        <v/>
      </c>
      <c r="AA102" s="17">
        <f>IF($A102="","",IF(J102="","Falta precio",IF(W102&lt;0,"PIERDE",IF(X102&lt;Parametros!$B$16,"BAJO META","OK"))))</f>
        <v/>
      </c>
      <c r="AB102" s="18">
        <f>IF($A102="","",IF(OR(C102="",D102=""),"Falta tela o consumo. ","")&amp;IF(AND(C102&lt;&gt;"",M102=0),"Tela sin precio. ","")&amp;IF(S102=0,"Confección sin valor. ","")&amp;IF(J102="","Falta precio de venta. ",""))</f>
        <v/>
      </c>
    </row>
    <row r="103">
      <c r="A103" s="9" t="n"/>
      <c r="B103" s="9" t="n"/>
      <c r="C103" s="9" t="n"/>
      <c r="D103" s="10" t="n"/>
      <c r="E103" s="11" t="n"/>
      <c r="F103" s="11" t="n"/>
      <c r="G103" s="9" t="n"/>
      <c r="H103" s="9" t="n"/>
      <c r="I103" s="12" t="n"/>
      <c r="J103" s="12" t="n"/>
      <c r="K103" s="9" t="n"/>
      <c r="L103" s="13" t="n"/>
      <c r="M103" s="14">
        <f>IF($A103="","",IFERROR(D103*INDEX(Insumos!$D$6:$D$98,MATCH(C103,Insumos!$A$6:$A$98,0)),0))</f>
        <v/>
      </c>
      <c r="N103" s="14">
        <f>IF($A103="","",E103*Parametros!$H$21)</f>
        <v/>
      </c>
      <c r="O103" s="14">
        <f>IF($A103="","",F103*Parametros!$H$22)</f>
        <v/>
      </c>
      <c r="P103" s="14">
        <f>IF($A103="","",F103*Parametros!$B$17)</f>
        <v/>
      </c>
      <c r="Q103" s="14">
        <f>IF($A103="","",D103*Parametros!$H$23)</f>
        <v/>
      </c>
      <c r="R103" s="14">
        <f>IF($A103="","",H103*Parametros!$H$24)</f>
        <v/>
      </c>
      <c r="S103" s="14">
        <f>IF($A103="","",IFERROR(INDEX(Confeccion!$B$5:$B$80,MATCH(G103,Confeccion!$A$5:$A$80,0)),0))</f>
        <v/>
      </c>
      <c r="T103" s="15">
        <f>IF($A103="","",SUM(M103:S103)+I103)</f>
        <v/>
      </c>
      <c r="U103" s="14">
        <f>IF($A103="","",IF(J103="","",J103*Parametros!$B$13))</f>
        <v/>
      </c>
      <c r="V103" s="14">
        <f>IF($A103="","",IF(J103="","",J103*Parametros!$B$14))</f>
        <v/>
      </c>
      <c r="W103" s="15">
        <f>IF($A103="","",IF(J103="","",J103-T103-U103-V103))</f>
        <v/>
      </c>
      <c r="X103" s="16">
        <f>IF($A103="","",IF(J103="","",W103/J103))</f>
        <v/>
      </c>
      <c r="Y103" s="14">
        <f>IF($A103="","",IF(Parametros!$B$15&gt;=1,"",T103/(1-Parametros!$B$15)))</f>
        <v/>
      </c>
      <c r="Z103" s="14">
        <f>IF($A103="","",IF(Parametros!$B$15+Parametros!$B$16&gt;=1,"",T103/(1-Parametros!$B$15-Parametros!$B$16)))</f>
        <v/>
      </c>
      <c r="AA103" s="17">
        <f>IF($A103="","",IF(J103="","Falta precio",IF(W103&lt;0,"PIERDE",IF(X103&lt;Parametros!$B$16,"BAJO META","OK"))))</f>
        <v/>
      </c>
      <c r="AB103" s="18">
        <f>IF($A103="","",IF(OR(C103="",D103=""),"Falta tela o consumo. ","")&amp;IF(AND(C103&lt;&gt;"",M103=0),"Tela sin precio. ","")&amp;IF(S103=0,"Confección sin valor. ","")&amp;IF(J103="","Falta precio de venta. ",""))</f>
        <v/>
      </c>
    </row>
    <row r="104">
      <c r="A104" s="9" t="n"/>
      <c r="B104" s="9" t="n"/>
      <c r="C104" s="9" t="n"/>
      <c r="D104" s="10" t="n"/>
      <c r="E104" s="11" t="n"/>
      <c r="F104" s="11" t="n"/>
      <c r="G104" s="9" t="n"/>
      <c r="H104" s="9" t="n"/>
      <c r="I104" s="12" t="n"/>
      <c r="J104" s="12" t="n"/>
      <c r="K104" s="9" t="n"/>
      <c r="L104" s="13" t="n"/>
      <c r="M104" s="14">
        <f>IF($A104="","",IFERROR(D104*INDEX(Insumos!$D$6:$D$98,MATCH(C104,Insumos!$A$6:$A$98,0)),0))</f>
        <v/>
      </c>
      <c r="N104" s="14">
        <f>IF($A104="","",E104*Parametros!$H$21)</f>
        <v/>
      </c>
      <c r="O104" s="14">
        <f>IF($A104="","",F104*Parametros!$H$22)</f>
        <v/>
      </c>
      <c r="P104" s="14">
        <f>IF($A104="","",F104*Parametros!$B$17)</f>
        <v/>
      </c>
      <c r="Q104" s="14">
        <f>IF($A104="","",D104*Parametros!$H$23)</f>
        <v/>
      </c>
      <c r="R104" s="14">
        <f>IF($A104="","",H104*Parametros!$H$24)</f>
        <v/>
      </c>
      <c r="S104" s="14">
        <f>IF($A104="","",IFERROR(INDEX(Confeccion!$B$5:$B$80,MATCH(G104,Confeccion!$A$5:$A$80,0)),0))</f>
        <v/>
      </c>
      <c r="T104" s="15">
        <f>IF($A104="","",SUM(M104:S104)+I104)</f>
        <v/>
      </c>
      <c r="U104" s="14">
        <f>IF($A104="","",IF(J104="","",J104*Parametros!$B$13))</f>
        <v/>
      </c>
      <c r="V104" s="14">
        <f>IF($A104="","",IF(J104="","",J104*Parametros!$B$14))</f>
        <v/>
      </c>
      <c r="W104" s="15">
        <f>IF($A104="","",IF(J104="","",J104-T104-U104-V104))</f>
        <v/>
      </c>
      <c r="X104" s="16">
        <f>IF($A104="","",IF(J104="","",W104/J104))</f>
        <v/>
      </c>
      <c r="Y104" s="14">
        <f>IF($A104="","",IF(Parametros!$B$15&gt;=1,"",T104/(1-Parametros!$B$15)))</f>
        <v/>
      </c>
      <c r="Z104" s="14">
        <f>IF($A104="","",IF(Parametros!$B$15+Parametros!$B$16&gt;=1,"",T104/(1-Parametros!$B$15-Parametros!$B$16)))</f>
        <v/>
      </c>
      <c r="AA104" s="17">
        <f>IF($A104="","",IF(J104="","Falta precio",IF(W104&lt;0,"PIERDE",IF(X104&lt;Parametros!$B$16,"BAJO META","OK"))))</f>
        <v/>
      </c>
      <c r="AB104" s="18">
        <f>IF($A104="","",IF(OR(C104="",D104=""),"Falta tela o consumo. ","")&amp;IF(AND(C104&lt;&gt;"",M104=0),"Tela sin precio. ","")&amp;IF(S104=0,"Confección sin valor. ","")&amp;IF(J104="","Falta precio de venta. ",""))</f>
        <v/>
      </c>
    </row>
    <row r="105">
      <c r="A105" s="9" t="n"/>
      <c r="B105" s="9" t="n"/>
      <c r="C105" s="9" t="n"/>
      <c r="D105" s="10" t="n"/>
      <c r="E105" s="11" t="n"/>
      <c r="F105" s="11" t="n"/>
      <c r="G105" s="9" t="n"/>
      <c r="H105" s="9" t="n"/>
      <c r="I105" s="12" t="n"/>
      <c r="J105" s="12" t="n"/>
      <c r="K105" s="9" t="n"/>
      <c r="L105" s="13" t="n"/>
      <c r="M105" s="14">
        <f>IF($A105="","",IFERROR(D105*INDEX(Insumos!$D$6:$D$98,MATCH(C105,Insumos!$A$6:$A$98,0)),0))</f>
        <v/>
      </c>
      <c r="N105" s="14">
        <f>IF($A105="","",E105*Parametros!$H$21)</f>
        <v/>
      </c>
      <c r="O105" s="14">
        <f>IF($A105="","",F105*Parametros!$H$22)</f>
        <v/>
      </c>
      <c r="P105" s="14">
        <f>IF($A105="","",F105*Parametros!$B$17)</f>
        <v/>
      </c>
      <c r="Q105" s="14">
        <f>IF($A105="","",D105*Parametros!$H$23)</f>
        <v/>
      </c>
      <c r="R105" s="14">
        <f>IF($A105="","",H105*Parametros!$H$24)</f>
        <v/>
      </c>
      <c r="S105" s="14">
        <f>IF($A105="","",IFERROR(INDEX(Confeccion!$B$5:$B$80,MATCH(G105,Confeccion!$A$5:$A$80,0)),0))</f>
        <v/>
      </c>
      <c r="T105" s="15">
        <f>IF($A105="","",SUM(M105:S105)+I105)</f>
        <v/>
      </c>
      <c r="U105" s="14">
        <f>IF($A105="","",IF(J105="","",J105*Parametros!$B$13))</f>
        <v/>
      </c>
      <c r="V105" s="14">
        <f>IF($A105="","",IF(J105="","",J105*Parametros!$B$14))</f>
        <v/>
      </c>
      <c r="W105" s="15">
        <f>IF($A105="","",IF(J105="","",J105-T105-U105-V105))</f>
        <v/>
      </c>
      <c r="X105" s="16">
        <f>IF($A105="","",IF(J105="","",W105/J105))</f>
        <v/>
      </c>
      <c r="Y105" s="14">
        <f>IF($A105="","",IF(Parametros!$B$15&gt;=1,"",T105/(1-Parametros!$B$15)))</f>
        <v/>
      </c>
      <c r="Z105" s="14">
        <f>IF($A105="","",IF(Parametros!$B$15+Parametros!$B$16&gt;=1,"",T105/(1-Parametros!$B$15-Parametros!$B$16)))</f>
        <v/>
      </c>
      <c r="AA105" s="17">
        <f>IF($A105="","",IF(J105="","Falta precio",IF(W105&lt;0,"PIERDE",IF(X105&lt;Parametros!$B$16,"BAJO META","OK"))))</f>
        <v/>
      </c>
      <c r="AB105" s="18">
        <f>IF($A105="","",IF(OR(C105="",D105=""),"Falta tela o consumo. ","")&amp;IF(AND(C105&lt;&gt;"",M105=0),"Tela sin precio. ","")&amp;IF(S105=0,"Confección sin valor. ","")&amp;IF(J105="","Falta precio de venta. ",""))</f>
        <v/>
      </c>
    </row>
    <row r="106">
      <c r="A106" s="9" t="n"/>
      <c r="B106" s="9" t="n"/>
      <c r="C106" s="9" t="n"/>
      <c r="D106" s="10" t="n"/>
      <c r="E106" s="11" t="n"/>
      <c r="F106" s="11" t="n"/>
      <c r="G106" s="9" t="n"/>
      <c r="H106" s="9" t="n"/>
      <c r="I106" s="12" t="n"/>
      <c r="J106" s="12" t="n"/>
      <c r="K106" s="9" t="n"/>
      <c r="L106" s="13" t="n"/>
      <c r="M106" s="14">
        <f>IF($A106="","",IFERROR(D106*INDEX(Insumos!$D$6:$D$98,MATCH(C106,Insumos!$A$6:$A$98,0)),0))</f>
        <v/>
      </c>
      <c r="N106" s="14">
        <f>IF($A106="","",E106*Parametros!$H$21)</f>
        <v/>
      </c>
      <c r="O106" s="14">
        <f>IF($A106="","",F106*Parametros!$H$22)</f>
        <v/>
      </c>
      <c r="P106" s="14">
        <f>IF($A106="","",F106*Parametros!$B$17)</f>
        <v/>
      </c>
      <c r="Q106" s="14">
        <f>IF($A106="","",D106*Parametros!$H$23)</f>
        <v/>
      </c>
      <c r="R106" s="14">
        <f>IF($A106="","",H106*Parametros!$H$24)</f>
        <v/>
      </c>
      <c r="S106" s="14">
        <f>IF($A106="","",IFERROR(INDEX(Confeccion!$B$5:$B$80,MATCH(G106,Confeccion!$A$5:$A$80,0)),0))</f>
        <v/>
      </c>
      <c r="T106" s="15">
        <f>IF($A106="","",SUM(M106:S106)+I106)</f>
        <v/>
      </c>
      <c r="U106" s="14">
        <f>IF($A106="","",IF(J106="","",J106*Parametros!$B$13))</f>
        <v/>
      </c>
      <c r="V106" s="14">
        <f>IF($A106="","",IF(J106="","",J106*Parametros!$B$14))</f>
        <v/>
      </c>
      <c r="W106" s="15">
        <f>IF($A106="","",IF(J106="","",J106-T106-U106-V106))</f>
        <v/>
      </c>
      <c r="X106" s="16">
        <f>IF($A106="","",IF(J106="","",W106/J106))</f>
        <v/>
      </c>
      <c r="Y106" s="14">
        <f>IF($A106="","",IF(Parametros!$B$15&gt;=1,"",T106/(1-Parametros!$B$15)))</f>
        <v/>
      </c>
      <c r="Z106" s="14">
        <f>IF($A106="","",IF(Parametros!$B$15+Parametros!$B$16&gt;=1,"",T106/(1-Parametros!$B$15-Parametros!$B$16)))</f>
        <v/>
      </c>
      <c r="AA106" s="17">
        <f>IF($A106="","",IF(J106="","Falta precio",IF(W106&lt;0,"PIERDE",IF(X106&lt;Parametros!$B$16,"BAJO META","OK"))))</f>
        <v/>
      </c>
      <c r="AB106" s="18">
        <f>IF($A106="","",IF(OR(C106="",D106=""),"Falta tela o consumo. ","")&amp;IF(AND(C106&lt;&gt;"",M106=0),"Tela sin precio. ","")&amp;IF(S106=0,"Confección sin valor. ","")&amp;IF(J106="","Falta precio de venta. ",""))</f>
        <v/>
      </c>
    </row>
    <row r="107">
      <c r="A107" s="9" t="n"/>
      <c r="B107" s="9" t="n"/>
      <c r="C107" s="9" t="n"/>
      <c r="D107" s="10" t="n"/>
      <c r="E107" s="11" t="n"/>
      <c r="F107" s="11" t="n"/>
      <c r="G107" s="9" t="n"/>
      <c r="H107" s="9" t="n"/>
      <c r="I107" s="12" t="n"/>
      <c r="J107" s="12" t="n"/>
      <c r="K107" s="9" t="n"/>
      <c r="L107" s="13" t="n"/>
      <c r="M107" s="14">
        <f>IF($A107="","",IFERROR(D107*INDEX(Insumos!$D$6:$D$98,MATCH(C107,Insumos!$A$6:$A$98,0)),0))</f>
        <v/>
      </c>
      <c r="N107" s="14">
        <f>IF($A107="","",E107*Parametros!$H$21)</f>
        <v/>
      </c>
      <c r="O107" s="14">
        <f>IF($A107="","",F107*Parametros!$H$22)</f>
        <v/>
      </c>
      <c r="P107" s="14">
        <f>IF($A107="","",F107*Parametros!$B$17)</f>
        <v/>
      </c>
      <c r="Q107" s="14">
        <f>IF($A107="","",D107*Parametros!$H$23)</f>
        <v/>
      </c>
      <c r="R107" s="14">
        <f>IF($A107="","",H107*Parametros!$H$24)</f>
        <v/>
      </c>
      <c r="S107" s="14">
        <f>IF($A107="","",IFERROR(INDEX(Confeccion!$B$5:$B$80,MATCH(G107,Confeccion!$A$5:$A$80,0)),0))</f>
        <v/>
      </c>
      <c r="T107" s="15">
        <f>IF($A107="","",SUM(M107:S107)+I107)</f>
        <v/>
      </c>
      <c r="U107" s="14">
        <f>IF($A107="","",IF(J107="","",J107*Parametros!$B$13))</f>
        <v/>
      </c>
      <c r="V107" s="14">
        <f>IF($A107="","",IF(J107="","",J107*Parametros!$B$14))</f>
        <v/>
      </c>
      <c r="W107" s="15">
        <f>IF($A107="","",IF(J107="","",J107-T107-U107-V107))</f>
        <v/>
      </c>
      <c r="X107" s="16">
        <f>IF($A107="","",IF(J107="","",W107/J107))</f>
        <v/>
      </c>
      <c r="Y107" s="14">
        <f>IF($A107="","",IF(Parametros!$B$15&gt;=1,"",T107/(1-Parametros!$B$15)))</f>
        <v/>
      </c>
      <c r="Z107" s="14">
        <f>IF($A107="","",IF(Parametros!$B$15+Parametros!$B$16&gt;=1,"",T107/(1-Parametros!$B$15-Parametros!$B$16)))</f>
        <v/>
      </c>
      <c r="AA107" s="17">
        <f>IF($A107="","",IF(J107="","Falta precio",IF(W107&lt;0,"PIERDE",IF(X107&lt;Parametros!$B$16,"BAJO META","OK"))))</f>
        <v/>
      </c>
      <c r="AB107" s="18">
        <f>IF($A107="","",IF(OR(C107="",D107=""),"Falta tela o consumo. ","")&amp;IF(AND(C107&lt;&gt;"",M107=0),"Tela sin precio. ","")&amp;IF(S107=0,"Confección sin valor. ","")&amp;IF(J107="","Falta precio de venta. ",""))</f>
        <v/>
      </c>
    </row>
    <row r="108">
      <c r="A108" s="9" t="n"/>
      <c r="B108" s="9" t="n"/>
      <c r="C108" s="9" t="n"/>
      <c r="D108" s="10" t="n"/>
      <c r="E108" s="11" t="n"/>
      <c r="F108" s="11" t="n"/>
      <c r="G108" s="9" t="n"/>
      <c r="H108" s="9" t="n"/>
      <c r="I108" s="12" t="n"/>
      <c r="J108" s="12" t="n"/>
      <c r="K108" s="9" t="n"/>
      <c r="L108" s="13" t="n"/>
      <c r="M108" s="14">
        <f>IF($A108="","",IFERROR(D108*INDEX(Insumos!$D$6:$D$98,MATCH(C108,Insumos!$A$6:$A$98,0)),0))</f>
        <v/>
      </c>
      <c r="N108" s="14">
        <f>IF($A108="","",E108*Parametros!$H$21)</f>
        <v/>
      </c>
      <c r="O108" s="14">
        <f>IF($A108="","",F108*Parametros!$H$22)</f>
        <v/>
      </c>
      <c r="P108" s="14">
        <f>IF($A108="","",F108*Parametros!$B$17)</f>
        <v/>
      </c>
      <c r="Q108" s="14">
        <f>IF($A108="","",D108*Parametros!$H$23)</f>
        <v/>
      </c>
      <c r="R108" s="14">
        <f>IF($A108="","",H108*Parametros!$H$24)</f>
        <v/>
      </c>
      <c r="S108" s="14">
        <f>IF($A108="","",IFERROR(INDEX(Confeccion!$B$5:$B$80,MATCH(G108,Confeccion!$A$5:$A$80,0)),0))</f>
        <v/>
      </c>
      <c r="T108" s="15">
        <f>IF($A108="","",SUM(M108:S108)+I108)</f>
        <v/>
      </c>
      <c r="U108" s="14">
        <f>IF($A108="","",IF(J108="","",J108*Parametros!$B$13))</f>
        <v/>
      </c>
      <c r="V108" s="14">
        <f>IF($A108="","",IF(J108="","",J108*Parametros!$B$14))</f>
        <v/>
      </c>
      <c r="W108" s="15">
        <f>IF($A108="","",IF(J108="","",J108-T108-U108-V108))</f>
        <v/>
      </c>
      <c r="X108" s="16">
        <f>IF($A108="","",IF(J108="","",W108/J108))</f>
        <v/>
      </c>
      <c r="Y108" s="14">
        <f>IF($A108="","",IF(Parametros!$B$15&gt;=1,"",T108/(1-Parametros!$B$15)))</f>
        <v/>
      </c>
      <c r="Z108" s="14">
        <f>IF($A108="","",IF(Parametros!$B$15+Parametros!$B$16&gt;=1,"",T108/(1-Parametros!$B$15-Parametros!$B$16)))</f>
        <v/>
      </c>
      <c r="AA108" s="17">
        <f>IF($A108="","",IF(J108="","Falta precio",IF(W108&lt;0,"PIERDE",IF(X108&lt;Parametros!$B$16,"BAJO META","OK"))))</f>
        <v/>
      </c>
      <c r="AB108" s="18">
        <f>IF($A108="","",IF(OR(C108="",D108=""),"Falta tela o consumo. ","")&amp;IF(AND(C108&lt;&gt;"",M108=0),"Tela sin precio. ","")&amp;IF(S108=0,"Confección sin valor. ","")&amp;IF(J108="","Falta precio de venta. ",""))</f>
        <v/>
      </c>
    </row>
    <row r="109">
      <c r="A109" s="9" t="n"/>
      <c r="B109" s="9" t="n"/>
      <c r="C109" s="9" t="n"/>
      <c r="D109" s="10" t="n"/>
      <c r="E109" s="11" t="n"/>
      <c r="F109" s="11" t="n"/>
      <c r="G109" s="9" t="n"/>
      <c r="H109" s="9" t="n"/>
      <c r="I109" s="12" t="n"/>
      <c r="J109" s="12" t="n"/>
      <c r="K109" s="9" t="n"/>
      <c r="L109" s="13" t="n"/>
      <c r="M109" s="14">
        <f>IF($A109="","",IFERROR(D109*INDEX(Insumos!$D$6:$D$98,MATCH(C109,Insumos!$A$6:$A$98,0)),0))</f>
        <v/>
      </c>
      <c r="N109" s="14">
        <f>IF($A109="","",E109*Parametros!$H$21)</f>
        <v/>
      </c>
      <c r="O109" s="14">
        <f>IF($A109="","",F109*Parametros!$H$22)</f>
        <v/>
      </c>
      <c r="P109" s="14">
        <f>IF($A109="","",F109*Parametros!$B$17)</f>
        <v/>
      </c>
      <c r="Q109" s="14">
        <f>IF($A109="","",D109*Parametros!$H$23)</f>
        <v/>
      </c>
      <c r="R109" s="14">
        <f>IF($A109="","",H109*Parametros!$H$24)</f>
        <v/>
      </c>
      <c r="S109" s="14">
        <f>IF($A109="","",IFERROR(INDEX(Confeccion!$B$5:$B$80,MATCH(G109,Confeccion!$A$5:$A$80,0)),0))</f>
        <v/>
      </c>
      <c r="T109" s="15">
        <f>IF($A109="","",SUM(M109:S109)+I109)</f>
        <v/>
      </c>
      <c r="U109" s="14">
        <f>IF($A109="","",IF(J109="","",J109*Parametros!$B$13))</f>
        <v/>
      </c>
      <c r="V109" s="14">
        <f>IF($A109="","",IF(J109="","",J109*Parametros!$B$14))</f>
        <v/>
      </c>
      <c r="W109" s="15">
        <f>IF($A109="","",IF(J109="","",J109-T109-U109-V109))</f>
        <v/>
      </c>
      <c r="X109" s="16">
        <f>IF($A109="","",IF(J109="","",W109/J109))</f>
        <v/>
      </c>
      <c r="Y109" s="14">
        <f>IF($A109="","",IF(Parametros!$B$15&gt;=1,"",T109/(1-Parametros!$B$15)))</f>
        <v/>
      </c>
      <c r="Z109" s="14">
        <f>IF($A109="","",IF(Parametros!$B$15+Parametros!$B$16&gt;=1,"",T109/(1-Parametros!$B$15-Parametros!$B$16)))</f>
        <v/>
      </c>
      <c r="AA109" s="17">
        <f>IF($A109="","",IF(J109="","Falta precio",IF(W109&lt;0,"PIERDE",IF(X109&lt;Parametros!$B$16,"BAJO META","OK"))))</f>
        <v/>
      </c>
      <c r="AB109" s="18">
        <f>IF($A109="","",IF(OR(C109="",D109=""),"Falta tela o consumo. ","")&amp;IF(AND(C109&lt;&gt;"",M109=0),"Tela sin precio. ","")&amp;IF(S109=0,"Confección sin valor. ","")&amp;IF(J109="","Falta precio de venta. ",""))</f>
        <v/>
      </c>
    </row>
    <row r="110">
      <c r="A110" s="9" t="n"/>
      <c r="B110" s="9" t="n"/>
      <c r="C110" s="9" t="n"/>
      <c r="D110" s="10" t="n"/>
      <c r="E110" s="11" t="n"/>
      <c r="F110" s="11" t="n"/>
      <c r="G110" s="9" t="n"/>
      <c r="H110" s="9" t="n"/>
      <c r="I110" s="12" t="n"/>
      <c r="J110" s="12" t="n"/>
      <c r="K110" s="9" t="n"/>
      <c r="L110" s="13" t="n"/>
      <c r="M110" s="14">
        <f>IF($A110="","",IFERROR(D110*INDEX(Insumos!$D$6:$D$98,MATCH(C110,Insumos!$A$6:$A$98,0)),0))</f>
        <v/>
      </c>
      <c r="N110" s="14">
        <f>IF($A110="","",E110*Parametros!$H$21)</f>
        <v/>
      </c>
      <c r="O110" s="14">
        <f>IF($A110="","",F110*Parametros!$H$22)</f>
        <v/>
      </c>
      <c r="P110" s="14">
        <f>IF($A110="","",F110*Parametros!$B$17)</f>
        <v/>
      </c>
      <c r="Q110" s="14">
        <f>IF($A110="","",D110*Parametros!$H$23)</f>
        <v/>
      </c>
      <c r="R110" s="14">
        <f>IF($A110="","",H110*Parametros!$H$24)</f>
        <v/>
      </c>
      <c r="S110" s="14">
        <f>IF($A110="","",IFERROR(INDEX(Confeccion!$B$5:$B$80,MATCH(G110,Confeccion!$A$5:$A$80,0)),0))</f>
        <v/>
      </c>
      <c r="T110" s="15">
        <f>IF($A110="","",SUM(M110:S110)+I110)</f>
        <v/>
      </c>
      <c r="U110" s="14">
        <f>IF($A110="","",IF(J110="","",J110*Parametros!$B$13))</f>
        <v/>
      </c>
      <c r="V110" s="14">
        <f>IF($A110="","",IF(J110="","",J110*Parametros!$B$14))</f>
        <v/>
      </c>
      <c r="W110" s="15">
        <f>IF($A110="","",IF(J110="","",J110-T110-U110-V110))</f>
        <v/>
      </c>
      <c r="X110" s="16">
        <f>IF($A110="","",IF(J110="","",W110/J110))</f>
        <v/>
      </c>
      <c r="Y110" s="14">
        <f>IF($A110="","",IF(Parametros!$B$15&gt;=1,"",T110/(1-Parametros!$B$15)))</f>
        <v/>
      </c>
      <c r="Z110" s="14">
        <f>IF($A110="","",IF(Parametros!$B$15+Parametros!$B$16&gt;=1,"",T110/(1-Parametros!$B$15-Parametros!$B$16)))</f>
        <v/>
      </c>
      <c r="AA110" s="17">
        <f>IF($A110="","",IF(J110="","Falta precio",IF(W110&lt;0,"PIERDE",IF(X110&lt;Parametros!$B$16,"BAJO META","OK"))))</f>
        <v/>
      </c>
      <c r="AB110" s="18">
        <f>IF($A110="","",IF(OR(C110="",D110=""),"Falta tela o consumo. ","")&amp;IF(AND(C110&lt;&gt;"",M110=0),"Tela sin precio. ","")&amp;IF(S110=0,"Confección sin valor. ","")&amp;IF(J110="","Falta precio de venta. ",""))</f>
        <v/>
      </c>
    </row>
    <row r="111">
      <c r="A111" s="9" t="n"/>
      <c r="B111" s="9" t="n"/>
      <c r="C111" s="9" t="n"/>
      <c r="D111" s="10" t="n"/>
      <c r="E111" s="11" t="n"/>
      <c r="F111" s="11" t="n"/>
      <c r="G111" s="9" t="n"/>
      <c r="H111" s="9" t="n"/>
      <c r="I111" s="12" t="n"/>
      <c r="J111" s="12" t="n"/>
      <c r="K111" s="9" t="n"/>
      <c r="L111" s="13" t="n"/>
      <c r="M111" s="14">
        <f>IF($A111="","",IFERROR(D111*INDEX(Insumos!$D$6:$D$98,MATCH(C111,Insumos!$A$6:$A$98,0)),0))</f>
        <v/>
      </c>
      <c r="N111" s="14">
        <f>IF($A111="","",E111*Parametros!$H$21)</f>
        <v/>
      </c>
      <c r="O111" s="14">
        <f>IF($A111="","",F111*Parametros!$H$22)</f>
        <v/>
      </c>
      <c r="P111" s="14">
        <f>IF($A111="","",F111*Parametros!$B$17)</f>
        <v/>
      </c>
      <c r="Q111" s="14">
        <f>IF($A111="","",D111*Parametros!$H$23)</f>
        <v/>
      </c>
      <c r="R111" s="14">
        <f>IF($A111="","",H111*Parametros!$H$24)</f>
        <v/>
      </c>
      <c r="S111" s="14">
        <f>IF($A111="","",IFERROR(INDEX(Confeccion!$B$5:$B$80,MATCH(G111,Confeccion!$A$5:$A$80,0)),0))</f>
        <v/>
      </c>
      <c r="T111" s="15">
        <f>IF($A111="","",SUM(M111:S111)+I111)</f>
        <v/>
      </c>
      <c r="U111" s="14">
        <f>IF($A111="","",IF(J111="","",J111*Parametros!$B$13))</f>
        <v/>
      </c>
      <c r="V111" s="14">
        <f>IF($A111="","",IF(J111="","",J111*Parametros!$B$14))</f>
        <v/>
      </c>
      <c r="W111" s="15">
        <f>IF($A111="","",IF(J111="","",J111-T111-U111-V111))</f>
        <v/>
      </c>
      <c r="X111" s="16">
        <f>IF($A111="","",IF(J111="","",W111/J111))</f>
        <v/>
      </c>
      <c r="Y111" s="14">
        <f>IF($A111="","",IF(Parametros!$B$15&gt;=1,"",T111/(1-Parametros!$B$15)))</f>
        <v/>
      </c>
      <c r="Z111" s="14">
        <f>IF($A111="","",IF(Parametros!$B$15+Parametros!$B$16&gt;=1,"",T111/(1-Parametros!$B$15-Parametros!$B$16)))</f>
        <v/>
      </c>
      <c r="AA111" s="17">
        <f>IF($A111="","",IF(J111="","Falta precio",IF(W111&lt;0,"PIERDE",IF(X111&lt;Parametros!$B$16,"BAJO META","OK"))))</f>
        <v/>
      </c>
      <c r="AB111" s="18">
        <f>IF($A111="","",IF(OR(C111="",D111=""),"Falta tela o consumo. ","")&amp;IF(AND(C111&lt;&gt;"",M111=0),"Tela sin precio. ","")&amp;IF(S111=0,"Confección sin valor. ","")&amp;IF(J111="","Falta precio de venta. ",""))</f>
        <v/>
      </c>
    </row>
    <row r="112">
      <c r="A112" s="9" t="n"/>
      <c r="B112" s="9" t="n"/>
      <c r="C112" s="9" t="n"/>
      <c r="D112" s="10" t="n"/>
      <c r="E112" s="11" t="n"/>
      <c r="F112" s="11" t="n"/>
      <c r="G112" s="9" t="n"/>
      <c r="H112" s="9" t="n"/>
      <c r="I112" s="12" t="n"/>
      <c r="J112" s="12" t="n"/>
      <c r="K112" s="9" t="n"/>
      <c r="L112" s="13" t="n"/>
      <c r="M112" s="14">
        <f>IF($A112="","",IFERROR(D112*INDEX(Insumos!$D$6:$D$98,MATCH(C112,Insumos!$A$6:$A$98,0)),0))</f>
        <v/>
      </c>
      <c r="N112" s="14">
        <f>IF($A112="","",E112*Parametros!$H$21)</f>
        <v/>
      </c>
      <c r="O112" s="14">
        <f>IF($A112="","",F112*Parametros!$H$22)</f>
        <v/>
      </c>
      <c r="P112" s="14">
        <f>IF($A112="","",F112*Parametros!$B$17)</f>
        <v/>
      </c>
      <c r="Q112" s="14">
        <f>IF($A112="","",D112*Parametros!$H$23)</f>
        <v/>
      </c>
      <c r="R112" s="14">
        <f>IF($A112="","",H112*Parametros!$H$24)</f>
        <v/>
      </c>
      <c r="S112" s="14">
        <f>IF($A112="","",IFERROR(INDEX(Confeccion!$B$5:$B$80,MATCH(G112,Confeccion!$A$5:$A$80,0)),0))</f>
        <v/>
      </c>
      <c r="T112" s="15">
        <f>IF($A112="","",SUM(M112:S112)+I112)</f>
        <v/>
      </c>
      <c r="U112" s="14">
        <f>IF($A112="","",IF(J112="","",J112*Parametros!$B$13))</f>
        <v/>
      </c>
      <c r="V112" s="14">
        <f>IF($A112="","",IF(J112="","",J112*Parametros!$B$14))</f>
        <v/>
      </c>
      <c r="W112" s="15">
        <f>IF($A112="","",IF(J112="","",J112-T112-U112-V112))</f>
        <v/>
      </c>
      <c r="X112" s="16">
        <f>IF($A112="","",IF(J112="","",W112/J112))</f>
        <v/>
      </c>
      <c r="Y112" s="14">
        <f>IF($A112="","",IF(Parametros!$B$15&gt;=1,"",T112/(1-Parametros!$B$15)))</f>
        <v/>
      </c>
      <c r="Z112" s="14">
        <f>IF($A112="","",IF(Parametros!$B$15+Parametros!$B$16&gt;=1,"",T112/(1-Parametros!$B$15-Parametros!$B$16)))</f>
        <v/>
      </c>
      <c r="AA112" s="17">
        <f>IF($A112="","",IF(J112="","Falta precio",IF(W112&lt;0,"PIERDE",IF(X112&lt;Parametros!$B$16,"BAJO META","OK"))))</f>
        <v/>
      </c>
      <c r="AB112" s="18">
        <f>IF($A112="","",IF(OR(C112="",D112=""),"Falta tela o consumo. ","")&amp;IF(AND(C112&lt;&gt;"",M112=0),"Tela sin precio. ","")&amp;IF(S112=0,"Confección sin valor. ","")&amp;IF(J112="","Falta precio de venta. ",""))</f>
        <v/>
      </c>
    </row>
    <row r="113">
      <c r="A113" s="9" t="n"/>
      <c r="B113" s="9" t="n"/>
      <c r="C113" s="9" t="n"/>
      <c r="D113" s="10" t="n"/>
      <c r="E113" s="11" t="n"/>
      <c r="F113" s="11" t="n"/>
      <c r="G113" s="9" t="n"/>
      <c r="H113" s="9" t="n"/>
      <c r="I113" s="12" t="n"/>
      <c r="J113" s="12" t="n"/>
      <c r="K113" s="9" t="n"/>
      <c r="L113" s="13" t="n"/>
      <c r="M113" s="14">
        <f>IF($A113="","",IFERROR(D113*INDEX(Insumos!$D$6:$D$98,MATCH(C113,Insumos!$A$6:$A$98,0)),0))</f>
        <v/>
      </c>
      <c r="N113" s="14">
        <f>IF($A113="","",E113*Parametros!$H$21)</f>
        <v/>
      </c>
      <c r="O113" s="14">
        <f>IF($A113="","",F113*Parametros!$H$22)</f>
        <v/>
      </c>
      <c r="P113" s="14">
        <f>IF($A113="","",F113*Parametros!$B$17)</f>
        <v/>
      </c>
      <c r="Q113" s="14">
        <f>IF($A113="","",D113*Parametros!$H$23)</f>
        <v/>
      </c>
      <c r="R113" s="14">
        <f>IF($A113="","",H113*Parametros!$H$24)</f>
        <v/>
      </c>
      <c r="S113" s="14">
        <f>IF($A113="","",IFERROR(INDEX(Confeccion!$B$5:$B$80,MATCH(G113,Confeccion!$A$5:$A$80,0)),0))</f>
        <v/>
      </c>
      <c r="T113" s="15">
        <f>IF($A113="","",SUM(M113:S113)+I113)</f>
        <v/>
      </c>
      <c r="U113" s="14">
        <f>IF($A113="","",IF(J113="","",J113*Parametros!$B$13))</f>
        <v/>
      </c>
      <c r="V113" s="14">
        <f>IF($A113="","",IF(J113="","",J113*Parametros!$B$14))</f>
        <v/>
      </c>
      <c r="W113" s="15">
        <f>IF($A113="","",IF(J113="","",J113-T113-U113-V113))</f>
        <v/>
      </c>
      <c r="X113" s="16">
        <f>IF($A113="","",IF(J113="","",W113/J113))</f>
        <v/>
      </c>
      <c r="Y113" s="14">
        <f>IF($A113="","",IF(Parametros!$B$15&gt;=1,"",T113/(1-Parametros!$B$15)))</f>
        <v/>
      </c>
      <c r="Z113" s="14">
        <f>IF($A113="","",IF(Parametros!$B$15+Parametros!$B$16&gt;=1,"",T113/(1-Parametros!$B$15-Parametros!$B$16)))</f>
        <v/>
      </c>
      <c r="AA113" s="17">
        <f>IF($A113="","",IF(J113="","Falta precio",IF(W113&lt;0,"PIERDE",IF(X113&lt;Parametros!$B$16,"BAJO META","OK"))))</f>
        <v/>
      </c>
      <c r="AB113" s="18">
        <f>IF($A113="","",IF(OR(C113="",D113=""),"Falta tela o consumo. ","")&amp;IF(AND(C113&lt;&gt;"",M113=0),"Tela sin precio. ","")&amp;IF(S113=0,"Confección sin valor. ","")&amp;IF(J113="","Falta precio de venta. ",""))</f>
        <v/>
      </c>
    </row>
    <row r="114">
      <c r="A114" s="9" t="n"/>
      <c r="B114" s="9" t="n"/>
      <c r="C114" s="9" t="n"/>
      <c r="D114" s="10" t="n"/>
      <c r="E114" s="11" t="n"/>
      <c r="F114" s="11" t="n"/>
      <c r="G114" s="9" t="n"/>
      <c r="H114" s="9" t="n"/>
      <c r="I114" s="12" t="n"/>
      <c r="J114" s="12" t="n"/>
      <c r="K114" s="9" t="n"/>
      <c r="L114" s="13" t="n"/>
      <c r="M114" s="14">
        <f>IF($A114="","",IFERROR(D114*INDEX(Insumos!$D$6:$D$98,MATCH(C114,Insumos!$A$6:$A$98,0)),0))</f>
        <v/>
      </c>
      <c r="N114" s="14">
        <f>IF($A114="","",E114*Parametros!$H$21)</f>
        <v/>
      </c>
      <c r="O114" s="14">
        <f>IF($A114="","",F114*Parametros!$H$22)</f>
        <v/>
      </c>
      <c r="P114" s="14">
        <f>IF($A114="","",F114*Parametros!$B$17)</f>
        <v/>
      </c>
      <c r="Q114" s="14">
        <f>IF($A114="","",D114*Parametros!$H$23)</f>
        <v/>
      </c>
      <c r="R114" s="14">
        <f>IF($A114="","",H114*Parametros!$H$24)</f>
        <v/>
      </c>
      <c r="S114" s="14">
        <f>IF($A114="","",IFERROR(INDEX(Confeccion!$B$5:$B$80,MATCH(G114,Confeccion!$A$5:$A$80,0)),0))</f>
        <v/>
      </c>
      <c r="T114" s="15">
        <f>IF($A114="","",SUM(M114:S114)+I114)</f>
        <v/>
      </c>
      <c r="U114" s="14">
        <f>IF($A114="","",IF(J114="","",J114*Parametros!$B$13))</f>
        <v/>
      </c>
      <c r="V114" s="14">
        <f>IF($A114="","",IF(J114="","",J114*Parametros!$B$14))</f>
        <v/>
      </c>
      <c r="W114" s="15">
        <f>IF($A114="","",IF(J114="","",J114-T114-U114-V114))</f>
        <v/>
      </c>
      <c r="X114" s="16">
        <f>IF($A114="","",IF(J114="","",W114/J114))</f>
        <v/>
      </c>
      <c r="Y114" s="14">
        <f>IF($A114="","",IF(Parametros!$B$15&gt;=1,"",T114/(1-Parametros!$B$15)))</f>
        <v/>
      </c>
      <c r="Z114" s="14">
        <f>IF($A114="","",IF(Parametros!$B$15+Parametros!$B$16&gt;=1,"",T114/(1-Parametros!$B$15-Parametros!$B$16)))</f>
        <v/>
      </c>
      <c r="AA114" s="17">
        <f>IF($A114="","",IF(J114="","Falta precio",IF(W114&lt;0,"PIERDE",IF(X114&lt;Parametros!$B$16,"BAJO META","OK"))))</f>
        <v/>
      </c>
      <c r="AB114" s="18">
        <f>IF($A114="","",IF(OR(C114="",D114=""),"Falta tela o consumo. ","")&amp;IF(AND(C114&lt;&gt;"",M114=0),"Tela sin precio. ","")&amp;IF(S114=0,"Confección sin valor. ","")&amp;IF(J114="","Falta precio de venta. ",""))</f>
        <v/>
      </c>
    </row>
    <row r="115">
      <c r="A115" s="9" t="n"/>
      <c r="B115" s="9" t="n"/>
      <c r="C115" s="9" t="n"/>
      <c r="D115" s="10" t="n"/>
      <c r="E115" s="11" t="n"/>
      <c r="F115" s="11" t="n"/>
      <c r="G115" s="9" t="n"/>
      <c r="H115" s="9" t="n"/>
      <c r="I115" s="12" t="n"/>
      <c r="J115" s="12" t="n"/>
      <c r="K115" s="9" t="n"/>
      <c r="L115" s="13" t="n"/>
      <c r="M115" s="14">
        <f>IF($A115="","",IFERROR(D115*INDEX(Insumos!$D$6:$D$98,MATCH(C115,Insumos!$A$6:$A$98,0)),0))</f>
        <v/>
      </c>
      <c r="N115" s="14">
        <f>IF($A115="","",E115*Parametros!$H$21)</f>
        <v/>
      </c>
      <c r="O115" s="14">
        <f>IF($A115="","",F115*Parametros!$H$22)</f>
        <v/>
      </c>
      <c r="P115" s="14">
        <f>IF($A115="","",F115*Parametros!$B$17)</f>
        <v/>
      </c>
      <c r="Q115" s="14">
        <f>IF($A115="","",D115*Parametros!$H$23)</f>
        <v/>
      </c>
      <c r="R115" s="14">
        <f>IF($A115="","",H115*Parametros!$H$24)</f>
        <v/>
      </c>
      <c r="S115" s="14">
        <f>IF($A115="","",IFERROR(INDEX(Confeccion!$B$5:$B$80,MATCH(G115,Confeccion!$A$5:$A$80,0)),0))</f>
        <v/>
      </c>
      <c r="T115" s="15">
        <f>IF($A115="","",SUM(M115:S115)+I115)</f>
        <v/>
      </c>
      <c r="U115" s="14">
        <f>IF($A115="","",IF(J115="","",J115*Parametros!$B$13))</f>
        <v/>
      </c>
      <c r="V115" s="14">
        <f>IF($A115="","",IF(J115="","",J115*Parametros!$B$14))</f>
        <v/>
      </c>
      <c r="W115" s="15">
        <f>IF($A115="","",IF(J115="","",J115-T115-U115-V115))</f>
        <v/>
      </c>
      <c r="X115" s="16">
        <f>IF($A115="","",IF(J115="","",W115/J115))</f>
        <v/>
      </c>
      <c r="Y115" s="14">
        <f>IF($A115="","",IF(Parametros!$B$15&gt;=1,"",T115/(1-Parametros!$B$15)))</f>
        <v/>
      </c>
      <c r="Z115" s="14">
        <f>IF($A115="","",IF(Parametros!$B$15+Parametros!$B$16&gt;=1,"",T115/(1-Parametros!$B$15-Parametros!$B$16)))</f>
        <v/>
      </c>
      <c r="AA115" s="17">
        <f>IF($A115="","",IF(J115="","Falta precio",IF(W115&lt;0,"PIERDE",IF(X115&lt;Parametros!$B$16,"BAJO META","OK"))))</f>
        <v/>
      </c>
      <c r="AB115" s="18">
        <f>IF($A115="","",IF(OR(C115="",D115=""),"Falta tela o consumo. ","")&amp;IF(AND(C115&lt;&gt;"",M115=0),"Tela sin precio. ","")&amp;IF(S115=0,"Confección sin valor. ","")&amp;IF(J115="","Falta precio de venta. ",""))</f>
        <v/>
      </c>
    </row>
    <row r="116">
      <c r="A116" s="9" t="n"/>
      <c r="B116" s="9" t="n"/>
      <c r="C116" s="9" t="n"/>
      <c r="D116" s="10" t="n"/>
      <c r="E116" s="11" t="n"/>
      <c r="F116" s="11" t="n"/>
      <c r="G116" s="9" t="n"/>
      <c r="H116" s="9" t="n"/>
      <c r="I116" s="12" t="n"/>
      <c r="J116" s="12" t="n"/>
      <c r="K116" s="9" t="n"/>
      <c r="L116" s="13" t="n"/>
      <c r="M116" s="14">
        <f>IF($A116="","",IFERROR(D116*INDEX(Insumos!$D$6:$D$98,MATCH(C116,Insumos!$A$6:$A$98,0)),0))</f>
        <v/>
      </c>
      <c r="N116" s="14">
        <f>IF($A116="","",E116*Parametros!$H$21)</f>
        <v/>
      </c>
      <c r="O116" s="14">
        <f>IF($A116="","",F116*Parametros!$H$22)</f>
        <v/>
      </c>
      <c r="P116" s="14">
        <f>IF($A116="","",F116*Parametros!$B$17)</f>
        <v/>
      </c>
      <c r="Q116" s="14">
        <f>IF($A116="","",D116*Parametros!$H$23)</f>
        <v/>
      </c>
      <c r="R116" s="14">
        <f>IF($A116="","",H116*Parametros!$H$24)</f>
        <v/>
      </c>
      <c r="S116" s="14">
        <f>IF($A116="","",IFERROR(INDEX(Confeccion!$B$5:$B$80,MATCH(G116,Confeccion!$A$5:$A$80,0)),0))</f>
        <v/>
      </c>
      <c r="T116" s="15">
        <f>IF($A116="","",SUM(M116:S116)+I116)</f>
        <v/>
      </c>
      <c r="U116" s="14">
        <f>IF($A116="","",IF(J116="","",J116*Parametros!$B$13))</f>
        <v/>
      </c>
      <c r="V116" s="14">
        <f>IF($A116="","",IF(J116="","",J116*Parametros!$B$14))</f>
        <v/>
      </c>
      <c r="W116" s="15">
        <f>IF($A116="","",IF(J116="","",J116-T116-U116-V116))</f>
        <v/>
      </c>
      <c r="X116" s="16">
        <f>IF($A116="","",IF(J116="","",W116/J116))</f>
        <v/>
      </c>
      <c r="Y116" s="14">
        <f>IF($A116="","",IF(Parametros!$B$15&gt;=1,"",T116/(1-Parametros!$B$15)))</f>
        <v/>
      </c>
      <c r="Z116" s="14">
        <f>IF($A116="","",IF(Parametros!$B$15+Parametros!$B$16&gt;=1,"",T116/(1-Parametros!$B$15-Parametros!$B$16)))</f>
        <v/>
      </c>
      <c r="AA116" s="17">
        <f>IF($A116="","",IF(J116="","Falta precio",IF(W116&lt;0,"PIERDE",IF(X116&lt;Parametros!$B$16,"BAJO META","OK"))))</f>
        <v/>
      </c>
      <c r="AB116" s="18">
        <f>IF($A116="","",IF(OR(C116="",D116=""),"Falta tela o consumo. ","")&amp;IF(AND(C116&lt;&gt;"",M116=0),"Tela sin precio. ","")&amp;IF(S116=0,"Confección sin valor. ","")&amp;IF(J116="","Falta precio de venta. ",""))</f>
        <v/>
      </c>
    </row>
    <row r="117">
      <c r="A117" s="9" t="n"/>
      <c r="B117" s="9" t="n"/>
      <c r="C117" s="9" t="n"/>
      <c r="D117" s="10" t="n"/>
      <c r="E117" s="11" t="n"/>
      <c r="F117" s="11" t="n"/>
      <c r="G117" s="9" t="n"/>
      <c r="H117" s="9" t="n"/>
      <c r="I117" s="12" t="n"/>
      <c r="J117" s="12" t="n"/>
      <c r="K117" s="9" t="n"/>
      <c r="L117" s="13" t="n"/>
      <c r="M117" s="14">
        <f>IF($A117="","",IFERROR(D117*INDEX(Insumos!$D$6:$D$98,MATCH(C117,Insumos!$A$6:$A$98,0)),0))</f>
        <v/>
      </c>
      <c r="N117" s="14">
        <f>IF($A117="","",E117*Parametros!$H$21)</f>
        <v/>
      </c>
      <c r="O117" s="14">
        <f>IF($A117="","",F117*Parametros!$H$22)</f>
        <v/>
      </c>
      <c r="P117" s="14">
        <f>IF($A117="","",F117*Parametros!$B$17)</f>
        <v/>
      </c>
      <c r="Q117" s="14">
        <f>IF($A117="","",D117*Parametros!$H$23)</f>
        <v/>
      </c>
      <c r="R117" s="14">
        <f>IF($A117="","",H117*Parametros!$H$24)</f>
        <v/>
      </c>
      <c r="S117" s="14">
        <f>IF($A117="","",IFERROR(INDEX(Confeccion!$B$5:$B$80,MATCH(G117,Confeccion!$A$5:$A$80,0)),0))</f>
        <v/>
      </c>
      <c r="T117" s="15">
        <f>IF($A117="","",SUM(M117:S117)+I117)</f>
        <v/>
      </c>
      <c r="U117" s="14">
        <f>IF($A117="","",IF(J117="","",J117*Parametros!$B$13))</f>
        <v/>
      </c>
      <c r="V117" s="14">
        <f>IF($A117="","",IF(J117="","",J117*Parametros!$B$14))</f>
        <v/>
      </c>
      <c r="W117" s="15">
        <f>IF($A117="","",IF(J117="","",J117-T117-U117-V117))</f>
        <v/>
      </c>
      <c r="X117" s="16">
        <f>IF($A117="","",IF(J117="","",W117/J117))</f>
        <v/>
      </c>
      <c r="Y117" s="14">
        <f>IF($A117="","",IF(Parametros!$B$15&gt;=1,"",T117/(1-Parametros!$B$15)))</f>
        <v/>
      </c>
      <c r="Z117" s="14">
        <f>IF($A117="","",IF(Parametros!$B$15+Parametros!$B$16&gt;=1,"",T117/(1-Parametros!$B$15-Parametros!$B$16)))</f>
        <v/>
      </c>
      <c r="AA117" s="17">
        <f>IF($A117="","",IF(J117="","Falta precio",IF(W117&lt;0,"PIERDE",IF(X117&lt;Parametros!$B$16,"BAJO META","OK"))))</f>
        <v/>
      </c>
      <c r="AB117" s="18">
        <f>IF($A117="","",IF(OR(C117="",D117=""),"Falta tela o consumo. ","")&amp;IF(AND(C117&lt;&gt;"",M117=0),"Tela sin precio. ","")&amp;IF(S117=0,"Confección sin valor. ","")&amp;IF(J117="","Falta precio de venta. ",""))</f>
        <v/>
      </c>
    </row>
    <row r="118">
      <c r="A118" s="9" t="n"/>
      <c r="B118" s="9" t="n"/>
      <c r="C118" s="9" t="n"/>
      <c r="D118" s="10" t="n"/>
      <c r="E118" s="11" t="n"/>
      <c r="F118" s="11" t="n"/>
      <c r="G118" s="9" t="n"/>
      <c r="H118" s="9" t="n"/>
      <c r="I118" s="12" t="n"/>
      <c r="J118" s="12" t="n"/>
      <c r="K118" s="9" t="n"/>
      <c r="L118" s="13" t="n"/>
      <c r="M118" s="14">
        <f>IF($A118="","",IFERROR(D118*INDEX(Insumos!$D$6:$D$98,MATCH(C118,Insumos!$A$6:$A$98,0)),0))</f>
        <v/>
      </c>
      <c r="N118" s="14">
        <f>IF($A118="","",E118*Parametros!$H$21)</f>
        <v/>
      </c>
      <c r="O118" s="14">
        <f>IF($A118="","",F118*Parametros!$H$22)</f>
        <v/>
      </c>
      <c r="P118" s="14">
        <f>IF($A118="","",F118*Parametros!$B$17)</f>
        <v/>
      </c>
      <c r="Q118" s="14">
        <f>IF($A118="","",D118*Parametros!$H$23)</f>
        <v/>
      </c>
      <c r="R118" s="14">
        <f>IF($A118="","",H118*Parametros!$H$24)</f>
        <v/>
      </c>
      <c r="S118" s="14">
        <f>IF($A118="","",IFERROR(INDEX(Confeccion!$B$5:$B$80,MATCH(G118,Confeccion!$A$5:$A$80,0)),0))</f>
        <v/>
      </c>
      <c r="T118" s="15">
        <f>IF($A118="","",SUM(M118:S118)+I118)</f>
        <v/>
      </c>
      <c r="U118" s="14">
        <f>IF($A118="","",IF(J118="","",J118*Parametros!$B$13))</f>
        <v/>
      </c>
      <c r="V118" s="14">
        <f>IF($A118="","",IF(J118="","",J118*Parametros!$B$14))</f>
        <v/>
      </c>
      <c r="W118" s="15">
        <f>IF($A118="","",IF(J118="","",J118-T118-U118-V118))</f>
        <v/>
      </c>
      <c r="X118" s="16">
        <f>IF($A118="","",IF(J118="","",W118/J118))</f>
        <v/>
      </c>
      <c r="Y118" s="14">
        <f>IF($A118="","",IF(Parametros!$B$15&gt;=1,"",T118/(1-Parametros!$B$15)))</f>
        <v/>
      </c>
      <c r="Z118" s="14">
        <f>IF($A118="","",IF(Parametros!$B$15+Parametros!$B$16&gt;=1,"",T118/(1-Parametros!$B$15-Parametros!$B$16)))</f>
        <v/>
      </c>
      <c r="AA118" s="17">
        <f>IF($A118="","",IF(J118="","Falta precio",IF(W118&lt;0,"PIERDE",IF(X118&lt;Parametros!$B$16,"BAJO META","OK"))))</f>
        <v/>
      </c>
      <c r="AB118" s="18">
        <f>IF($A118="","",IF(OR(C118="",D118=""),"Falta tela o consumo. ","")&amp;IF(AND(C118&lt;&gt;"",M118=0),"Tela sin precio. ","")&amp;IF(S118=0,"Confección sin valor. ","")&amp;IF(J118="","Falta precio de venta. ",""))</f>
        <v/>
      </c>
    </row>
    <row r="119">
      <c r="A119" s="9" t="n"/>
      <c r="B119" s="9" t="n"/>
      <c r="C119" s="9" t="n"/>
      <c r="D119" s="10" t="n"/>
      <c r="E119" s="11" t="n"/>
      <c r="F119" s="11" t="n"/>
      <c r="G119" s="9" t="n"/>
      <c r="H119" s="9" t="n"/>
      <c r="I119" s="12" t="n"/>
      <c r="J119" s="12" t="n"/>
      <c r="K119" s="9" t="n"/>
      <c r="L119" s="13" t="n"/>
      <c r="M119" s="14">
        <f>IF($A119="","",IFERROR(D119*INDEX(Insumos!$D$6:$D$98,MATCH(C119,Insumos!$A$6:$A$98,0)),0))</f>
        <v/>
      </c>
      <c r="N119" s="14">
        <f>IF($A119="","",E119*Parametros!$H$21)</f>
        <v/>
      </c>
      <c r="O119" s="14">
        <f>IF($A119="","",F119*Parametros!$H$22)</f>
        <v/>
      </c>
      <c r="P119" s="14">
        <f>IF($A119="","",F119*Parametros!$B$17)</f>
        <v/>
      </c>
      <c r="Q119" s="14">
        <f>IF($A119="","",D119*Parametros!$H$23)</f>
        <v/>
      </c>
      <c r="R119" s="14">
        <f>IF($A119="","",H119*Parametros!$H$24)</f>
        <v/>
      </c>
      <c r="S119" s="14">
        <f>IF($A119="","",IFERROR(INDEX(Confeccion!$B$5:$B$80,MATCH(G119,Confeccion!$A$5:$A$80,0)),0))</f>
        <v/>
      </c>
      <c r="T119" s="15">
        <f>IF($A119="","",SUM(M119:S119)+I119)</f>
        <v/>
      </c>
      <c r="U119" s="14">
        <f>IF($A119="","",IF(J119="","",J119*Parametros!$B$13))</f>
        <v/>
      </c>
      <c r="V119" s="14">
        <f>IF($A119="","",IF(J119="","",J119*Parametros!$B$14))</f>
        <v/>
      </c>
      <c r="W119" s="15">
        <f>IF($A119="","",IF(J119="","",J119-T119-U119-V119))</f>
        <v/>
      </c>
      <c r="X119" s="16">
        <f>IF($A119="","",IF(J119="","",W119/J119))</f>
        <v/>
      </c>
      <c r="Y119" s="14">
        <f>IF($A119="","",IF(Parametros!$B$15&gt;=1,"",T119/(1-Parametros!$B$15)))</f>
        <v/>
      </c>
      <c r="Z119" s="14">
        <f>IF($A119="","",IF(Parametros!$B$15+Parametros!$B$16&gt;=1,"",T119/(1-Parametros!$B$15-Parametros!$B$16)))</f>
        <v/>
      </c>
      <c r="AA119" s="17">
        <f>IF($A119="","",IF(J119="","Falta precio",IF(W119&lt;0,"PIERDE",IF(X119&lt;Parametros!$B$16,"BAJO META","OK"))))</f>
        <v/>
      </c>
      <c r="AB119" s="18">
        <f>IF($A119="","",IF(OR(C119="",D119=""),"Falta tela o consumo. ","")&amp;IF(AND(C119&lt;&gt;"",M119=0),"Tela sin precio. ","")&amp;IF(S119=0,"Confección sin valor. ","")&amp;IF(J119="","Falta precio de venta. ",""))</f>
        <v/>
      </c>
    </row>
    <row r="120">
      <c r="A120" s="9" t="n"/>
      <c r="B120" s="9" t="n"/>
      <c r="C120" s="9" t="n"/>
      <c r="D120" s="10" t="n"/>
      <c r="E120" s="11" t="n"/>
      <c r="F120" s="11" t="n"/>
      <c r="G120" s="9" t="n"/>
      <c r="H120" s="9" t="n"/>
      <c r="I120" s="12" t="n"/>
      <c r="J120" s="12" t="n"/>
      <c r="K120" s="9" t="n"/>
      <c r="L120" s="13" t="n"/>
      <c r="M120" s="14">
        <f>IF($A120="","",IFERROR(D120*INDEX(Insumos!$D$6:$D$98,MATCH(C120,Insumos!$A$6:$A$98,0)),0))</f>
        <v/>
      </c>
      <c r="N120" s="14">
        <f>IF($A120="","",E120*Parametros!$H$21)</f>
        <v/>
      </c>
      <c r="O120" s="14">
        <f>IF($A120="","",F120*Parametros!$H$22)</f>
        <v/>
      </c>
      <c r="P120" s="14">
        <f>IF($A120="","",F120*Parametros!$B$17)</f>
        <v/>
      </c>
      <c r="Q120" s="14">
        <f>IF($A120="","",D120*Parametros!$H$23)</f>
        <v/>
      </c>
      <c r="R120" s="14">
        <f>IF($A120="","",H120*Parametros!$H$24)</f>
        <v/>
      </c>
      <c r="S120" s="14">
        <f>IF($A120="","",IFERROR(INDEX(Confeccion!$B$5:$B$80,MATCH(G120,Confeccion!$A$5:$A$80,0)),0))</f>
        <v/>
      </c>
      <c r="T120" s="15">
        <f>IF($A120="","",SUM(M120:S120)+I120)</f>
        <v/>
      </c>
      <c r="U120" s="14">
        <f>IF($A120="","",IF(J120="","",J120*Parametros!$B$13))</f>
        <v/>
      </c>
      <c r="V120" s="14">
        <f>IF($A120="","",IF(J120="","",J120*Parametros!$B$14))</f>
        <v/>
      </c>
      <c r="W120" s="15">
        <f>IF($A120="","",IF(J120="","",J120-T120-U120-V120))</f>
        <v/>
      </c>
      <c r="X120" s="16">
        <f>IF($A120="","",IF(J120="","",W120/J120))</f>
        <v/>
      </c>
      <c r="Y120" s="14">
        <f>IF($A120="","",IF(Parametros!$B$15&gt;=1,"",T120/(1-Parametros!$B$15)))</f>
        <v/>
      </c>
      <c r="Z120" s="14">
        <f>IF($A120="","",IF(Parametros!$B$15+Parametros!$B$16&gt;=1,"",T120/(1-Parametros!$B$15-Parametros!$B$16)))</f>
        <v/>
      </c>
      <c r="AA120" s="17">
        <f>IF($A120="","",IF(J120="","Falta precio",IF(W120&lt;0,"PIERDE",IF(X120&lt;Parametros!$B$16,"BAJO META","OK"))))</f>
        <v/>
      </c>
      <c r="AB120" s="18">
        <f>IF($A120="","",IF(OR(C120="",D120=""),"Falta tela o consumo. ","")&amp;IF(AND(C120&lt;&gt;"",M120=0),"Tela sin precio. ","")&amp;IF(S120=0,"Confección sin valor. ","")&amp;IF(J120="","Falta precio de venta. ",""))</f>
        <v/>
      </c>
    </row>
    <row r="121">
      <c r="A121" s="9" t="n"/>
      <c r="B121" s="9" t="n"/>
      <c r="C121" s="9" t="n"/>
      <c r="D121" s="10" t="n"/>
      <c r="E121" s="11" t="n"/>
      <c r="F121" s="11" t="n"/>
      <c r="G121" s="9" t="n"/>
      <c r="H121" s="9" t="n"/>
      <c r="I121" s="12" t="n"/>
      <c r="J121" s="12" t="n"/>
      <c r="K121" s="9" t="n"/>
      <c r="L121" s="13" t="n"/>
      <c r="M121" s="14">
        <f>IF($A121="","",IFERROR(D121*INDEX(Insumos!$D$6:$D$98,MATCH(C121,Insumos!$A$6:$A$98,0)),0))</f>
        <v/>
      </c>
      <c r="N121" s="14">
        <f>IF($A121="","",E121*Parametros!$H$21)</f>
        <v/>
      </c>
      <c r="O121" s="14">
        <f>IF($A121="","",F121*Parametros!$H$22)</f>
        <v/>
      </c>
      <c r="P121" s="14">
        <f>IF($A121="","",F121*Parametros!$B$17)</f>
        <v/>
      </c>
      <c r="Q121" s="14">
        <f>IF($A121="","",D121*Parametros!$H$23)</f>
        <v/>
      </c>
      <c r="R121" s="14">
        <f>IF($A121="","",H121*Parametros!$H$24)</f>
        <v/>
      </c>
      <c r="S121" s="14">
        <f>IF($A121="","",IFERROR(INDEX(Confeccion!$B$5:$B$80,MATCH(G121,Confeccion!$A$5:$A$80,0)),0))</f>
        <v/>
      </c>
      <c r="T121" s="15">
        <f>IF($A121="","",SUM(M121:S121)+I121)</f>
        <v/>
      </c>
      <c r="U121" s="14">
        <f>IF($A121="","",IF(J121="","",J121*Parametros!$B$13))</f>
        <v/>
      </c>
      <c r="V121" s="14">
        <f>IF($A121="","",IF(J121="","",J121*Parametros!$B$14))</f>
        <v/>
      </c>
      <c r="W121" s="15">
        <f>IF($A121="","",IF(J121="","",J121-T121-U121-V121))</f>
        <v/>
      </c>
      <c r="X121" s="16">
        <f>IF($A121="","",IF(J121="","",W121/J121))</f>
        <v/>
      </c>
      <c r="Y121" s="14">
        <f>IF($A121="","",IF(Parametros!$B$15&gt;=1,"",T121/(1-Parametros!$B$15)))</f>
        <v/>
      </c>
      <c r="Z121" s="14">
        <f>IF($A121="","",IF(Parametros!$B$15+Parametros!$B$16&gt;=1,"",T121/(1-Parametros!$B$15-Parametros!$B$16)))</f>
        <v/>
      </c>
      <c r="AA121" s="17">
        <f>IF($A121="","",IF(J121="","Falta precio",IF(W121&lt;0,"PIERDE",IF(X121&lt;Parametros!$B$16,"BAJO META","OK"))))</f>
        <v/>
      </c>
      <c r="AB121" s="18">
        <f>IF($A121="","",IF(OR(C121="",D121=""),"Falta tela o consumo. ","")&amp;IF(AND(C121&lt;&gt;"",M121=0),"Tela sin precio. ","")&amp;IF(S121=0,"Confección sin valor. ","")&amp;IF(J121="","Falta precio de venta. ",""))</f>
        <v/>
      </c>
    </row>
    <row r="122">
      <c r="A122" s="9" t="n"/>
      <c r="B122" s="9" t="n"/>
      <c r="C122" s="9" t="n"/>
      <c r="D122" s="10" t="n"/>
      <c r="E122" s="11" t="n"/>
      <c r="F122" s="11" t="n"/>
      <c r="G122" s="9" t="n"/>
      <c r="H122" s="9" t="n"/>
      <c r="I122" s="12" t="n"/>
      <c r="J122" s="12" t="n"/>
      <c r="K122" s="9" t="n"/>
      <c r="L122" s="13" t="n"/>
      <c r="M122" s="14">
        <f>IF($A122="","",IFERROR(D122*INDEX(Insumos!$D$6:$D$98,MATCH(C122,Insumos!$A$6:$A$98,0)),0))</f>
        <v/>
      </c>
      <c r="N122" s="14">
        <f>IF($A122="","",E122*Parametros!$H$21)</f>
        <v/>
      </c>
      <c r="O122" s="14">
        <f>IF($A122="","",F122*Parametros!$H$22)</f>
        <v/>
      </c>
      <c r="P122" s="14">
        <f>IF($A122="","",F122*Parametros!$B$17)</f>
        <v/>
      </c>
      <c r="Q122" s="14">
        <f>IF($A122="","",D122*Parametros!$H$23)</f>
        <v/>
      </c>
      <c r="R122" s="14">
        <f>IF($A122="","",H122*Parametros!$H$24)</f>
        <v/>
      </c>
      <c r="S122" s="14">
        <f>IF($A122="","",IFERROR(INDEX(Confeccion!$B$5:$B$80,MATCH(G122,Confeccion!$A$5:$A$80,0)),0))</f>
        <v/>
      </c>
      <c r="T122" s="15">
        <f>IF($A122="","",SUM(M122:S122)+I122)</f>
        <v/>
      </c>
      <c r="U122" s="14">
        <f>IF($A122="","",IF(J122="","",J122*Parametros!$B$13))</f>
        <v/>
      </c>
      <c r="V122" s="14">
        <f>IF($A122="","",IF(J122="","",J122*Parametros!$B$14))</f>
        <v/>
      </c>
      <c r="W122" s="15">
        <f>IF($A122="","",IF(J122="","",J122-T122-U122-V122))</f>
        <v/>
      </c>
      <c r="X122" s="16">
        <f>IF($A122="","",IF(J122="","",W122/J122))</f>
        <v/>
      </c>
      <c r="Y122" s="14">
        <f>IF($A122="","",IF(Parametros!$B$15&gt;=1,"",T122/(1-Parametros!$B$15)))</f>
        <v/>
      </c>
      <c r="Z122" s="14">
        <f>IF($A122="","",IF(Parametros!$B$15+Parametros!$B$16&gt;=1,"",T122/(1-Parametros!$B$15-Parametros!$B$16)))</f>
        <v/>
      </c>
      <c r="AA122" s="17">
        <f>IF($A122="","",IF(J122="","Falta precio",IF(W122&lt;0,"PIERDE",IF(X122&lt;Parametros!$B$16,"BAJO META","OK"))))</f>
        <v/>
      </c>
      <c r="AB122" s="18">
        <f>IF($A122="","",IF(OR(C122="",D122=""),"Falta tela o consumo. ","")&amp;IF(AND(C122&lt;&gt;"",M122=0),"Tela sin precio. ","")&amp;IF(S122=0,"Confección sin valor. ","")&amp;IF(J122="","Falta precio de venta. ",""))</f>
        <v/>
      </c>
    </row>
    <row r="123">
      <c r="A123" s="9" t="n"/>
      <c r="B123" s="9" t="n"/>
      <c r="C123" s="9" t="n"/>
      <c r="D123" s="10" t="n"/>
      <c r="E123" s="11" t="n"/>
      <c r="F123" s="11" t="n"/>
      <c r="G123" s="9" t="n"/>
      <c r="H123" s="9" t="n"/>
      <c r="I123" s="12" t="n"/>
      <c r="J123" s="12" t="n"/>
      <c r="K123" s="9" t="n"/>
      <c r="L123" s="13" t="n"/>
      <c r="M123" s="14">
        <f>IF($A123="","",IFERROR(D123*INDEX(Insumos!$D$6:$D$98,MATCH(C123,Insumos!$A$6:$A$98,0)),0))</f>
        <v/>
      </c>
      <c r="N123" s="14">
        <f>IF($A123="","",E123*Parametros!$H$21)</f>
        <v/>
      </c>
      <c r="O123" s="14">
        <f>IF($A123="","",F123*Parametros!$H$22)</f>
        <v/>
      </c>
      <c r="P123" s="14">
        <f>IF($A123="","",F123*Parametros!$B$17)</f>
        <v/>
      </c>
      <c r="Q123" s="14">
        <f>IF($A123="","",D123*Parametros!$H$23)</f>
        <v/>
      </c>
      <c r="R123" s="14">
        <f>IF($A123="","",H123*Parametros!$H$24)</f>
        <v/>
      </c>
      <c r="S123" s="14">
        <f>IF($A123="","",IFERROR(INDEX(Confeccion!$B$5:$B$80,MATCH(G123,Confeccion!$A$5:$A$80,0)),0))</f>
        <v/>
      </c>
      <c r="T123" s="15">
        <f>IF($A123="","",SUM(M123:S123)+I123)</f>
        <v/>
      </c>
      <c r="U123" s="14">
        <f>IF($A123="","",IF(J123="","",J123*Parametros!$B$13))</f>
        <v/>
      </c>
      <c r="V123" s="14">
        <f>IF($A123="","",IF(J123="","",J123*Parametros!$B$14))</f>
        <v/>
      </c>
      <c r="W123" s="15">
        <f>IF($A123="","",IF(J123="","",J123-T123-U123-V123))</f>
        <v/>
      </c>
      <c r="X123" s="16">
        <f>IF($A123="","",IF(J123="","",W123/J123))</f>
        <v/>
      </c>
      <c r="Y123" s="14">
        <f>IF($A123="","",IF(Parametros!$B$15&gt;=1,"",T123/(1-Parametros!$B$15)))</f>
        <v/>
      </c>
      <c r="Z123" s="14">
        <f>IF($A123="","",IF(Parametros!$B$15+Parametros!$B$16&gt;=1,"",T123/(1-Parametros!$B$15-Parametros!$B$16)))</f>
        <v/>
      </c>
      <c r="AA123" s="17">
        <f>IF($A123="","",IF(J123="","Falta precio",IF(W123&lt;0,"PIERDE",IF(X123&lt;Parametros!$B$16,"BAJO META","OK"))))</f>
        <v/>
      </c>
      <c r="AB123" s="18">
        <f>IF($A123="","",IF(OR(C123="",D123=""),"Falta tela o consumo. ","")&amp;IF(AND(C123&lt;&gt;"",M123=0),"Tela sin precio. ","")&amp;IF(S123=0,"Confección sin valor. ","")&amp;IF(J123="","Falta precio de venta. ",""))</f>
        <v/>
      </c>
    </row>
    <row r="124">
      <c r="A124" s="9" t="n"/>
      <c r="B124" s="9" t="n"/>
      <c r="C124" s="9" t="n"/>
      <c r="D124" s="10" t="n"/>
      <c r="E124" s="11" t="n"/>
      <c r="F124" s="11" t="n"/>
      <c r="G124" s="9" t="n"/>
      <c r="H124" s="9" t="n"/>
      <c r="I124" s="12" t="n"/>
      <c r="J124" s="12" t="n"/>
      <c r="K124" s="9" t="n"/>
      <c r="L124" s="13" t="n"/>
      <c r="M124" s="14">
        <f>IF($A124="","",IFERROR(D124*INDEX(Insumos!$D$6:$D$98,MATCH(C124,Insumos!$A$6:$A$98,0)),0))</f>
        <v/>
      </c>
      <c r="N124" s="14">
        <f>IF($A124="","",E124*Parametros!$H$21)</f>
        <v/>
      </c>
      <c r="O124" s="14">
        <f>IF($A124="","",F124*Parametros!$H$22)</f>
        <v/>
      </c>
      <c r="P124" s="14">
        <f>IF($A124="","",F124*Parametros!$B$17)</f>
        <v/>
      </c>
      <c r="Q124" s="14">
        <f>IF($A124="","",D124*Parametros!$H$23)</f>
        <v/>
      </c>
      <c r="R124" s="14">
        <f>IF($A124="","",H124*Parametros!$H$24)</f>
        <v/>
      </c>
      <c r="S124" s="14">
        <f>IF($A124="","",IFERROR(INDEX(Confeccion!$B$5:$B$80,MATCH(G124,Confeccion!$A$5:$A$80,0)),0))</f>
        <v/>
      </c>
      <c r="T124" s="15">
        <f>IF($A124="","",SUM(M124:S124)+I124)</f>
        <v/>
      </c>
      <c r="U124" s="14">
        <f>IF($A124="","",IF(J124="","",J124*Parametros!$B$13))</f>
        <v/>
      </c>
      <c r="V124" s="14">
        <f>IF($A124="","",IF(J124="","",J124*Parametros!$B$14))</f>
        <v/>
      </c>
      <c r="W124" s="15">
        <f>IF($A124="","",IF(J124="","",J124-T124-U124-V124))</f>
        <v/>
      </c>
      <c r="X124" s="16">
        <f>IF($A124="","",IF(J124="","",W124/J124))</f>
        <v/>
      </c>
      <c r="Y124" s="14">
        <f>IF($A124="","",IF(Parametros!$B$15&gt;=1,"",T124/(1-Parametros!$B$15)))</f>
        <v/>
      </c>
      <c r="Z124" s="14">
        <f>IF($A124="","",IF(Parametros!$B$15+Parametros!$B$16&gt;=1,"",T124/(1-Parametros!$B$15-Parametros!$B$16)))</f>
        <v/>
      </c>
      <c r="AA124" s="17">
        <f>IF($A124="","",IF(J124="","Falta precio",IF(W124&lt;0,"PIERDE",IF(X124&lt;Parametros!$B$16,"BAJO META","OK"))))</f>
        <v/>
      </c>
      <c r="AB124" s="18">
        <f>IF($A124="","",IF(OR(C124="",D124=""),"Falta tela o consumo. ","")&amp;IF(AND(C124&lt;&gt;"",M124=0),"Tela sin precio. ","")&amp;IF(S124=0,"Confección sin valor. ","")&amp;IF(J124="","Falta precio de venta. ",""))</f>
        <v/>
      </c>
    </row>
    <row r="125">
      <c r="A125" s="9" t="n"/>
      <c r="B125" s="9" t="n"/>
      <c r="C125" s="9" t="n"/>
      <c r="D125" s="10" t="n"/>
      <c r="E125" s="11" t="n"/>
      <c r="F125" s="11" t="n"/>
      <c r="G125" s="9" t="n"/>
      <c r="H125" s="9" t="n"/>
      <c r="I125" s="12" t="n"/>
      <c r="J125" s="12" t="n"/>
      <c r="K125" s="9" t="n"/>
      <c r="L125" s="13" t="n"/>
      <c r="M125" s="14">
        <f>IF($A125="","",IFERROR(D125*INDEX(Insumos!$D$6:$D$98,MATCH(C125,Insumos!$A$6:$A$98,0)),0))</f>
        <v/>
      </c>
      <c r="N125" s="14">
        <f>IF($A125="","",E125*Parametros!$H$21)</f>
        <v/>
      </c>
      <c r="O125" s="14">
        <f>IF($A125="","",F125*Parametros!$H$22)</f>
        <v/>
      </c>
      <c r="P125" s="14">
        <f>IF($A125="","",F125*Parametros!$B$17)</f>
        <v/>
      </c>
      <c r="Q125" s="14">
        <f>IF($A125="","",D125*Parametros!$H$23)</f>
        <v/>
      </c>
      <c r="R125" s="14">
        <f>IF($A125="","",H125*Parametros!$H$24)</f>
        <v/>
      </c>
      <c r="S125" s="14">
        <f>IF($A125="","",IFERROR(INDEX(Confeccion!$B$5:$B$80,MATCH(G125,Confeccion!$A$5:$A$80,0)),0))</f>
        <v/>
      </c>
      <c r="T125" s="15">
        <f>IF($A125="","",SUM(M125:S125)+I125)</f>
        <v/>
      </c>
      <c r="U125" s="14">
        <f>IF($A125="","",IF(J125="","",J125*Parametros!$B$13))</f>
        <v/>
      </c>
      <c r="V125" s="14">
        <f>IF($A125="","",IF(J125="","",J125*Parametros!$B$14))</f>
        <v/>
      </c>
      <c r="W125" s="15">
        <f>IF($A125="","",IF(J125="","",J125-T125-U125-V125))</f>
        <v/>
      </c>
      <c r="X125" s="16">
        <f>IF($A125="","",IF(J125="","",W125/J125))</f>
        <v/>
      </c>
      <c r="Y125" s="14">
        <f>IF($A125="","",IF(Parametros!$B$15&gt;=1,"",T125/(1-Parametros!$B$15)))</f>
        <v/>
      </c>
      <c r="Z125" s="14">
        <f>IF($A125="","",IF(Parametros!$B$15+Parametros!$B$16&gt;=1,"",T125/(1-Parametros!$B$15-Parametros!$B$16)))</f>
        <v/>
      </c>
      <c r="AA125" s="17">
        <f>IF($A125="","",IF(J125="","Falta precio",IF(W125&lt;0,"PIERDE",IF(X125&lt;Parametros!$B$16,"BAJO META","OK"))))</f>
        <v/>
      </c>
      <c r="AB125" s="18">
        <f>IF($A125="","",IF(OR(C125="",D125=""),"Falta tela o consumo. ","")&amp;IF(AND(C125&lt;&gt;"",M125=0),"Tela sin precio. ","")&amp;IF(S125=0,"Confección sin valor. ","")&amp;IF(J125="","Falta precio de venta. ",""))</f>
        <v/>
      </c>
    </row>
    <row r="126">
      <c r="A126" s="9" t="n"/>
      <c r="B126" s="9" t="n"/>
      <c r="C126" s="9" t="n"/>
      <c r="D126" s="10" t="n"/>
      <c r="E126" s="11" t="n"/>
      <c r="F126" s="11" t="n"/>
      <c r="G126" s="9" t="n"/>
      <c r="H126" s="9" t="n"/>
      <c r="I126" s="12" t="n"/>
      <c r="J126" s="12" t="n"/>
      <c r="K126" s="9" t="n"/>
      <c r="L126" s="13" t="n"/>
      <c r="M126" s="14">
        <f>IF($A126="","",IFERROR(D126*INDEX(Insumos!$D$6:$D$98,MATCH(C126,Insumos!$A$6:$A$98,0)),0))</f>
        <v/>
      </c>
      <c r="N126" s="14">
        <f>IF($A126="","",E126*Parametros!$H$21)</f>
        <v/>
      </c>
      <c r="O126" s="14">
        <f>IF($A126="","",F126*Parametros!$H$22)</f>
        <v/>
      </c>
      <c r="P126" s="14">
        <f>IF($A126="","",F126*Parametros!$B$17)</f>
        <v/>
      </c>
      <c r="Q126" s="14">
        <f>IF($A126="","",D126*Parametros!$H$23)</f>
        <v/>
      </c>
      <c r="R126" s="14">
        <f>IF($A126="","",H126*Parametros!$H$24)</f>
        <v/>
      </c>
      <c r="S126" s="14">
        <f>IF($A126="","",IFERROR(INDEX(Confeccion!$B$5:$B$80,MATCH(G126,Confeccion!$A$5:$A$80,0)),0))</f>
        <v/>
      </c>
      <c r="T126" s="15">
        <f>IF($A126="","",SUM(M126:S126)+I126)</f>
        <v/>
      </c>
      <c r="U126" s="14">
        <f>IF($A126="","",IF(J126="","",J126*Parametros!$B$13))</f>
        <v/>
      </c>
      <c r="V126" s="14">
        <f>IF($A126="","",IF(J126="","",J126*Parametros!$B$14))</f>
        <v/>
      </c>
      <c r="W126" s="15">
        <f>IF($A126="","",IF(J126="","",J126-T126-U126-V126))</f>
        <v/>
      </c>
      <c r="X126" s="16">
        <f>IF($A126="","",IF(J126="","",W126/J126))</f>
        <v/>
      </c>
      <c r="Y126" s="14">
        <f>IF($A126="","",IF(Parametros!$B$15&gt;=1,"",T126/(1-Parametros!$B$15)))</f>
        <v/>
      </c>
      <c r="Z126" s="14">
        <f>IF($A126="","",IF(Parametros!$B$15+Parametros!$B$16&gt;=1,"",T126/(1-Parametros!$B$15-Parametros!$B$16)))</f>
        <v/>
      </c>
      <c r="AA126" s="17">
        <f>IF($A126="","",IF(J126="","Falta precio",IF(W126&lt;0,"PIERDE",IF(X126&lt;Parametros!$B$16,"BAJO META","OK"))))</f>
        <v/>
      </c>
      <c r="AB126" s="18">
        <f>IF($A126="","",IF(OR(C126="",D126=""),"Falta tela o consumo. ","")&amp;IF(AND(C126&lt;&gt;"",M126=0),"Tela sin precio. ","")&amp;IF(S126=0,"Confección sin valor. ","")&amp;IF(J126="","Falta precio de venta. ",""))</f>
        <v/>
      </c>
    </row>
    <row r="127">
      <c r="A127" s="9" t="n"/>
      <c r="B127" s="9" t="n"/>
      <c r="C127" s="9" t="n"/>
      <c r="D127" s="10" t="n"/>
      <c r="E127" s="11" t="n"/>
      <c r="F127" s="11" t="n"/>
      <c r="G127" s="9" t="n"/>
      <c r="H127" s="9" t="n"/>
      <c r="I127" s="12" t="n"/>
      <c r="J127" s="12" t="n"/>
      <c r="K127" s="9" t="n"/>
      <c r="L127" s="13" t="n"/>
      <c r="M127" s="14">
        <f>IF($A127="","",IFERROR(D127*INDEX(Insumos!$D$6:$D$98,MATCH(C127,Insumos!$A$6:$A$98,0)),0))</f>
        <v/>
      </c>
      <c r="N127" s="14">
        <f>IF($A127="","",E127*Parametros!$H$21)</f>
        <v/>
      </c>
      <c r="O127" s="14">
        <f>IF($A127="","",F127*Parametros!$H$22)</f>
        <v/>
      </c>
      <c r="P127" s="14">
        <f>IF($A127="","",F127*Parametros!$B$17)</f>
        <v/>
      </c>
      <c r="Q127" s="14">
        <f>IF($A127="","",D127*Parametros!$H$23)</f>
        <v/>
      </c>
      <c r="R127" s="14">
        <f>IF($A127="","",H127*Parametros!$H$24)</f>
        <v/>
      </c>
      <c r="S127" s="14">
        <f>IF($A127="","",IFERROR(INDEX(Confeccion!$B$5:$B$80,MATCH(G127,Confeccion!$A$5:$A$80,0)),0))</f>
        <v/>
      </c>
      <c r="T127" s="15">
        <f>IF($A127="","",SUM(M127:S127)+I127)</f>
        <v/>
      </c>
      <c r="U127" s="14">
        <f>IF($A127="","",IF(J127="","",J127*Parametros!$B$13))</f>
        <v/>
      </c>
      <c r="V127" s="14">
        <f>IF($A127="","",IF(J127="","",J127*Parametros!$B$14))</f>
        <v/>
      </c>
      <c r="W127" s="15">
        <f>IF($A127="","",IF(J127="","",J127-T127-U127-V127))</f>
        <v/>
      </c>
      <c r="X127" s="16">
        <f>IF($A127="","",IF(J127="","",W127/J127))</f>
        <v/>
      </c>
      <c r="Y127" s="14">
        <f>IF($A127="","",IF(Parametros!$B$15&gt;=1,"",T127/(1-Parametros!$B$15)))</f>
        <v/>
      </c>
      <c r="Z127" s="14">
        <f>IF($A127="","",IF(Parametros!$B$15+Parametros!$B$16&gt;=1,"",T127/(1-Parametros!$B$15-Parametros!$B$16)))</f>
        <v/>
      </c>
      <c r="AA127" s="17">
        <f>IF($A127="","",IF(J127="","Falta precio",IF(W127&lt;0,"PIERDE",IF(X127&lt;Parametros!$B$16,"BAJO META","OK"))))</f>
        <v/>
      </c>
      <c r="AB127" s="18">
        <f>IF($A127="","",IF(OR(C127="",D127=""),"Falta tela o consumo. ","")&amp;IF(AND(C127&lt;&gt;"",M127=0),"Tela sin precio. ","")&amp;IF(S127=0,"Confección sin valor. ","")&amp;IF(J127="","Falta precio de venta. ",""))</f>
        <v/>
      </c>
    </row>
    <row r="128">
      <c r="A128" s="9" t="n"/>
      <c r="B128" s="9" t="n"/>
      <c r="C128" s="9" t="n"/>
      <c r="D128" s="10" t="n"/>
      <c r="E128" s="11" t="n"/>
      <c r="F128" s="11" t="n"/>
      <c r="G128" s="9" t="n"/>
      <c r="H128" s="9" t="n"/>
      <c r="I128" s="12" t="n"/>
      <c r="J128" s="12" t="n"/>
      <c r="K128" s="9" t="n"/>
      <c r="L128" s="13" t="n"/>
      <c r="M128" s="14">
        <f>IF($A128="","",IFERROR(D128*INDEX(Insumos!$D$6:$D$98,MATCH(C128,Insumos!$A$6:$A$98,0)),0))</f>
        <v/>
      </c>
      <c r="N128" s="14">
        <f>IF($A128="","",E128*Parametros!$H$21)</f>
        <v/>
      </c>
      <c r="O128" s="14">
        <f>IF($A128="","",F128*Parametros!$H$22)</f>
        <v/>
      </c>
      <c r="P128" s="14">
        <f>IF($A128="","",F128*Parametros!$B$17)</f>
        <v/>
      </c>
      <c r="Q128" s="14">
        <f>IF($A128="","",D128*Parametros!$H$23)</f>
        <v/>
      </c>
      <c r="R128" s="14">
        <f>IF($A128="","",H128*Parametros!$H$24)</f>
        <v/>
      </c>
      <c r="S128" s="14">
        <f>IF($A128="","",IFERROR(INDEX(Confeccion!$B$5:$B$80,MATCH(G128,Confeccion!$A$5:$A$80,0)),0))</f>
        <v/>
      </c>
      <c r="T128" s="15">
        <f>IF($A128="","",SUM(M128:S128)+I128)</f>
        <v/>
      </c>
      <c r="U128" s="14">
        <f>IF($A128="","",IF(J128="","",J128*Parametros!$B$13))</f>
        <v/>
      </c>
      <c r="V128" s="14">
        <f>IF($A128="","",IF(J128="","",J128*Parametros!$B$14))</f>
        <v/>
      </c>
      <c r="W128" s="15">
        <f>IF($A128="","",IF(J128="","",J128-T128-U128-V128))</f>
        <v/>
      </c>
      <c r="X128" s="16">
        <f>IF($A128="","",IF(J128="","",W128/J128))</f>
        <v/>
      </c>
      <c r="Y128" s="14">
        <f>IF($A128="","",IF(Parametros!$B$15&gt;=1,"",T128/(1-Parametros!$B$15)))</f>
        <v/>
      </c>
      <c r="Z128" s="14">
        <f>IF($A128="","",IF(Parametros!$B$15+Parametros!$B$16&gt;=1,"",T128/(1-Parametros!$B$15-Parametros!$B$16)))</f>
        <v/>
      </c>
      <c r="AA128" s="17">
        <f>IF($A128="","",IF(J128="","Falta precio",IF(W128&lt;0,"PIERDE",IF(X128&lt;Parametros!$B$16,"BAJO META","OK"))))</f>
        <v/>
      </c>
      <c r="AB128" s="18">
        <f>IF($A128="","",IF(OR(C128="",D128=""),"Falta tela o consumo. ","")&amp;IF(AND(C128&lt;&gt;"",M128=0),"Tela sin precio. ","")&amp;IF(S128=0,"Confección sin valor. ","")&amp;IF(J128="","Falta precio de venta. ",""))</f>
        <v/>
      </c>
    </row>
    <row r="129">
      <c r="A129" s="9" t="n"/>
      <c r="B129" s="9" t="n"/>
      <c r="C129" s="9" t="n"/>
      <c r="D129" s="10" t="n"/>
      <c r="E129" s="11" t="n"/>
      <c r="F129" s="11" t="n"/>
      <c r="G129" s="9" t="n"/>
      <c r="H129" s="9" t="n"/>
      <c r="I129" s="12" t="n"/>
      <c r="J129" s="12" t="n"/>
      <c r="K129" s="9" t="n"/>
      <c r="L129" s="13" t="n"/>
      <c r="M129" s="14">
        <f>IF($A129="","",IFERROR(D129*INDEX(Insumos!$D$6:$D$98,MATCH(C129,Insumos!$A$6:$A$98,0)),0))</f>
        <v/>
      </c>
      <c r="N129" s="14">
        <f>IF($A129="","",E129*Parametros!$H$21)</f>
        <v/>
      </c>
      <c r="O129" s="14">
        <f>IF($A129="","",F129*Parametros!$H$22)</f>
        <v/>
      </c>
      <c r="P129" s="14">
        <f>IF($A129="","",F129*Parametros!$B$17)</f>
        <v/>
      </c>
      <c r="Q129" s="14">
        <f>IF($A129="","",D129*Parametros!$H$23)</f>
        <v/>
      </c>
      <c r="R129" s="14">
        <f>IF($A129="","",H129*Parametros!$H$24)</f>
        <v/>
      </c>
      <c r="S129" s="14">
        <f>IF($A129="","",IFERROR(INDEX(Confeccion!$B$5:$B$80,MATCH(G129,Confeccion!$A$5:$A$80,0)),0))</f>
        <v/>
      </c>
      <c r="T129" s="15">
        <f>IF($A129="","",SUM(M129:S129)+I129)</f>
        <v/>
      </c>
      <c r="U129" s="14">
        <f>IF($A129="","",IF(J129="","",J129*Parametros!$B$13))</f>
        <v/>
      </c>
      <c r="V129" s="14">
        <f>IF($A129="","",IF(J129="","",J129*Parametros!$B$14))</f>
        <v/>
      </c>
      <c r="W129" s="15">
        <f>IF($A129="","",IF(J129="","",J129-T129-U129-V129))</f>
        <v/>
      </c>
      <c r="X129" s="16">
        <f>IF($A129="","",IF(J129="","",W129/J129))</f>
        <v/>
      </c>
      <c r="Y129" s="14">
        <f>IF($A129="","",IF(Parametros!$B$15&gt;=1,"",T129/(1-Parametros!$B$15)))</f>
        <v/>
      </c>
      <c r="Z129" s="14">
        <f>IF($A129="","",IF(Parametros!$B$15+Parametros!$B$16&gt;=1,"",T129/(1-Parametros!$B$15-Parametros!$B$16)))</f>
        <v/>
      </c>
      <c r="AA129" s="17">
        <f>IF($A129="","",IF(J129="","Falta precio",IF(W129&lt;0,"PIERDE",IF(X129&lt;Parametros!$B$16,"BAJO META","OK"))))</f>
        <v/>
      </c>
      <c r="AB129" s="18">
        <f>IF($A129="","",IF(OR(C129="",D129=""),"Falta tela o consumo. ","")&amp;IF(AND(C129&lt;&gt;"",M129=0),"Tela sin precio. ","")&amp;IF(S129=0,"Confección sin valor. ","")&amp;IF(J129="","Falta precio de venta. ",""))</f>
        <v/>
      </c>
    </row>
    <row r="130">
      <c r="A130" s="9" t="n"/>
      <c r="B130" s="9" t="n"/>
      <c r="C130" s="9" t="n"/>
      <c r="D130" s="10" t="n"/>
      <c r="E130" s="11" t="n"/>
      <c r="F130" s="11" t="n"/>
      <c r="G130" s="9" t="n"/>
      <c r="H130" s="9" t="n"/>
      <c r="I130" s="12" t="n"/>
      <c r="J130" s="12" t="n"/>
      <c r="K130" s="9" t="n"/>
      <c r="L130" s="13" t="n"/>
      <c r="M130" s="14">
        <f>IF($A130="","",IFERROR(D130*INDEX(Insumos!$D$6:$D$98,MATCH(C130,Insumos!$A$6:$A$98,0)),0))</f>
        <v/>
      </c>
      <c r="N130" s="14">
        <f>IF($A130="","",E130*Parametros!$H$21)</f>
        <v/>
      </c>
      <c r="O130" s="14">
        <f>IF($A130="","",F130*Parametros!$H$22)</f>
        <v/>
      </c>
      <c r="P130" s="14">
        <f>IF($A130="","",F130*Parametros!$B$17)</f>
        <v/>
      </c>
      <c r="Q130" s="14">
        <f>IF($A130="","",D130*Parametros!$H$23)</f>
        <v/>
      </c>
      <c r="R130" s="14">
        <f>IF($A130="","",H130*Parametros!$H$24)</f>
        <v/>
      </c>
      <c r="S130" s="14">
        <f>IF($A130="","",IFERROR(INDEX(Confeccion!$B$5:$B$80,MATCH(G130,Confeccion!$A$5:$A$80,0)),0))</f>
        <v/>
      </c>
      <c r="T130" s="15">
        <f>IF($A130="","",SUM(M130:S130)+I130)</f>
        <v/>
      </c>
      <c r="U130" s="14">
        <f>IF($A130="","",IF(J130="","",J130*Parametros!$B$13))</f>
        <v/>
      </c>
      <c r="V130" s="14">
        <f>IF($A130="","",IF(J130="","",J130*Parametros!$B$14))</f>
        <v/>
      </c>
      <c r="W130" s="15">
        <f>IF($A130="","",IF(J130="","",J130-T130-U130-V130))</f>
        <v/>
      </c>
      <c r="X130" s="16">
        <f>IF($A130="","",IF(J130="","",W130/J130))</f>
        <v/>
      </c>
      <c r="Y130" s="14">
        <f>IF($A130="","",IF(Parametros!$B$15&gt;=1,"",T130/(1-Parametros!$B$15)))</f>
        <v/>
      </c>
      <c r="Z130" s="14">
        <f>IF($A130="","",IF(Parametros!$B$15+Parametros!$B$16&gt;=1,"",T130/(1-Parametros!$B$15-Parametros!$B$16)))</f>
        <v/>
      </c>
      <c r="AA130" s="17">
        <f>IF($A130="","",IF(J130="","Falta precio",IF(W130&lt;0,"PIERDE",IF(X130&lt;Parametros!$B$16,"BAJO META","OK"))))</f>
        <v/>
      </c>
      <c r="AB130" s="18">
        <f>IF($A130="","",IF(OR(C130="",D130=""),"Falta tela o consumo. ","")&amp;IF(AND(C130&lt;&gt;"",M130=0),"Tela sin precio. ","")&amp;IF(S130=0,"Confección sin valor. ","")&amp;IF(J130="","Falta precio de venta. ",""))</f>
        <v/>
      </c>
    </row>
    <row r="131">
      <c r="A131" s="9" t="n"/>
      <c r="B131" s="9" t="n"/>
      <c r="C131" s="9" t="n"/>
      <c r="D131" s="10" t="n"/>
      <c r="E131" s="11" t="n"/>
      <c r="F131" s="11" t="n"/>
      <c r="G131" s="9" t="n"/>
      <c r="H131" s="9" t="n"/>
      <c r="I131" s="12" t="n"/>
      <c r="J131" s="12" t="n"/>
      <c r="K131" s="9" t="n"/>
      <c r="L131" s="13" t="n"/>
      <c r="M131" s="14">
        <f>IF($A131="","",IFERROR(D131*INDEX(Insumos!$D$6:$D$98,MATCH(C131,Insumos!$A$6:$A$98,0)),0))</f>
        <v/>
      </c>
      <c r="N131" s="14">
        <f>IF($A131="","",E131*Parametros!$H$21)</f>
        <v/>
      </c>
      <c r="O131" s="14">
        <f>IF($A131="","",F131*Parametros!$H$22)</f>
        <v/>
      </c>
      <c r="P131" s="14">
        <f>IF($A131="","",F131*Parametros!$B$17)</f>
        <v/>
      </c>
      <c r="Q131" s="14">
        <f>IF($A131="","",D131*Parametros!$H$23)</f>
        <v/>
      </c>
      <c r="R131" s="14">
        <f>IF($A131="","",H131*Parametros!$H$24)</f>
        <v/>
      </c>
      <c r="S131" s="14">
        <f>IF($A131="","",IFERROR(INDEX(Confeccion!$B$5:$B$80,MATCH(G131,Confeccion!$A$5:$A$80,0)),0))</f>
        <v/>
      </c>
      <c r="T131" s="15">
        <f>IF($A131="","",SUM(M131:S131)+I131)</f>
        <v/>
      </c>
      <c r="U131" s="14">
        <f>IF($A131="","",IF(J131="","",J131*Parametros!$B$13))</f>
        <v/>
      </c>
      <c r="V131" s="14">
        <f>IF($A131="","",IF(J131="","",J131*Parametros!$B$14))</f>
        <v/>
      </c>
      <c r="W131" s="15">
        <f>IF($A131="","",IF(J131="","",J131-T131-U131-V131))</f>
        <v/>
      </c>
      <c r="X131" s="16">
        <f>IF($A131="","",IF(J131="","",W131/J131))</f>
        <v/>
      </c>
      <c r="Y131" s="14">
        <f>IF($A131="","",IF(Parametros!$B$15&gt;=1,"",T131/(1-Parametros!$B$15)))</f>
        <v/>
      </c>
      <c r="Z131" s="14">
        <f>IF($A131="","",IF(Parametros!$B$15+Parametros!$B$16&gt;=1,"",T131/(1-Parametros!$B$15-Parametros!$B$16)))</f>
        <v/>
      </c>
      <c r="AA131" s="17">
        <f>IF($A131="","",IF(J131="","Falta precio",IF(W131&lt;0,"PIERDE",IF(X131&lt;Parametros!$B$16,"BAJO META","OK"))))</f>
        <v/>
      </c>
      <c r="AB131" s="18">
        <f>IF($A131="","",IF(OR(C131="",D131=""),"Falta tela o consumo. ","")&amp;IF(AND(C131&lt;&gt;"",M131=0),"Tela sin precio. ","")&amp;IF(S131=0,"Confección sin valor. ","")&amp;IF(J131="","Falta precio de venta. ",""))</f>
        <v/>
      </c>
    </row>
    <row r="132">
      <c r="A132" s="9" t="n"/>
      <c r="B132" s="9" t="n"/>
      <c r="C132" s="9" t="n"/>
      <c r="D132" s="10" t="n"/>
      <c r="E132" s="11" t="n"/>
      <c r="F132" s="11" t="n"/>
      <c r="G132" s="9" t="n"/>
      <c r="H132" s="9" t="n"/>
      <c r="I132" s="12" t="n"/>
      <c r="J132" s="12" t="n"/>
      <c r="K132" s="9" t="n"/>
      <c r="L132" s="13" t="n"/>
      <c r="M132" s="14">
        <f>IF($A132="","",IFERROR(D132*INDEX(Insumos!$D$6:$D$98,MATCH(C132,Insumos!$A$6:$A$98,0)),0))</f>
        <v/>
      </c>
      <c r="N132" s="14">
        <f>IF($A132="","",E132*Parametros!$H$21)</f>
        <v/>
      </c>
      <c r="O132" s="14">
        <f>IF($A132="","",F132*Parametros!$H$22)</f>
        <v/>
      </c>
      <c r="P132" s="14">
        <f>IF($A132="","",F132*Parametros!$B$17)</f>
        <v/>
      </c>
      <c r="Q132" s="14">
        <f>IF($A132="","",D132*Parametros!$H$23)</f>
        <v/>
      </c>
      <c r="R132" s="14">
        <f>IF($A132="","",H132*Parametros!$H$24)</f>
        <v/>
      </c>
      <c r="S132" s="14">
        <f>IF($A132="","",IFERROR(INDEX(Confeccion!$B$5:$B$80,MATCH(G132,Confeccion!$A$5:$A$80,0)),0))</f>
        <v/>
      </c>
      <c r="T132" s="15">
        <f>IF($A132="","",SUM(M132:S132)+I132)</f>
        <v/>
      </c>
      <c r="U132" s="14">
        <f>IF($A132="","",IF(J132="","",J132*Parametros!$B$13))</f>
        <v/>
      </c>
      <c r="V132" s="14">
        <f>IF($A132="","",IF(J132="","",J132*Parametros!$B$14))</f>
        <v/>
      </c>
      <c r="W132" s="15">
        <f>IF($A132="","",IF(J132="","",J132-T132-U132-V132))</f>
        <v/>
      </c>
      <c r="X132" s="16">
        <f>IF($A132="","",IF(J132="","",W132/J132))</f>
        <v/>
      </c>
      <c r="Y132" s="14">
        <f>IF($A132="","",IF(Parametros!$B$15&gt;=1,"",T132/(1-Parametros!$B$15)))</f>
        <v/>
      </c>
      <c r="Z132" s="14">
        <f>IF($A132="","",IF(Parametros!$B$15+Parametros!$B$16&gt;=1,"",T132/(1-Parametros!$B$15-Parametros!$B$16)))</f>
        <v/>
      </c>
      <c r="AA132" s="17">
        <f>IF($A132="","",IF(J132="","Falta precio",IF(W132&lt;0,"PIERDE",IF(X132&lt;Parametros!$B$16,"BAJO META","OK"))))</f>
        <v/>
      </c>
      <c r="AB132" s="18">
        <f>IF($A132="","",IF(OR(C132="",D132=""),"Falta tela o consumo. ","")&amp;IF(AND(C132&lt;&gt;"",M132=0),"Tela sin precio. ","")&amp;IF(S132=0,"Confección sin valor. ","")&amp;IF(J132="","Falta precio de venta. ",""))</f>
        <v/>
      </c>
    </row>
    <row r="133">
      <c r="A133" s="9" t="n"/>
      <c r="B133" s="9" t="n"/>
      <c r="C133" s="9" t="n"/>
      <c r="D133" s="10" t="n"/>
      <c r="E133" s="11" t="n"/>
      <c r="F133" s="11" t="n"/>
      <c r="G133" s="9" t="n"/>
      <c r="H133" s="9" t="n"/>
      <c r="I133" s="12" t="n"/>
      <c r="J133" s="12" t="n"/>
      <c r="K133" s="9" t="n"/>
      <c r="L133" s="13" t="n"/>
      <c r="M133" s="14">
        <f>IF($A133="","",IFERROR(D133*INDEX(Insumos!$D$6:$D$98,MATCH(C133,Insumos!$A$6:$A$98,0)),0))</f>
        <v/>
      </c>
      <c r="N133" s="14">
        <f>IF($A133="","",E133*Parametros!$H$21)</f>
        <v/>
      </c>
      <c r="O133" s="14">
        <f>IF($A133="","",F133*Parametros!$H$22)</f>
        <v/>
      </c>
      <c r="P133" s="14">
        <f>IF($A133="","",F133*Parametros!$B$17)</f>
        <v/>
      </c>
      <c r="Q133" s="14">
        <f>IF($A133="","",D133*Parametros!$H$23)</f>
        <v/>
      </c>
      <c r="R133" s="14">
        <f>IF($A133="","",H133*Parametros!$H$24)</f>
        <v/>
      </c>
      <c r="S133" s="14">
        <f>IF($A133="","",IFERROR(INDEX(Confeccion!$B$5:$B$80,MATCH(G133,Confeccion!$A$5:$A$80,0)),0))</f>
        <v/>
      </c>
      <c r="T133" s="15">
        <f>IF($A133="","",SUM(M133:S133)+I133)</f>
        <v/>
      </c>
      <c r="U133" s="14">
        <f>IF($A133="","",IF(J133="","",J133*Parametros!$B$13))</f>
        <v/>
      </c>
      <c r="V133" s="14">
        <f>IF($A133="","",IF(J133="","",J133*Parametros!$B$14))</f>
        <v/>
      </c>
      <c r="W133" s="15">
        <f>IF($A133="","",IF(J133="","",J133-T133-U133-V133))</f>
        <v/>
      </c>
      <c r="X133" s="16">
        <f>IF($A133="","",IF(J133="","",W133/J133))</f>
        <v/>
      </c>
      <c r="Y133" s="14">
        <f>IF($A133="","",IF(Parametros!$B$15&gt;=1,"",T133/(1-Parametros!$B$15)))</f>
        <v/>
      </c>
      <c r="Z133" s="14">
        <f>IF($A133="","",IF(Parametros!$B$15+Parametros!$B$16&gt;=1,"",T133/(1-Parametros!$B$15-Parametros!$B$16)))</f>
        <v/>
      </c>
      <c r="AA133" s="17">
        <f>IF($A133="","",IF(J133="","Falta precio",IF(W133&lt;0,"PIERDE",IF(X133&lt;Parametros!$B$16,"BAJO META","OK"))))</f>
        <v/>
      </c>
      <c r="AB133" s="18">
        <f>IF($A133="","",IF(OR(C133="",D133=""),"Falta tela o consumo. ","")&amp;IF(AND(C133&lt;&gt;"",M133=0),"Tela sin precio. ","")&amp;IF(S133=0,"Confección sin valor. ","")&amp;IF(J133="","Falta precio de venta. ",""))</f>
        <v/>
      </c>
    </row>
    <row r="134">
      <c r="A134" s="9" t="n"/>
      <c r="B134" s="9" t="n"/>
      <c r="C134" s="9" t="n"/>
      <c r="D134" s="10" t="n"/>
      <c r="E134" s="11" t="n"/>
      <c r="F134" s="11" t="n"/>
      <c r="G134" s="9" t="n"/>
      <c r="H134" s="9" t="n"/>
      <c r="I134" s="12" t="n"/>
      <c r="J134" s="12" t="n"/>
      <c r="K134" s="9" t="n"/>
      <c r="L134" s="13" t="n"/>
      <c r="M134" s="14">
        <f>IF($A134="","",IFERROR(D134*INDEX(Insumos!$D$6:$D$98,MATCH(C134,Insumos!$A$6:$A$98,0)),0))</f>
        <v/>
      </c>
      <c r="N134" s="14">
        <f>IF($A134="","",E134*Parametros!$H$21)</f>
        <v/>
      </c>
      <c r="O134" s="14">
        <f>IF($A134="","",F134*Parametros!$H$22)</f>
        <v/>
      </c>
      <c r="P134" s="14">
        <f>IF($A134="","",F134*Parametros!$B$17)</f>
        <v/>
      </c>
      <c r="Q134" s="14">
        <f>IF($A134="","",D134*Parametros!$H$23)</f>
        <v/>
      </c>
      <c r="R134" s="14">
        <f>IF($A134="","",H134*Parametros!$H$24)</f>
        <v/>
      </c>
      <c r="S134" s="14">
        <f>IF($A134="","",IFERROR(INDEX(Confeccion!$B$5:$B$80,MATCH(G134,Confeccion!$A$5:$A$80,0)),0))</f>
        <v/>
      </c>
      <c r="T134" s="15">
        <f>IF($A134="","",SUM(M134:S134)+I134)</f>
        <v/>
      </c>
      <c r="U134" s="14">
        <f>IF($A134="","",IF(J134="","",J134*Parametros!$B$13))</f>
        <v/>
      </c>
      <c r="V134" s="14">
        <f>IF($A134="","",IF(J134="","",J134*Parametros!$B$14))</f>
        <v/>
      </c>
      <c r="W134" s="15">
        <f>IF($A134="","",IF(J134="","",J134-T134-U134-V134))</f>
        <v/>
      </c>
      <c r="X134" s="16">
        <f>IF($A134="","",IF(J134="","",W134/J134))</f>
        <v/>
      </c>
      <c r="Y134" s="14">
        <f>IF($A134="","",IF(Parametros!$B$15&gt;=1,"",T134/(1-Parametros!$B$15)))</f>
        <v/>
      </c>
      <c r="Z134" s="14">
        <f>IF($A134="","",IF(Parametros!$B$15+Parametros!$B$16&gt;=1,"",T134/(1-Parametros!$B$15-Parametros!$B$16)))</f>
        <v/>
      </c>
      <c r="AA134" s="17">
        <f>IF($A134="","",IF(J134="","Falta precio",IF(W134&lt;0,"PIERDE",IF(X134&lt;Parametros!$B$16,"BAJO META","OK"))))</f>
        <v/>
      </c>
      <c r="AB134" s="18">
        <f>IF($A134="","",IF(OR(C134="",D134=""),"Falta tela o consumo. ","")&amp;IF(AND(C134&lt;&gt;"",M134=0),"Tela sin precio. ","")&amp;IF(S134=0,"Confección sin valor. ","")&amp;IF(J134="","Falta precio de venta. ",""))</f>
        <v/>
      </c>
    </row>
    <row r="135">
      <c r="A135" s="9" t="n"/>
      <c r="B135" s="9" t="n"/>
      <c r="C135" s="9" t="n"/>
      <c r="D135" s="10" t="n"/>
      <c r="E135" s="11" t="n"/>
      <c r="F135" s="11" t="n"/>
      <c r="G135" s="9" t="n"/>
      <c r="H135" s="9" t="n"/>
      <c r="I135" s="12" t="n"/>
      <c r="J135" s="12" t="n"/>
      <c r="K135" s="9" t="n"/>
      <c r="L135" s="13" t="n"/>
      <c r="M135" s="14">
        <f>IF($A135="","",IFERROR(D135*INDEX(Insumos!$D$6:$D$98,MATCH(C135,Insumos!$A$6:$A$98,0)),0))</f>
        <v/>
      </c>
      <c r="N135" s="14">
        <f>IF($A135="","",E135*Parametros!$H$21)</f>
        <v/>
      </c>
      <c r="O135" s="14">
        <f>IF($A135="","",F135*Parametros!$H$22)</f>
        <v/>
      </c>
      <c r="P135" s="14">
        <f>IF($A135="","",F135*Parametros!$B$17)</f>
        <v/>
      </c>
      <c r="Q135" s="14">
        <f>IF($A135="","",D135*Parametros!$H$23)</f>
        <v/>
      </c>
      <c r="R135" s="14">
        <f>IF($A135="","",H135*Parametros!$H$24)</f>
        <v/>
      </c>
      <c r="S135" s="14">
        <f>IF($A135="","",IFERROR(INDEX(Confeccion!$B$5:$B$80,MATCH(G135,Confeccion!$A$5:$A$80,0)),0))</f>
        <v/>
      </c>
      <c r="T135" s="15">
        <f>IF($A135="","",SUM(M135:S135)+I135)</f>
        <v/>
      </c>
      <c r="U135" s="14">
        <f>IF($A135="","",IF(J135="","",J135*Parametros!$B$13))</f>
        <v/>
      </c>
      <c r="V135" s="14">
        <f>IF($A135="","",IF(J135="","",J135*Parametros!$B$14))</f>
        <v/>
      </c>
      <c r="W135" s="15">
        <f>IF($A135="","",IF(J135="","",J135-T135-U135-V135))</f>
        <v/>
      </c>
      <c r="X135" s="16">
        <f>IF($A135="","",IF(J135="","",W135/J135))</f>
        <v/>
      </c>
      <c r="Y135" s="14">
        <f>IF($A135="","",IF(Parametros!$B$15&gt;=1,"",T135/(1-Parametros!$B$15)))</f>
        <v/>
      </c>
      <c r="Z135" s="14">
        <f>IF($A135="","",IF(Parametros!$B$15+Parametros!$B$16&gt;=1,"",T135/(1-Parametros!$B$15-Parametros!$B$16)))</f>
        <v/>
      </c>
      <c r="AA135" s="17">
        <f>IF($A135="","",IF(J135="","Falta precio",IF(W135&lt;0,"PIERDE",IF(X135&lt;Parametros!$B$16,"BAJO META","OK"))))</f>
        <v/>
      </c>
      <c r="AB135" s="18">
        <f>IF($A135="","",IF(OR(C135="",D135=""),"Falta tela o consumo. ","")&amp;IF(AND(C135&lt;&gt;"",M135=0),"Tela sin precio. ","")&amp;IF(S135=0,"Confección sin valor. ","")&amp;IF(J135="","Falta precio de venta. ",""))</f>
        <v/>
      </c>
    </row>
    <row r="136">
      <c r="A136" s="9" t="n"/>
      <c r="B136" s="9" t="n"/>
      <c r="C136" s="9" t="n"/>
      <c r="D136" s="10" t="n"/>
      <c r="E136" s="11" t="n"/>
      <c r="F136" s="11" t="n"/>
      <c r="G136" s="9" t="n"/>
      <c r="H136" s="9" t="n"/>
      <c r="I136" s="12" t="n"/>
      <c r="J136" s="12" t="n"/>
      <c r="K136" s="9" t="n"/>
      <c r="L136" s="13" t="n"/>
      <c r="M136" s="14">
        <f>IF($A136="","",IFERROR(D136*INDEX(Insumos!$D$6:$D$98,MATCH(C136,Insumos!$A$6:$A$98,0)),0))</f>
        <v/>
      </c>
      <c r="N136" s="14">
        <f>IF($A136="","",E136*Parametros!$H$21)</f>
        <v/>
      </c>
      <c r="O136" s="14">
        <f>IF($A136="","",F136*Parametros!$H$22)</f>
        <v/>
      </c>
      <c r="P136" s="14">
        <f>IF($A136="","",F136*Parametros!$B$17)</f>
        <v/>
      </c>
      <c r="Q136" s="14">
        <f>IF($A136="","",D136*Parametros!$H$23)</f>
        <v/>
      </c>
      <c r="R136" s="14">
        <f>IF($A136="","",H136*Parametros!$H$24)</f>
        <v/>
      </c>
      <c r="S136" s="14">
        <f>IF($A136="","",IFERROR(INDEX(Confeccion!$B$5:$B$80,MATCH(G136,Confeccion!$A$5:$A$80,0)),0))</f>
        <v/>
      </c>
      <c r="T136" s="15">
        <f>IF($A136="","",SUM(M136:S136)+I136)</f>
        <v/>
      </c>
      <c r="U136" s="14">
        <f>IF($A136="","",IF(J136="","",J136*Parametros!$B$13))</f>
        <v/>
      </c>
      <c r="V136" s="14">
        <f>IF($A136="","",IF(J136="","",J136*Parametros!$B$14))</f>
        <v/>
      </c>
      <c r="W136" s="15">
        <f>IF($A136="","",IF(J136="","",J136-T136-U136-V136))</f>
        <v/>
      </c>
      <c r="X136" s="16">
        <f>IF($A136="","",IF(J136="","",W136/J136))</f>
        <v/>
      </c>
      <c r="Y136" s="14">
        <f>IF($A136="","",IF(Parametros!$B$15&gt;=1,"",T136/(1-Parametros!$B$15)))</f>
        <v/>
      </c>
      <c r="Z136" s="14">
        <f>IF($A136="","",IF(Parametros!$B$15+Parametros!$B$16&gt;=1,"",T136/(1-Parametros!$B$15-Parametros!$B$16)))</f>
        <v/>
      </c>
      <c r="AA136" s="17">
        <f>IF($A136="","",IF(J136="","Falta precio",IF(W136&lt;0,"PIERDE",IF(X136&lt;Parametros!$B$16,"BAJO META","OK"))))</f>
        <v/>
      </c>
      <c r="AB136" s="18">
        <f>IF($A136="","",IF(OR(C136="",D136=""),"Falta tela o consumo. ","")&amp;IF(AND(C136&lt;&gt;"",M136=0),"Tela sin precio. ","")&amp;IF(S136=0,"Confección sin valor. ","")&amp;IF(J136="","Falta precio de venta. ",""))</f>
        <v/>
      </c>
    </row>
    <row r="137">
      <c r="A137" s="9" t="n"/>
      <c r="B137" s="9" t="n"/>
      <c r="C137" s="9" t="n"/>
      <c r="D137" s="10" t="n"/>
      <c r="E137" s="11" t="n"/>
      <c r="F137" s="11" t="n"/>
      <c r="G137" s="9" t="n"/>
      <c r="H137" s="9" t="n"/>
      <c r="I137" s="12" t="n"/>
      <c r="J137" s="12" t="n"/>
      <c r="K137" s="9" t="n"/>
      <c r="L137" s="13" t="n"/>
      <c r="M137" s="14">
        <f>IF($A137="","",IFERROR(D137*INDEX(Insumos!$D$6:$D$98,MATCH(C137,Insumos!$A$6:$A$98,0)),0))</f>
        <v/>
      </c>
      <c r="N137" s="14">
        <f>IF($A137="","",E137*Parametros!$H$21)</f>
        <v/>
      </c>
      <c r="O137" s="14">
        <f>IF($A137="","",F137*Parametros!$H$22)</f>
        <v/>
      </c>
      <c r="P137" s="14">
        <f>IF($A137="","",F137*Parametros!$B$17)</f>
        <v/>
      </c>
      <c r="Q137" s="14">
        <f>IF($A137="","",D137*Parametros!$H$23)</f>
        <v/>
      </c>
      <c r="R137" s="14">
        <f>IF($A137="","",H137*Parametros!$H$24)</f>
        <v/>
      </c>
      <c r="S137" s="14">
        <f>IF($A137="","",IFERROR(INDEX(Confeccion!$B$5:$B$80,MATCH(G137,Confeccion!$A$5:$A$80,0)),0))</f>
        <v/>
      </c>
      <c r="T137" s="15">
        <f>IF($A137="","",SUM(M137:S137)+I137)</f>
        <v/>
      </c>
      <c r="U137" s="14">
        <f>IF($A137="","",IF(J137="","",J137*Parametros!$B$13))</f>
        <v/>
      </c>
      <c r="V137" s="14">
        <f>IF($A137="","",IF(J137="","",J137*Parametros!$B$14))</f>
        <v/>
      </c>
      <c r="W137" s="15">
        <f>IF($A137="","",IF(J137="","",J137-T137-U137-V137))</f>
        <v/>
      </c>
      <c r="X137" s="16">
        <f>IF($A137="","",IF(J137="","",W137/J137))</f>
        <v/>
      </c>
      <c r="Y137" s="14">
        <f>IF($A137="","",IF(Parametros!$B$15&gt;=1,"",T137/(1-Parametros!$B$15)))</f>
        <v/>
      </c>
      <c r="Z137" s="14">
        <f>IF($A137="","",IF(Parametros!$B$15+Parametros!$B$16&gt;=1,"",T137/(1-Parametros!$B$15-Parametros!$B$16)))</f>
        <v/>
      </c>
      <c r="AA137" s="17">
        <f>IF($A137="","",IF(J137="","Falta precio",IF(W137&lt;0,"PIERDE",IF(X137&lt;Parametros!$B$16,"BAJO META","OK"))))</f>
        <v/>
      </c>
      <c r="AB137" s="18">
        <f>IF($A137="","",IF(OR(C137="",D137=""),"Falta tela o consumo. ","")&amp;IF(AND(C137&lt;&gt;"",M137=0),"Tela sin precio. ","")&amp;IF(S137=0,"Confección sin valor. ","")&amp;IF(J137="","Falta precio de venta. ",""))</f>
        <v/>
      </c>
    </row>
    <row r="138">
      <c r="A138" s="9" t="n"/>
      <c r="B138" s="9" t="n"/>
      <c r="C138" s="9" t="n"/>
      <c r="D138" s="10" t="n"/>
      <c r="E138" s="11" t="n"/>
      <c r="F138" s="11" t="n"/>
      <c r="G138" s="9" t="n"/>
      <c r="H138" s="9" t="n"/>
      <c r="I138" s="12" t="n"/>
      <c r="J138" s="12" t="n"/>
      <c r="K138" s="9" t="n"/>
      <c r="L138" s="13" t="n"/>
      <c r="M138" s="14">
        <f>IF($A138="","",IFERROR(D138*INDEX(Insumos!$D$6:$D$98,MATCH(C138,Insumos!$A$6:$A$98,0)),0))</f>
        <v/>
      </c>
      <c r="N138" s="14">
        <f>IF($A138="","",E138*Parametros!$H$21)</f>
        <v/>
      </c>
      <c r="O138" s="14">
        <f>IF($A138="","",F138*Parametros!$H$22)</f>
        <v/>
      </c>
      <c r="P138" s="14">
        <f>IF($A138="","",F138*Parametros!$B$17)</f>
        <v/>
      </c>
      <c r="Q138" s="14">
        <f>IF($A138="","",D138*Parametros!$H$23)</f>
        <v/>
      </c>
      <c r="R138" s="14">
        <f>IF($A138="","",H138*Parametros!$H$24)</f>
        <v/>
      </c>
      <c r="S138" s="14">
        <f>IF($A138="","",IFERROR(INDEX(Confeccion!$B$5:$B$80,MATCH(G138,Confeccion!$A$5:$A$80,0)),0))</f>
        <v/>
      </c>
      <c r="T138" s="15">
        <f>IF($A138="","",SUM(M138:S138)+I138)</f>
        <v/>
      </c>
      <c r="U138" s="14">
        <f>IF($A138="","",IF(J138="","",J138*Parametros!$B$13))</f>
        <v/>
      </c>
      <c r="V138" s="14">
        <f>IF($A138="","",IF(J138="","",J138*Parametros!$B$14))</f>
        <v/>
      </c>
      <c r="W138" s="15">
        <f>IF($A138="","",IF(J138="","",J138-T138-U138-V138))</f>
        <v/>
      </c>
      <c r="X138" s="16">
        <f>IF($A138="","",IF(J138="","",W138/J138))</f>
        <v/>
      </c>
      <c r="Y138" s="14">
        <f>IF($A138="","",IF(Parametros!$B$15&gt;=1,"",T138/(1-Parametros!$B$15)))</f>
        <v/>
      </c>
      <c r="Z138" s="14">
        <f>IF($A138="","",IF(Parametros!$B$15+Parametros!$B$16&gt;=1,"",T138/(1-Parametros!$B$15-Parametros!$B$16)))</f>
        <v/>
      </c>
      <c r="AA138" s="17">
        <f>IF($A138="","",IF(J138="","Falta precio",IF(W138&lt;0,"PIERDE",IF(X138&lt;Parametros!$B$16,"BAJO META","OK"))))</f>
        <v/>
      </c>
      <c r="AB138" s="18">
        <f>IF($A138="","",IF(OR(C138="",D138=""),"Falta tela o consumo. ","")&amp;IF(AND(C138&lt;&gt;"",M138=0),"Tela sin precio. ","")&amp;IF(S138=0,"Confección sin valor. ","")&amp;IF(J138="","Falta precio de venta. ",""))</f>
        <v/>
      </c>
    </row>
    <row r="139">
      <c r="A139" s="9" t="n"/>
      <c r="B139" s="9" t="n"/>
      <c r="C139" s="9" t="n"/>
      <c r="D139" s="10" t="n"/>
      <c r="E139" s="11" t="n"/>
      <c r="F139" s="11" t="n"/>
      <c r="G139" s="9" t="n"/>
      <c r="H139" s="9" t="n"/>
      <c r="I139" s="12" t="n"/>
      <c r="J139" s="12" t="n"/>
      <c r="K139" s="9" t="n"/>
      <c r="L139" s="13" t="n"/>
      <c r="M139" s="14">
        <f>IF($A139="","",IFERROR(D139*INDEX(Insumos!$D$6:$D$98,MATCH(C139,Insumos!$A$6:$A$98,0)),0))</f>
        <v/>
      </c>
      <c r="N139" s="14">
        <f>IF($A139="","",E139*Parametros!$H$21)</f>
        <v/>
      </c>
      <c r="O139" s="14">
        <f>IF($A139="","",F139*Parametros!$H$22)</f>
        <v/>
      </c>
      <c r="P139" s="14">
        <f>IF($A139="","",F139*Parametros!$B$17)</f>
        <v/>
      </c>
      <c r="Q139" s="14">
        <f>IF($A139="","",D139*Parametros!$H$23)</f>
        <v/>
      </c>
      <c r="R139" s="14">
        <f>IF($A139="","",H139*Parametros!$H$24)</f>
        <v/>
      </c>
      <c r="S139" s="14">
        <f>IF($A139="","",IFERROR(INDEX(Confeccion!$B$5:$B$80,MATCH(G139,Confeccion!$A$5:$A$80,0)),0))</f>
        <v/>
      </c>
      <c r="T139" s="15">
        <f>IF($A139="","",SUM(M139:S139)+I139)</f>
        <v/>
      </c>
      <c r="U139" s="14">
        <f>IF($A139="","",IF(J139="","",J139*Parametros!$B$13))</f>
        <v/>
      </c>
      <c r="V139" s="14">
        <f>IF($A139="","",IF(J139="","",J139*Parametros!$B$14))</f>
        <v/>
      </c>
      <c r="W139" s="15">
        <f>IF($A139="","",IF(J139="","",J139-T139-U139-V139))</f>
        <v/>
      </c>
      <c r="X139" s="16">
        <f>IF($A139="","",IF(J139="","",W139/J139))</f>
        <v/>
      </c>
      <c r="Y139" s="14">
        <f>IF($A139="","",IF(Parametros!$B$15&gt;=1,"",T139/(1-Parametros!$B$15)))</f>
        <v/>
      </c>
      <c r="Z139" s="14">
        <f>IF($A139="","",IF(Parametros!$B$15+Parametros!$B$16&gt;=1,"",T139/(1-Parametros!$B$15-Parametros!$B$16)))</f>
        <v/>
      </c>
      <c r="AA139" s="17">
        <f>IF($A139="","",IF(J139="","Falta precio",IF(W139&lt;0,"PIERDE",IF(X139&lt;Parametros!$B$16,"BAJO META","OK"))))</f>
        <v/>
      </c>
      <c r="AB139" s="18">
        <f>IF($A139="","",IF(OR(C139="",D139=""),"Falta tela o consumo. ","")&amp;IF(AND(C139&lt;&gt;"",M139=0),"Tela sin precio. ","")&amp;IF(S139=0,"Confección sin valor. ","")&amp;IF(J139="","Falta precio de venta. ",""))</f>
        <v/>
      </c>
    </row>
    <row r="140">
      <c r="A140" s="9" t="n"/>
      <c r="B140" s="9" t="n"/>
      <c r="C140" s="9" t="n"/>
      <c r="D140" s="10" t="n"/>
      <c r="E140" s="11" t="n"/>
      <c r="F140" s="11" t="n"/>
      <c r="G140" s="9" t="n"/>
      <c r="H140" s="9" t="n"/>
      <c r="I140" s="12" t="n"/>
      <c r="J140" s="12" t="n"/>
      <c r="K140" s="9" t="n"/>
      <c r="L140" s="13" t="n"/>
      <c r="M140" s="14">
        <f>IF($A140="","",IFERROR(D140*INDEX(Insumos!$D$6:$D$98,MATCH(C140,Insumos!$A$6:$A$98,0)),0))</f>
        <v/>
      </c>
      <c r="N140" s="14">
        <f>IF($A140="","",E140*Parametros!$H$21)</f>
        <v/>
      </c>
      <c r="O140" s="14">
        <f>IF($A140="","",F140*Parametros!$H$22)</f>
        <v/>
      </c>
      <c r="P140" s="14">
        <f>IF($A140="","",F140*Parametros!$B$17)</f>
        <v/>
      </c>
      <c r="Q140" s="14">
        <f>IF($A140="","",D140*Parametros!$H$23)</f>
        <v/>
      </c>
      <c r="R140" s="14">
        <f>IF($A140="","",H140*Parametros!$H$24)</f>
        <v/>
      </c>
      <c r="S140" s="14">
        <f>IF($A140="","",IFERROR(INDEX(Confeccion!$B$5:$B$80,MATCH(G140,Confeccion!$A$5:$A$80,0)),0))</f>
        <v/>
      </c>
      <c r="T140" s="15">
        <f>IF($A140="","",SUM(M140:S140)+I140)</f>
        <v/>
      </c>
      <c r="U140" s="14">
        <f>IF($A140="","",IF(J140="","",J140*Parametros!$B$13))</f>
        <v/>
      </c>
      <c r="V140" s="14">
        <f>IF($A140="","",IF(J140="","",J140*Parametros!$B$14))</f>
        <v/>
      </c>
      <c r="W140" s="15">
        <f>IF($A140="","",IF(J140="","",J140-T140-U140-V140))</f>
        <v/>
      </c>
      <c r="X140" s="16">
        <f>IF($A140="","",IF(J140="","",W140/J140))</f>
        <v/>
      </c>
      <c r="Y140" s="14">
        <f>IF($A140="","",IF(Parametros!$B$15&gt;=1,"",T140/(1-Parametros!$B$15)))</f>
        <v/>
      </c>
      <c r="Z140" s="14">
        <f>IF($A140="","",IF(Parametros!$B$15+Parametros!$B$16&gt;=1,"",T140/(1-Parametros!$B$15-Parametros!$B$16)))</f>
        <v/>
      </c>
      <c r="AA140" s="17">
        <f>IF($A140="","",IF(J140="","Falta precio",IF(W140&lt;0,"PIERDE",IF(X140&lt;Parametros!$B$16,"BAJO META","OK"))))</f>
        <v/>
      </c>
      <c r="AB140" s="18">
        <f>IF($A140="","",IF(OR(C140="",D140=""),"Falta tela o consumo. ","")&amp;IF(AND(C140&lt;&gt;"",M140=0),"Tela sin precio. ","")&amp;IF(S140=0,"Confección sin valor. ","")&amp;IF(J140="","Falta precio de venta. ",""))</f>
        <v/>
      </c>
    </row>
    <row r="141">
      <c r="A141" s="9" t="n"/>
      <c r="B141" s="9" t="n"/>
      <c r="C141" s="9" t="n"/>
      <c r="D141" s="10" t="n"/>
      <c r="E141" s="11" t="n"/>
      <c r="F141" s="11" t="n"/>
      <c r="G141" s="9" t="n"/>
      <c r="H141" s="9" t="n"/>
      <c r="I141" s="12" t="n"/>
      <c r="J141" s="12" t="n"/>
      <c r="K141" s="9" t="n"/>
      <c r="L141" s="13" t="n"/>
      <c r="M141" s="14">
        <f>IF($A141="","",IFERROR(D141*INDEX(Insumos!$D$6:$D$98,MATCH(C141,Insumos!$A$6:$A$98,0)),0))</f>
        <v/>
      </c>
      <c r="N141" s="14">
        <f>IF($A141="","",E141*Parametros!$H$21)</f>
        <v/>
      </c>
      <c r="O141" s="14">
        <f>IF($A141="","",F141*Parametros!$H$22)</f>
        <v/>
      </c>
      <c r="P141" s="14">
        <f>IF($A141="","",F141*Parametros!$B$17)</f>
        <v/>
      </c>
      <c r="Q141" s="14">
        <f>IF($A141="","",D141*Parametros!$H$23)</f>
        <v/>
      </c>
      <c r="R141" s="14">
        <f>IF($A141="","",H141*Parametros!$H$24)</f>
        <v/>
      </c>
      <c r="S141" s="14">
        <f>IF($A141="","",IFERROR(INDEX(Confeccion!$B$5:$B$80,MATCH(G141,Confeccion!$A$5:$A$80,0)),0))</f>
        <v/>
      </c>
      <c r="T141" s="15">
        <f>IF($A141="","",SUM(M141:S141)+I141)</f>
        <v/>
      </c>
      <c r="U141" s="14">
        <f>IF($A141="","",IF(J141="","",J141*Parametros!$B$13))</f>
        <v/>
      </c>
      <c r="V141" s="14">
        <f>IF($A141="","",IF(J141="","",J141*Parametros!$B$14))</f>
        <v/>
      </c>
      <c r="W141" s="15">
        <f>IF($A141="","",IF(J141="","",J141-T141-U141-V141))</f>
        <v/>
      </c>
      <c r="X141" s="16">
        <f>IF($A141="","",IF(J141="","",W141/J141))</f>
        <v/>
      </c>
      <c r="Y141" s="14">
        <f>IF($A141="","",IF(Parametros!$B$15&gt;=1,"",T141/(1-Parametros!$B$15)))</f>
        <v/>
      </c>
      <c r="Z141" s="14">
        <f>IF($A141="","",IF(Parametros!$B$15+Parametros!$B$16&gt;=1,"",T141/(1-Parametros!$B$15-Parametros!$B$16)))</f>
        <v/>
      </c>
      <c r="AA141" s="17">
        <f>IF($A141="","",IF(J141="","Falta precio",IF(W141&lt;0,"PIERDE",IF(X141&lt;Parametros!$B$16,"BAJO META","OK"))))</f>
        <v/>
      </c>
      <c r="AB141" s="18">
        <f>IF($A141="","",IF(OR(C141="",D141=""),"Falta tela o consumo. ","")&amp;IF(AND(C141&lt;&gt;"",M141=0),"Tela sin precio. ","")&amp;IF(S141=0,"Confección sin valor. ","")&amp;IF(J141="","Falta precio de venta. ",""))</f>
        <v/>
      </c>
    </row>
    <row r="142">
      <c r="A142" s="9" t="n"/>
      <c r="B142" s="9" t="n"/>
      <c r="C142" s="9" t="n"/>
      <c r="D142" s="10" t="n"/>
      <c r="E142" s="11" t="n"/>
      <c r="F142" s="11" t="n"/>
      <c r="G142" s="9" t="n"/>
      <c r="H142" s="9" t="n"/>
      <c r="I142" s="12" t="n"/>
      <c r="J142" s="12" t="n"/>
      <c r="K142" s="9" t="n"/>
      <c r="L142" s="13" t="n"/>
      <c r="M142" s="14">
        <f>IF($A142="","",IFERROR(D142*INDEX(Insumos!$D$6:$D$98,MATCH(C142,Insumos!$A$6:$A$98,0)),0))</f>
        <v/>
      </c>
      <c r="N142" s="14">
        <f>IF($A142="","",E142*Parametros!$H$21)</f>
        <v/>
      </c>
      <c r="O142" s="14">
        <f>IF($A142="","",F142*Parametros!$H$22)</f>
        <v/>
      </c>
      <c r="P142" s="14">
        <f>IF($A142="","",F142*Parametros!$B$17)</f>
        <v/>
      </c>
      <c r="Q142" s="14">
        <f>IF($A142="","",D142*Parametros!$H$23)</f>
        <v/>
      </c>
      <c r="R142" s="14">
        <f>IF($A142="","",H142*Parametros!$H$24)</f>
        <v/>
      </c>
      <c r="S142" s="14">
        <f>IF($A142="","",IFERROR(INDEX(Confeccion!$B$5:$B$80,MATCH(G142,Confeccion!$A$5:$A$80,0)),0))</f>
        <v/>
      </c>
      <c r="T142" s="15">
        <f>IF($A142="","",SUM(M142:S142)+I142)</f>
        <v/>
      </c>
      <c r="U142" s="14">
        <f>IF($A142="","",IF(J142="","",J142*Parametros!$B$13))</f>
        <v/>
      </c>
      <c r="V142" s="14">
        <f>IF($A142="","",IF(J142="","",J142*Parametros!$B$14))</f>
        <v/>
      </c>
      <c r="W142" s="15">
        <f>IF($A142="","",IF(J142="","",J142-T142-U142-V142))</f>
        <v/>
      </c>
      <c r="X142" s="16">
        <f>IF($A142="","",IF(J142="","",W142/J142))</f>
        <v/>
      </c>
      <c r="Y142" s="14">
        <f>IF($A142="","",IF(Parametros!$B$15&gt;=1,"",T142/(1-Parametros!$B$15)))</f>
        <v/>
      </c>
      <c r="Z142" s="14">
        <f>IF($A142="","",IF(Parametros!$B$15+Parametros!$B$16&gt;=1,"",T142/(1-Parametros!$B$15-Parametros!$B$16)))</f>
        <v/>
      </c>
      <c r="AA142" s="17">
        <f>IF($A142="","",IF(J142="","Falta precio",IF(W142&lt;0,"PIERDE",IF(X142&lt;Parametros!$B$16,"BAJO META","OK"))))</f>
        <v/>
      </c>
      <c r="AB142" s="18">
        <f>IF($A142="","",IF(OR(C142="",D142=""),"Falta tela o consumo. ","")&amp;IF(AND(C142&lt;&gt;"",M142=0),"Tela sin precio. ","")&amp;IF(S142=0,"Confección sin valor. ","")&amp;IF(J142="","Falta precio de venta. ",""))</f>
        <v/>
      </c>
    </row>
    <row r="143">
      <c r="A143" s="9" t="n"/>
      <c r="B143" s="9" t="n"/>
      <c r="C143" s="9" t="n"/>
      <c r="D143" s="10" t="n"/>
      <c r="E143" s="11" t="n"/>
      <c r="F143" s="11" t="n"/>
      <c r="G143" s="9" t="n"/>
      <c r="H143" s="9" t="n"/>
      <c r="I143" s="12" t="n"/>
      <c r="J143" s="12" t="n"/>
      <c r="K143" s="9" t="n"/>
      <c r="L143" s="13" t="n"/>
      <c r="M143" s="14">
        <f>IF($A143="","",IFERROR(D143*INDEX(Insumos!$D$6:$D$98,MATCH(C143,Insumos!$A$6:$A$98,0)),0))</f>
        <v/>
      </c>
      <c r="N143" s="14">
        <f>IF($A143="","",E143*Parametros!$H$21)</f>
        <v/>
      </c>
      <c r="O143" s="14">
        <f>IF($A143="","",F143*Parametros!$H$22)</f>
        <v/>
      </c>
      <c r="P143" s="14">
        <f>IF($A143="","",F143*Parametros!$B$17)</f>
        <v/>
      </c>
      <c r="Q143" s="14">
        <f>IF($A143="","",D143*Parametros!$H$23)</f>
        <v/>
      </c>
      <c r="R143" s="14">
        <f>IF($A143="","",H143*Parametros!$H$24)</f>
        <v/>
      </c>
      <c r="S143" s="14">
        <f>IF($A143="","",IFERROR(INDEX(Confeccion!$B$5:$B$80,MATCH(G143,Confeccion!$A$5:$A$80,0)),0))</f>
        <v/>
      </c>
      <c r="T143" s="15">
        <f>IF($A143="","",SUM(M143:S143)+I143)</f>
        <v/>
      </c>
      <c r="U143" s="14">
        <f>IF($A143="","",IF(J143="","",J143*Parametros!$B$13))</f>
        <v/>
      </c>
      <c r="V143" s="14">
        <f>IF($A143="","",IF(J143="","",J143*Parametros!$B$14))</f>
        <v/>
      </c>
      <c r="W143" s="15">
        <f>IF($A143="","",IF(J143="","",J143-T143-U143-V143))</f>
        <v/>
      </c>
      <c r="X143" s="16">
        <f>IF($A143="","",IF(J143="","",W143/J143))</f>
        <v/>
      </c>
      <c r="Y143" s="14">
        <f>IF($A143="","",IF(Parametros!$B$15&gt;=1,"",T143/(1-Parametros!$B$15)))</f>
        <v/>
      </c>
      <c r="Z143" s="14">
        <f>IF($A143="","",IF(Parametros!$B$15+Parametros!$B$16&gt;=1,"",T143/(1-Parametros!$B$15-Parametros!$B$16)))</f>
        <v/>
      </c>
      <c r="AA143" s="17">
        <f>IF($A143="","",IF(J143="","Falta precio",IF(W143&lt;0,"PIERDE",IF(X143&lt;Parametros!$B$16,"BAJO META","OK"))))</f>
        <v/>
      </c>
      <c r="AB143" s="18">
        <f>IF($A143="","",IF(OR(C143="",D143=""),"Falta tela o consumo. ","")&amp;IF(AND(C143&lt;&gt;"",M143=0),"Tela sin precio. ","")&amp;IF(S143=0,"Confección sin valor. ","")&amp;IF(J143="","Falta precio de venta. ",""))</f>
        <v/>
      </c>
    </row>
    <row r="144">
      <c r="A144" s="9" t="n"/>
      <c r="B144" s="9" t="n"/>
      <c r="C144" s="9" t="n"/>
      <c r="D144" s="10" t="n"/>
      <c r="E144" s="11" t="n"/>
      <c r="F144" s="11" t="n"/>
      <c r="G144" s="9" t="n"/>
      <c r="H144" s="9" t="n"/>
      <c r="I144" s="12" t="n"/>
      <c r="J144" s="12" t="n"/>
      <c r="K144" s="9" t="n"/>
      <c r="L144" s="13" t="n"/>
      <c r="M144" s="14">
        <f>IF($A144="","",IFERROR(D144*INDEX(Insumos!$D$6:$D$98,MATCH(C144,Insumos!$A$6:$A$98,0)),0))</f>
        <v/>
      </c>
      <c r="N144" s="14">
        <f>IF($A144="","",E144*Parametros!$H$21)</f>
        <v/>
      </c>
      <c r="O144" s="14">
        <f>IF($A144="","",F144*Parametros!$H$22)</f>
        <v/>
      </c>
      <c r="P144" s="14">
        <f>IF($A144="","",F144*Parametros!$B$17)</f>
        <v/>
      </c>
      <c r="Q144" s="14">
        <f>IF($A144="","",D144*Parametros!$H$23)</f>
        <v/>
      </c>
      <c r="R144" s="14">
        <f>IF($A144="","",H144*Parametros!$H$24)</f>
        <v/>
      </c>
      <c r="S144" s="14">
        <f>IF($A144="","",IFERROR(INDEX(Confeccion!$B$5:$B$80,MATCH(G144,Confeccion!$A$5:$A$80,0)),0))</f>
        <v/>
      </c>
      <c r="T144" s="15">
        <f>IF($A144="","",SUM(M144:S144)+I144)</f>
        <v/>
      </c>
      <c r="U144" s="14">
        <f>IF($A144="","",IF(J144="","",J144*Parametros!$B$13))</f>
        <v/>
      </c>
      <c r="V144" s="14">
        <f>IF($A144="","",IF(J144="","",J144*Parametros!$B$14))</f>
        <v/>
      </c>
      <c r="W144" s="15">
        <f>IF($A144="","",IF(J144="","",J144-T144-U144-V144))</f>
        <v/>
      </c>
      <c r="X144" s="16">
        <f>IF($A144="","",IF(J144="","",W144/J144))</f>
        <v/>
      </c>
      <c r="Y144" s="14">
        <f>IF($A144="","",IF(Parametros!$B$15&gt;=1,"",T144/(1-Parametros!$B$15)))</f>
        <v/>
      </c>
      <c r="Z144" s="14">
        <f>IF($A144="","",IF(Parametros!$B$15+Parametros!$B$16&gt;=1,"",T144/(1-Parametros!$B$15-Parametros!$B$16)))</f>
        <v/>
      </c>
      <c r="AA144" s="17">
        <f>IF($A144="","",IF(J144="","Falta precio",IF(W144&lt;0,"PIERDE",IF(X144&lt;Parametros!$B$16,"BAJO META","OK"))))</f>
        <v/>
      </c>
      <c r="AB144" s="18">
        <f>IF($A144="","",IF(OR(C144="",D144=""),"Falta tela o consumo. ","")&amp;IF(AND(C144&lt;&gt;"",M144=0),"Tela sin precio. ","")&amp;IF(S144=0,"Confección sin valor. ","")&amp;IF(J144="","Falta precio de venta. ",""))</f>
        <v/>
      </c>
    </row>
    <row r="145">
      <c r="A145" s="9" t="n"/>
      <c r="B145" s="9" t="n"/>
      <c r="C145" s="9" t="n"/>
      <c r="D145" s="10" t="n"/>
      <c r="E145" s="11" t="n"/>
      <c r="F145" s="11" t="n"/>
      <c r="G145" s="9" t="n"/>
      <c r="H145" s="9" t="n"/>
      <c r="I145" s="12" t="n"/>
      <c r="J145" s="12" t="n"/>
      <c r="K145" s="9" t="n"/>
      <c r="L145" s="13" t="n"/>
      <c r="M145" s="14">
        <f>IF($A145="","",IFERROR(D145*INDEX(Insumos!$D$6:$D$98,MATCH(C145,Insumos!$A$6:$A$98,0)),0))</f>
        <v/>
      </c>
      <c r="N145" s="14">
        <f>IF($A145="","",E145*Parametros!$H$21)</f>
        <v/>
      </c>
      <c r="O145" s="14">
        <f>IF($A145="","",F145*Parametros!$H$22)</f>
        <v/>
      </c>
      <c r="P145" s="14">
        <f>IF($A145="","",F145*Parametros!$B$17)</f>
        <v/>
      </c>
      <c r="Q145" s="14">
        <f>IF($A145="","",D145*Parametros!$H$23)</f>
        <v/>
      </c>
      <c r="R145" s="14">
        <f>IF($A145="","",H145*Parametros!$H$24)</f>
        <v/>
      </c>
      <c r="S145" s="14">
        <f>IF($A145="","",IFERROR(INDEX(Confeccion!$B$5:$B$80,MATCH(G145,Confeccion!$A$5:$A$80,0)),0))</f>
        <v/>
      </c>
      <c r="T145" s="15">
        <f>IF($A145="","",SUM(M145:S145)+I145)</f>
        <v/>
      </c>
      <c r="U145" s="14">
        <f>IF($A145="","",IF(J145="","",J145*Parametros!$B$13))</f>
        <v/>
      </c>
      <c r="V145" s="14">
        <f>IF($A145="","",IF(J145="","",J145*Parametros!$B$14))</f>
        <v/>
      </c>
      <c r="W145" s="15">
        <f>IF($A145="","",IF(J145="","",J145-T145-U145-V145))</f>
        <v/>
      </c>
      <c r="X145" s="16">
        <f>IF($A145="","",IF(J145="","",W145/J145))</f>
        <v/>
      </c>
      <c r="Y145" s="14">
        <f>IF($A145="","",IF(Parametros!$B$15&gt;=1,"",T145/(1-Parametros!$B$15)))</f>
        <v/>
      </c>
      <c r="Z145" s="14">
        <f>IF($A145="","",IF(Parametros!$B$15+Parametros!$B$16&gt;=1,"",T145/(1-Parametros!$B$15-Parametros!$B$16)))</f>
        <v/>
      </c>
      <c r="AA145" s="17">
        <f>IF($A145="","",IF(J145="","Falta precio",IF(W145&lt;0,"PIERDE",IF(X145&lt;Parametros!$B$16,"BAJO META","OK"))))</f>
        <v/>
      </c>
      <c r="AB145" s="18">
        <f>IF($A145="","",IF(OR(C145="",D145=""),"Falta tela o consumo. ","")&amp;IF(AND(C145&lt;&gt;"",M145=0),"Tela sin precio. ","")&amp;IF(S145=0,"Confección sin valor. ","")&amp;IF(J145="","Falta precio de venta. ",""))</f>
        <v/>
      </c>
    </row>
    <row r="146">
      <c r="A146" s="9" t="n"/>
      <c r="B146" s="9" t="n"/>
      <c r="C146" s="9" t="n"/>
      <c r="D146" s="10" t="n"/>
      <c r="E146" s="11" t="n"/>
      <c r="F146" s="11" t="n"/>
      <c r="G146" s="9" t="n"/>
      <c r="H146" s="9" t="n"/>
      <c r="I146" s="12" t="n"/>
      <c r="J146" s="12" t="n"/>
      <c r="K146" s="9" t="n"/>
      <c r="L146" s="13" t="n"/>
      <c r="M146" s="14">
        <f>IF($A146="","",IFERROR(D146*INDEX(Insumos!$D$6:$D$98,MATCH(C146,Insumos!$A$6:$A$98,0)),0))</f>
        <v/>
      </c>
      <c r="N146" s="14">
        <f>IF($A146="","",E146*Parametros!$H$21)</f>
        <v/>
      </c>
      <c r="O146" s="14">
        <f>IF($A146="","",F146*Parametros!$H$22)</f>
        <v/>
      </c>
      <c r="P146" s="14">
        <f>IF($A146="","",F146*Parametros!$B$17)</f>
        <v/>
      </c>
      <c r="Q146" s="14">
        <f>IF($A146="","",D146*Parametros!$H$23)</f>
        <v/>
      </c>
      <c r="R146" s="14">
        <f>IF($A146="","",H146*Parametros!$H$24)</f>
        <v/>
      </c>
      <c r="S146" s="14">
        <f>IF($A146="","",IFERROR(INDEX(Confeccion!$B$5:$B$80,MATCH(G146,Confeccion!$A$5:$A$80,0)),0))</f>
        <v/>
      </c>
      <c r="T146" s="15">
        <f>IF($A146="","",SUM(M146:S146)+I146)</f>
        <v/>
      </c>
      <c r="U146" s="14">
        <f>IF($A146="","",IF(J146="","",J146*Parametros!$B$13))</f>
        <v/>
      </c>
      <c r="V146" s="14">
        <f>IF($A146="","",IF(J146="","",J146*Parametros!$B$14))</f>
        <v/>
      </c>
      <c r="W146" s="15">
        <f>IF($A146="","",IF(J146="","",J146-T146-U146-V146))</f>
        <v/>
      </c>
      <c r="X146" s="16">
        <f>IF($A146="","",IF(J146="","",W146/J146))</f>
        <v/>
      </c>
      <c r="Y146" s="14">
        <f>IF($A146="","",IF(Parametros!$B$15&gt;=1,"",T146/(1-Parametros!$B$15)))</f>
        <v/>
      </c>
      <c r="Z146" s="14">
        <f>IF($A146="","",IF(Parametros!$B$15+Parametros!$B$16&gt;=1,"",T146/(1-Parametros!$B$15-Parametros!$B$16)))</f>
        <v/>
      </c>
      <c r="AA146" s="17">
        <f>IF($A146="","",IF(J146="","Falta precio",IF(W146&lt;0,"PIERDE",IF(X146&lt;Parametros!$B$16,"BAJO META","OK"))))</f>
        <v/>
      </c>
      <c r="AB146" s="18">
        <f>IF($A146="","",IF(OR(C146="",D146=""),"Falta tela o consumo. ","")&amp;IF(AND(C146&lt;&gt;"",M146=0),"Tela sin precio. ","")&amp;IF(S146=0,"Confección sin valor. ","")&amp;IF(J146="","Falta precio de venta. ",""))</f>
        <v/>
      </c>
    </row>
    <row r="147">
      <c r="A147" s="9" t="n"/>
      <c r="B147" s="9" t="n"/>
      <c r="C147" s="9" t="n"/>
      <c r="D147" s="10" t="n"/>
      <c r="E147" s="11" t="n"/>
      <c r="F147" s="11" t="n"/>
      <c r="G147" s="9" t="n"/>
      <c r="H147" s="9" t="n"/>
      <c r="I147" s="12" t="n"/>
      <c r="J147" s="12" t="n"/>
      <c r="K147" s="9" t="n"/>
      <c r="L147" s="13" t="n"/>
      <c r="M147" s="14">
        <f>IF($A147="","",IFERROR(D147*INDEX(Insumos!$D$6:$D$98,MATCH(C147,Insumos!$A$6:$A$98,0)),0))</f>
        <v/>
      </c>
      <c r="N147" s="14">
        <f>IF($A147="","",E147*Parametros!$H$21)</f>
        <v/>
      </c>
      <c r="O147" s="14">
        <f>IF($A147="","",F147*Parametros!$H$22)</f>
        <v/>
      </c>
      <c r="P147" s="14">
        <f>IF($A147="","",F147*Parametros!$B$17)</f>
        <v/>
      </c>
      <c r="Q147" s="14">
        <f>IF($A147="","",D147*Parametros!$H$23)</f>
        <v/>
      </c>
      <c r="R147" s="14">
        <f>IF($A147="","",H147*Parametros!$H$24)</f>
        <v/>
      </c>
      <c r="S147" s="14">
        <f>IF($A147="","",IFERROR(INDEX(Confeccion!$B$5:$B$80,MATCH(G147,Confeccion!$A$5:$A$80,0)),0))</f>
        <v/>
      </c>
      <c r="T147" s="15">
        <f>IF($A147="","",SUM(M147:S147)+I147)</f>
        <v/>
      </c>
      <c r="U147" s="14">
        <f>IF($A147="","",IF(J147="","",J147*Parametros!$B$13))</f>
        <v/>
      </c>
      <c r="V147" s="14">
        <f>IF($A147="","",IF(J147="","",J147*Parametros!$B$14))</f>
        <v/>
      </c>
      <c r="W147" s="15">
        <f>IF($A147="","",IF(J147="","",J147-T147-U147-V147))</f>
        <v/>
      </c>
      <c r="X147" s="16">
        <f>IF($A147="","",IF(J147="","",W147/J147))</f>
        <v/>
      </c>
      <c r="Y147" s="14">
        <f>IF($A147="","",IF(Parametros!$B$15&gt;=1,"",T147/(1-Parametros!$B$15)))</f>
        <v/>
      </c>
      <c r="Z147" s="14">
        <f>IF($A147="","",IF(Parametros!$B$15+Parametros!$B$16&gt;=1,"",T147/(1-Parametros!$B$15-Parametros!$B$16)))</f>
        <v/>
      </c>
      <c r="AA147" s="17">
        <f>IF($A147="","",IF(J147="","Falta precio",IF(W147&lt;0,"PIERDE",IF(X147&lt;Parametros!$B$16,"BAJO META","OK"))))</f>
        <v/>
      </c>
      <c r="AB147" s="18">
        <f>IF($A147="","",IF(OR(C147="",D147=""),"Falta tela o consumo. ","")&amp;IF(AND(C147&lt;&gt;"",M147=0),"Tela sin precio. ","")&amp;IF(S147=0,"Confección sin valor. ","")&amp;IF(J147="","Falta precio de venta. ",""))</f>
        <v/>
      </c>
    </row>
    <row r="148">
      <c r="A148" s="9" t="n"/>
      <c r="B148" s="9" t="n"/>
      <c r="C148" s="9" t="n"/>
      <c r="D148" s="10" t="n"/>
      <c r="E148" s="11" t="n"/>
      <c r="F148" s="11" t="n"/>
      <c r="G148" s="9" t="n"/>
      <c r="H148" s="9" t="n"/>
      <c r="I148" s="12" t="n"/>
      <c r="J148" s="12" t="n"/>
      <c r="K148" s="9" t="n"/>
      <c r="L148" s="13" t="n"/>
      <c r="M148" s="14">
        <f>IF($A148="","",IFERROR(D148*INDEX(Insumos!$D$6:$D$98,MATCH(C148,Insumos!$A$6:$A$98,0)),0))</f>
        <v/>
      </c>
      <c r="N148" s="14">
        <f>IF($A148="","",E148*Parametros!$H$21)</f>
        <v/>
      </c>
      <c r="O148" s="14">
        <f>IF($A148="","",F148*Parametros!$H$22)</f>
        <v/>
      </c>
      <c r="P148" s="14">
        <f>IF($A148="","",F148*Parametros!$B$17)</f>
        <v/>
      </c>
      <c r="Q148" s="14">
        <f>IF($A148="","",D148*Parametros!$H$23)</f>
        <v/>
      </c>
      <c r="R148" s="14">
        <f>IF($A148="","",H148*Parametros!$H$24)</f>
        <v/>
      </c>
      <c r="S148" s="14">
        <f>IF($A148="","",IFERROR(INDEX(Confeccion!$B$5:$B$80,MATCH(G148,Confeccion!$A$5:$A$80,0)),0))</f>
        <v/>
      </c>
      <c r="T148" s="15">
        <f>IF($A148="","",SUM(M148:S148)+I148)</f>
        <v/>
      </c>
      <c r="U148" s="14">
        <f>IF($A148="","",IF(J148="","",J148*Parametros!$B$13))</f>
        <v/>
      </c>
      <c r="V148" s="14">
        <f>IF($A148="","",IF(J148="","",J148*Parametros!$B$14))</f>
        <v/>
      </c>
      <c r="W148" s="15">
        <f>IF($A148="","",IF(J148="","",J148-T148-U148-V148))</f>
        <v/>
      </c>
      <c r="X148" s="16">
        <f>IF($A148="","",IF(J148="","",W148/J148))</f>
        <v/>
      </c>
      <c r="Y148" s="14">
        <f>IF($A148="","",IF(Parametros!$B$15&gt;=1,"",T148/(1-Parametros!$B$15)))</f>
        <v/>
      </c>
      <c r="Z148" s="14">
        <f>IF($A148="","",IF(Parametros!$B$15+Parametros!$B$16&gt;=1,"",T148/(1-Parametros!$B$15-Parametros!$B$16)))</f>
        <v/>
      </c>
      <c r="AA148" s="17">
        <f>IF($A148="","",IF(J148="","Falta precio",IF(W148&lt;0,"PIERDE",IF(X148&lt;Parametros!$B$16,"BAJO META","OK"))))</f>
        <v/>
      </c>
      <c r="AB148" s="18">
        <f>IF($A148="","",IF(OR(C148="",D148=""),"Falta tela o consumo. ","")&amp;IF(AND(C148&lt;&gt;"",M148=0),"Tela sin precio. ","")&amp;IF(S148=0,"Confección sin valor. ","")&amp;IF(J148="","Falta precio de venta. ",""))</f>
        <v/>
      </c>
    </row>
    <row r="149">
      <c r="A149" s="9" t="n"/>
      <c r="B149" s="9" t="n"/>
      <c r="C149" s="9" t="n"/>
      <c r="D149" s="10" t="n"/>
      <c r="E149" s="11" t="n"/>
      <c r="F149" s="11" t="n"/>
      <c r="G149" s="9" t="n"/>
      <c r="H149" s="9" t="n"/>
      <c r="I149" s="12" t="n"/>
      <c r="J149" s="12" t="n"/>
      <c r="K149" s="9" t="n"/>
      <c r="L149" s="13" t="n"/>
      <c r="M149" s="14">
        <f>IF($A149="","",IFERROR(D149*INDEX(Insumos!$D$6:$D$98,MATCH(C149,Insumos!$A$6:$A$98,0)),0))</f>
        <v/>
      </c>
      <c r="N149" s="14">
        <f>IF($A149="","",E149*Parametros!$H$21)</f>
        <v/>
      </c>
      <c r="O149" s="14">
        <f>IF($A149="","",F149*Parametros!$H$22)</f>
        <v/>
      </c>
      <c r="P149" s="14">
        <f>IF($A149="","",F149*Parametros!$B$17)</f>
        <v/>
      </c>
      <c r="Q149" s="14">
        <f>IF($A149="","",D149*Parametros!$H$23)</f>
        <v/>
      </c>
      <c r="R149" s="14">
        <f>IF($A149="","",H149*Parametros!$H$24)</f>
        <v/>
      </c>
      <c r="S149" s="14">
        <f>IF($A149="","",IFERROR(INDEX(Confeccion!$B$5:$B$80,MATCH(G149,Confeccion!$A$5:$A$80,0)),0))</f>
        <v/>
      </c>
      <c r="T149" s="15">
        <f>IF($A149="","",SUM(M149:S149)+I149)</f>
        <v/>
      </c>
      <c r="U149" s="14">
        <f>IF($A149="","",IF(J149="","",J149*Parametros!$B$13))</f>
        <v/>
      </c>
      <c r="V149" s="14">
        <f>IF($A149="","",IF(J149="","",J149*Parametros!$B$14))</f>
        <v/>
      </c>
      <c r="W149" s="15">
        <f>IF($A149="","",IF(J149="","",J149-T149-U149-V149))</f>
        <v/>
      </c>
      <c r="X149" s="16">
        <f>IF($A149="","",IF(J149="","",W149/J149))</f>
        <v/>
      </c>
      <c r="Y149" s="14">
        <f>IF($A149="","",IF(Parametros!$B$15&gt;=1,"",T149/(1-Parametros!$B$15)))</f>
        <v/>
      </c>
      <c r="Z149" s="14">
        <f>IF($A149="","",IF(Parametros!$B$15+Parametros!$B$16&gt;=1,"",T149/(1-Parametros!$B$15-Parametros!$B$16)))</f>
        <v/>
      </c>
      <c r="AA149" s="17">
        <f>IF($A149="","",IF(J149="","Falta precio",IF(W149&lt;0,"PIERDE",IF(X149&lt;Parametros!$B$16,"BAJO META","OK"))))</f>
        <v/>
      </c>
      <c r="AB149" s="18">
        <f>IF($A149="","",IF(OR(C149="",D149=""),"Falta tela o consumo. ","")&amp;IF(AND(C149&lt;&gt;"",M149=0),"Tela sin precio. ","")&amp;IF(S149=0,"Confección sin valor. ","")&amp;IF(J149="","Falta precio de venta. ",""))</f>
        <v/>
      </c>
    </row>
    <row r="150">
      <c r="A150" s="9" t="n"/>
      <c r="B150" s="9" t="n"/>
      <c r="C150" s="9" t="n"/>
      <c r="D150" s="10" t="n"/>
      <c r="E150" s="11" t="n"/>
      <c r="F150" s="11" t="n"/>
      <c r="G150" s="9" t="n"/>
      <c r="H150" s="9" t="n"/>
      <c r="I150" s="12" t="n"/>
      <c r="J150" s="12" t="n"/>
      <c r="K150" s="9" t="n"/>
      <c r="L150" s="13" t="n"/>
      <c r="M150" s="14">
        <f>IF($A150="","",IFERROR(D150*INDEX(Insumos!$D$6:$D$98,MATCH(C150,Insumos!$A$6:$A$98,0)),0))</f>
        <v/>
      </c>
      <c r="N150" s="14">
        <f>IF($A150="","",E150*Parametros!$H$21)</f>
        <v/>
      </c>
      <c r="O150" s="14">
        <f>IF($A150="","",F150*Parametros!$H$22)</f>
        <v/>
      </c>
      <c r="P150" s="14">
        <f>IF($A150="","",F150*Parametros!$B$17)</f>
        <v/>
      </c>
      <c r="Q150" s="14">
        <f>IF($A150="","",D150*Parametros!$H$23)</f>
        <v/>
      </c>
      <c r="R150" s="14">
        <f>IF($A150="","",H150*Parametros!$H$24)</f>
        <v/>
      </c>
      <c r="S150" s="14">
        <f>IF($A150="","",IFERROR(INDEX(Confeccion!$B$5:$B$80,MATCH(G150,Confeccion!$A$5:$A$80,0)),0))</f>
        <v/>
      </c>
      <c r="T150" s="15">
        <f>IF($A150="","",SUM(M150:S150)+I150)</f>
        <v/>
      </c>
      <c r="U150" s="14">
        <f>IF($A150="","",IF(J150="","",J150*Parametros!$B$13))</f>
        <v/>
      </c>
      <c r="V150" s="14">
        <f>IF($A150="","",IF(J150="","",J150*Parametros!$B$14))</f>
        <v/>
      </c>
      <c r="W150" s="15">
        <f>IF($A150="","",IF(J150="","",J150-T150-U150-V150))</f>
        <v/>
      </c>
      <c r="X150" s="16">
        <f>IF($A150="","",IF(J150="","",W150/J150))</f>
        <v/>
      </c>
      <c r="Y150" s="14">
        <f>IF($A150="","",IF(Parametros!$B$15&gt;=1,"",T150/(1-Parametros!$B$15)))</f>
        <v/>
      </c>
      <c r="Z150" s="14">
        <f>IF($A150="","",IF(Parametros!$B$15+Parametros!$B$16&gt;=1,"",T150/(1-Parametros!$B$15-Parametros!$B$16)))</f>
        <v/>
      </c>
      <c r="AA150" s="17">
        <f>IF($A150="","",IF(J150="","Falta precio",IF(W150&lt;0,"PIERDE",IF(X150&lt;Parametros!$B$16,"BAJO META","OK"))))</f>
        <v/>
      </c>
      <c r="AB150" s="18">
        <f>IF($A150="","",IF(OR(C150="",D150=""),"Falta tela o consumo. ","")&amp;IF(AND(C150&lt;&gt;"",M150=0),"Tela sin precio. ","")&amp;IF(S150=0,"Confección sin valor. ","")&amp;IF(J150="","Falta precio de venta. ",""))</f>
        <v/>
      </c>
    </row>
    <row r="151">
      <c r="A151" s="9" t="n"/>
      <c r="B151" s="9" t="n"/>
      <c r="C151" s="9" t="n"/>
      <c r="D151" s="10" t="n"/>
      <c r="E151" s="11" t="n"/>
      <c r="F151" s="11" t="n"/>
      <c r="G151" s="9" t="n"/>
      <c r="H151" s="9" t="n"/>
      <c r="I151" s="12" t="n"/>
      <c r="J151" s="12" t="n"/>
      <c r="K151" s="9" t="n"/>
      <c r="L151" s="13" t="n"/>
      <c r="M151" s="14">
        <f>IF($A151="","",IFERROR(D151*INDEX(Insumos!$D$6:$D$98,MATCH(C151,Insumos!$A$6:$A$98,0)),0))</f>
        <v/>
      </c>
      <c r="N151" s="14">
        <f>IF($A151="","",E151*Parametros!$H$21)</f>
        <v/>
      </c>
      <c r="O151" s="14">
        <f>IF($A151="","",F151*Parametros!$H$22)</f>
        <v/>
      </c>
      <c r="P151" s="14">
        <f>IF($A151="","",F151*Parametros!$B$17)</f>
        <v/>
      </c>
      <c r="Q151" s="14">
        <f>IF($A151="","",D151*Parametros!$H$23)</f>
        <v/>
      </c>
      <c r="R151" s="14">
        <f>IF($A151="","",H151*Parametros!$H$24)</f>
        <v/>
      </c>
      <c r="S151" s="14">
        <f>IF($A151="","",IFERROR(INDEX(Confeccion!$B$5:$B$80,MATCH(G151,Confeccion!$A$5:$A$80,0)),0))</f>
        <v/>
      </c>
      <c r="T151" s="15">
        <f>IF($A151="","",SUM(M151:S151)+I151)</f>
        <v/>
      </c>
      <c r="U151" s="14">
        <f>IF($A151="","",IF(J151="","",J151*Parametros!$B$13))</f>
        <v/>
      </c>
      <c r="V151" s="14">
        <f>IF($A151="","",IF(J151="","",J151*Parametros!$B$14))</f>
        <v/>
      </c>
      <c r="W151" s="15">
        <f>IF($A151="","",IF(J151="","",J151-T151-U151-V151))</f>
        <v/>
      </c>
      <c r="X151" s="16">
        <f>IF($A151="","",IF(J151="","",W151/J151))</f>
        <v/>
      </c>
      <c r="Y151" s="14">
        <f>IF($A151="","",IF(Parametros!$B$15&gt;=1,"",T151/(1-Parametros!$B$15)))</f>
        <v/>
      </c>
      <c r="Z151" s="14">
        <f>IF($A151="","",IF(Parametros!$B$15+Parametros!$B$16&gt;=1,"",T151/(1-Parametros!$B$15-Parametros!$B$16)))</f>
        <v/>
      </c>
      <c r="AA151" s="17">
        <f>IF($A151="","",IF(J151="","Falta precio",IF(W151&lt;0,"PIERDE",IF(X151&lt;Parametros!$B$16,"BAJO META","OK"))))</f>
        <v/>
      </c>
      <c r="AB151" s="18">
        <f>IF($A151="","",IF(OR(C151="",D151=""),"Falta tela o consumo. ","")&amp;IF(AND(C151&lt;&gt;"",M151=0),"Tela sin precio. ","")&amp;IF(S151=0,"Confección sin valor. ","")&amp;IF(J151="","Falta precio de venta. ",""))</f>
        <v/>
      </c>
    </row>
    <row r="152">
      <c r="A152" s="9" t="n"/>
      <c r="B152" s="9" t="n"/>
      <c r="C152" s="9" t="n"/>
      <c r="D152" s="10" t="n"/>
      <c r="E152" s="11" t="n"/>
      <c r="F152" s="11" t="n"/>
      <c r="G152" s="9" t="n"/>
      <c r="H152" s="9" t="n"/>
      <c r="I152" s="12" t="n"/>
      <c r="J152" s="12" t="n"/>
      <c r="K152" s="9" t="n"/>
      <c r="L152" s="13" t="n"/>
      <c r="M152" s="14">
        <f>IF($A152="","",IFERROR(D152*INDEX(Insumos!$D$6:$D$98,MATCH(C152,Insumos!$A$6:$A$98,0)),0))</f>
        <v/>
      </c>
      <c r="N152" s="14">
        <f>IF($A152="","",E152*Parametros!$H$21)</f>
        <v/>
      </c>
      <c r="O152" s="14">
        <f>IF($A152="","",F152*Parametros!$H$22)</f>
        <v/>
      </c>
      <c r="P152" s="14">
        <f>IF($A152="","",F152*Parametros!$B$17)</f>
        <v/>
      </c>
      <c r="Q152" s="14">
        <f>IF($A152="","",D152*Parametros!$H$23)</f>
        <v/>
      </c>
      <c r="R152" s="14">
        <f>IF($A152="","",H152*Parametros!$H$24)</f>
        <v/>
      </c>
      <c r="S152" s="14">
        <f>IF($A152="","",IFERROR(INDEX(Confeccion!$B$5:$B$80,MATCH(G152,Confeccion!$A$5:$A$80,0)),0))</f>
        <v/>
      </c>
      <c r="T152" s="15">
        <f>IF($A152="","",SUM(M152:S152)+I152)</f>
        <v/>
      </c>
      <c r="U152" s="14">
        <f>IF($A152="","",IF(J152="","",J152*Parametros!$B$13))</f>
        <v/>
      </c>
      <c r="V152" s="14">
        <f>IF($A152="","",IF(J152="","",J152*Parametros!$B$14))</f>
        <v/>
      </c>
      <c r="W152" s="15">
        <f>IF($A152="","",IF(J152="","",J152-T152-U152-V152))</f>
        <v/>
      </c>
      <c r="X152" s="16">
        <f>IF($A152="","",IF(J152="","",W152/J152))</f>
        <v/>
      </c>
      <c r="Y152" s="14">
        <f>IF($A152="","",IF(Parametros!$B$15&gt;=1,"",T152/(1-Parametros!$B$15)))</f>
        <v/>
      </c>
      <c r="Z152" s="14">
        <f>IF($A152="","",IF(Parametros!$B$15+Parametros!$B$16&gt;=1,"",T152/(1-Parametros!$B$15-Parametros!$B$16)))</f>
        <v/>
      </c>
      <c r="AA152" s="17">
        <f>IF($A152="","",IF(J152="","Falta precio",IF(W152&lt;0,"PIERDE",IF(X152&lt;Parametros!$B$16,"BAJO META","OK"))))</f>
        <v/>
      </c>
      <c r="AB152" s="18">
        <f>IF($A152="","",IF(OR(C152="",D152=""),"Falta tela o consumo. ","")&amp;IF(AND(C152&lt;&gt;"",M152=0),"Tela sin precio. ","")&amp;IF(S152=0,"Confección sin valor. ","")&amp;IF(J152="","Falta precio de venta. ",""))</f>
        <v/>
      </c>
    </row>
    <row r="153">
      <c r="A153" s="9" t="n"/>
      <c r="B153" s="9" t="n"/>
      <c r="C153" s="9" t="n"/>
      <c r="D153" s="10" t="n"/>
      <c r="E153" s="11" t="n"/>
      <c r="F153" s="11" t="n"/>
      <c r="G153" s="9" t="n"/>
      <c r="H153" s="9" t="n"/>
      <c r="I153" s="12" t="n"/>
      <c r="J153" s="12" t="n"/>
      <c r="K153" s="9" t="n"/>
      <c r="L153" s="13" t="n"/>
      <c r="M153" s="14">
        <f>IF($A153="","",IFERROR(D153*INDEX(Insumos!$D$6:$D$98,MATCH(C153,Insumos!$A$6:$A$98,0)),0))</f>
        <v/>
      </c>
      <c r="N153" s="14">
        <f>IF($A153="","",E153*Parametros!$H$21)</f>
        <v/>
      </c>
      <c r="O153" s="14">
        <f>IF($A153="","",F153*Parametros!$H$22)</f>
        <v/>
      </c>
      <c r="P153" s="14">
        <f>IF($A153="","",F153*Parametros!$B$17)</f>
        <v/>
      </c>
      <c r="Q153" s="14">
        <f>IF($A153="","",D153*Parametros!$H$23)</f>
        <v/>
      </c>
      <c r="R153" s="14">
        <f>IF($A153="","",H153*Parametros!$H$24)</f>
        <v/>
      </c>
      <c r="S153" s="14">
        <f>IF($A153="","",IFERROR(INDEX(Confeccion!$B$5:$B$80,MATCH(G153,Confeccion!$A$5:$A$80,0)),0))</f>
        <v/>
      </c>
      <c r="T153" s="15">
        <f>IF($A153="","",SUM(M153:S153)+I153)</f>
        <v/>
      </c>
      <c r="U153" s="14">
        <f>IF($A153="","",IF(J153="","",J153*Parametros!$B$13))</f>
        <v/>
      </c>
      <c r="V153" s="14">
        <f>IF($A153="","",IF(J153="","",J153*Parametros!$B$14))</f>
        <v/>
      </c>
      <c r="W153" s="15">
        <f>IF($A153="","",IF(J153="","",J153-T153-U153-V153))</f>
        <v/>
      </c>
      <c r="X153" s="16">
        <f>IF($A153="","",IF(J153="","",W153/J153))</f>
        <v/>
      </c>
      <c r="Y153" s="14">
        <f>IF($A153="","",IF(Parametros!$B$15&gt;=1,"",T153/(1-Parametros!$B$15)))</f>
        <v/>
      </c>
      <c r="Z153" s="14">
        <f>IF($A153="","",IF(Parametros!$B$15+Parametros!$B$16&gt;=1,"",T153/(1-Parametros!$B$15-Parametros!$B$16)))</f>
        <v/>
      </c>
      <c r="AA153" s="17">
        <f>IF($A153="","",IF(J153="","Falta precio",IF(W153&lt;0,"PIERDE",IF(X153&lt;Parametros!$B$16,"BAJO META","OK"))))</f>
        <v/>
      </c>
      <c r="AB153" s="18">
        <f>IF($A153="","",IF(OR(C153="",D153=""),"Falta tela o consumo. ","")&amp;IF(AND(C153&lt;&gt;"",M153=0),"Tela sin precio. ","")&amp;IF(S153=0,"Confección sin valor. ","")&amp;IF(J153="","Falta precio de venta. ",""))</f>
        <v/>
      </c>
    </row>
    <row r="154">
      <c r="A154" s="9" t="n"/>
      <c r="B154" s="9" t="n"/>
      <c r="C154" s="9" t="n"/>
      <c r="D154" s="10" t="n"/>
      <c r="E154" s="11" t="n"/>
      <c r="F154" s="11" t="n"/>
      <c r="G154" s="9" t="n"/>
      <c r="H154" s="9" t="n"/>
      <c r="I154" s="12" t="n"/>
      <c r="J154" s="12" t="n"/>
      <c r="K154" s="9" t="n"/>
      <c r="L154" s="13" t="n"/>
      <c r="M154" s="14">
        <f>IF($A154="","",IFERROR(D154*INDEX(Insumos!$D$6:$D$98,MATCH(C154,Insumos!$A$6:$A$98,0)),0))</f>
        <v/>
      </c>
      <c r="N154" s="14">
        <f>IF($A154="","",E154*Parametros!$H$21)</f>
        <v/>
      </c>
      <c r="O154" s="14">
        <f>IF($A154="","",F154*Parametros!$H$22)</f>
        <v/>
      </c>
      <c r="P154" s="14">
        <f>IF($A154="","",F154*Parametros!$B$17)</f>
        <v/>
      </c>
      <c r="Q154" s="14">
        <f>IF($A154="","",D154*Parametros!$H$23)</f>
        <v/>
      </c>
      <c r="R154" s="14">
        <f>IF($A154="","",H154*Parametros!$H$24)</f>
        <v/>
      </c>
      <c r="S154" s="14">
        <f>IF($A154="","",IFERROR(INDEX(Confeccion!$B$5:$B$80,MATCH(G154,Confeccion!$A$5:$A$80,0)),0))</f>
        <v/>
      </c>
      <c r="T154" s="15">
        <f>IF($A154="","",SUM(M154:S154)+I154)</f>
        <v/>
      </c>
      <c r="U154" s="14">
        <f>IF($A154="","",IF(J154="","",J154*Parametros!$B$13))</f>
        <v/>
      </c>
      <c r="V154" s="14">
        <f>IF($A154="","",IF(J154="","",J154*Parametros!$B$14))</f>
        <v/>
      </c>
      <c r="W154" s="15">
        <f>IF($A154="","",IF(J154="","",J154-T154-U154-V154))</f>
        <v/>
      </c>
      <c r="X154" s="16">
        <f>IF($A154="","",IF(J154="","",W154/J154))</f>
        <v/>
      </c>
      <c r="Y154" s="14">
        <f>IF($A154="","",IF(Parametros!$B$15&gt;=1,"",T154/(1-Parametros!$B$15)))</f>
        <v/>
      </c>
      <c r="Z154" s="14">
        <f>IF($A154="","",IF(Parametros!$B$15+Parametros!$B$16&gt;=1,"",T154/(1-Parametros!$B$15-Parametros!$B$16)))</f>
        <v/>
      </c>
      <c r="AA154" s="17">
        <f>IF($A154="","",IF(J154="","Falta precio",IF(W154&lt;0,"PIERDE",IF(X154&lt;Parametros!$B$16,"BAJO META","OK"))))</f>
        <v/>
      </c>
      <c r="AB154" s="18">
        <f>IF($A154="","",IF(OR(C154="",D154=""),"Falta tela o consumo. ","")&amp;IF(AND(C154&lt;&gt;"",M154=0),"Tela sin precio. ","")&amp;IF(S154=0,"Confección sin valor. ","")&amp;IF(J154="","Falta precio de venta. ",""))</f>
        <v/>
      </c>
    </row>
    <row r="155">
      <c r="A155" s="9" t="n"/>
      <c r="B155" s="9" t="n"/>
      <c r="C155" s="9" t="n"/>
      <c r="D155" s="10" t="n"/>
      <c r="E155" s="11" t="n"/>
      <c r="F155" s="11" t="n"/>
      <c r="G155" s="9" t="n"/>
      <c r="H155" s="9" t="n"/>
      <c r="I155" s="12" t="n"/>
      <c r="J155" s="12" t="n"/>
      <c r="K155" s="9" t="n"/>
      <c r="L155" s="13" t="n"/>
      <c r="M155" s="14">
        <f>IF($A155="","",IFERROR(D155*INDEX(Insumos!$D$6:$D$98,MATCH(C155,Insumos!$A$6:$A$98,0)),0))</f>
        <v/>
      </c>
      <c r="N155" s="14">
        <f>IF($A155="","",E155*Parametros!$H$21)</f>
        <v/>
      </c>
      <c r="O155" s="14">
        <f>IF($A155="","",F155*Parametros!$H$22)</f>
        <v/>
      </c>
      <c r="P155" s="14">
        <f>IF($A155="","",F155*Parametros!$B$17)</f>
        <v/>
      </c>
      <c r="Q155" s="14">
        <f>IF($A155="","",D155*Parametros!$H$23)</f>
        <v/>
      </c>
      <c r="R155" s="14">
        <f>IF($A155="","",H155*Parametros!$H$24)</f>
        <v/>
      </c>
      <c r="S155" s="14">
        <f>IF($A155="","",IFERROR(INDEX(Confeccion!$B$5:$B$80,MATCH(G155,Confeccion!$A$5:$A$80,0)),0))</f>
        <v/>
      </c>
      <c r="T155" s="15">
        <f>IF($A155="","",SUM(M155:S155)+I155)</f>
        <v/>
      </c>
      <c r="U155" s="14">
        <f>IF($A155="","",IF(J155="","",J155*Parametros!$B$13))</f>
        <v/>
      </c>
      <c r="V155" s="14">
        <f>IF($A155="","",IF(J155="","",J155*Parametros!$B$14))</f>
        <v/>
      </c>
      <c r="W155" s="15">
        <f>IF($A155="","",IF(J155="","",J155-T155-U155-V155))</f>
        <v/>
      </c>
      <c r="X155" s="16">
        <f>IF($A155="","",IF(J155="","",W155/J155))</f>
        <v/>
      </c>
      <c r="Y155" s="14">
        <f>IF($A155="","",IF(Parametros!$B$15&gt;=1,"",T155/(1-Parametros!$B$15)))</f>
        <v/>
      </c>
      <c r="Z155" s="14">
        <f>IF($A155="","",IF(Parametros!$B$15+Parametros!$B$16&gt;=1,"",T155/(1-Parametros!$B$15-Parametros!$B$16)))</f>
        <v/>
      </c>
      <c r="AA155" s="17">
        <f>IF($A155="","",IF(J155="","Falta precio",IF(W155&lt;0,"PIERDE",IF(X155&lt;Parametros!$B$16,"BAJO META","OK"))))</f>
        <v/>
      </c>
      <c r="AB155" s="18">
        <f>IF($A155="","",IF(OR(C155="",D155=""),"Falta tela o consumo. ","")&amp;IF(AND(C155&lt;&gt;"",M155=0),"Tela sin precio. ","")&amp;IF(S155=0,"Confección sin valor. ","")&amp;IF(J155="","Falta precio de venta. ",""))</f>
        <v/>
      </c>
    </row>
    <row r="156">
      <c r="A156" s="9" t="n"/>
      <c r="B156" s="9" t="n"/>
      <c r="C156" s="9" t="n"/>
      <c r="D156" s="10" t="n"/>
      <c r="E156" s="11" t="n"/>
      <c r="F156" s="11" t="n"/>
      <c r="G156" s="9" t="n"/>
      <c r="H156" s="9" t="n"/>
      <c r="I156" s="12" t="n"/>
      <c r="J156" s="12" t="n"/>
      <c r="K156" s="9" t="n"/>
      <c r="L156" s="13" t="n"/>
      <c r="M156" s="14">
        <f>IF($A156="","",IFERROR(D156*INDEX(Insumos!$D$6:$D$98,MATCH(C156,Insumos!$A$6:$A$98,0)),0))</f>
        <v/>
      </c>
      <c r="N156" s="14">
        <f>IF($A156="","",E156*Parametros!$H$21)</f>
        <v/>
      </c>
      <c r="O156" s="14">
        <f>IF($A156="","",F156*Parametros!$H$22)</f>
        <v/>
      </c>
      <c r="P156" s="14">
        <f>IF($A156="","",F156*Parametros!$B$17)</f>
        <v/>
      </c>
      <c r="Q156" s="14">
        <f>IF($A156="","",D156*Parametros!$H$23)</f>
        <v/>
      </c>
      <c r="R156" s="14">
        <f>IF($A156="","",H156*Parametros!$H$24)</f>
        <v/>
      </c>
      <c r="S156" s="14">
        <f>IF($A156="","",IFERROR(INDEX(Confeccion!$B$5:$B$80,MATCH(G156,Confeccion!$A$5:$A$80,0)),0))</f>
        <v/>
      </c>
      <c r="T156" s="15">
        <f>IF($A156="","",SUM(M156:S156)+I156)</f>
        <v/>
      </c>
      <c r="U156" s="14">
        <f>IF($A156="","",IF(J156="","",J156*Parametros!$B$13))</f>
        <v/>
      </c>
      <c r="V156" s="14">
        <f>IF($A156="","",IF(J156="","",J156*Parametros!$B$14))</f>
        <v/>
      </c>
      <c r="W156" s="15">
        <f>IF($A156="","",IF(J156="","",J156-T156-U156-V156))</f>
        <v/>
      </c>
      <c r="X156" s="16">
        <f>IF($A156="","",IF(J156="","",W156/J156))</f>
        <v/>
      </c>
      <c r="Y156" s="14">
        <f>IF($A156="","",IF(Parametros!$B$15&gt;=1,"",T156/(1-Parametros!$B$15)))</f>
        <v/>
      </c>
      <c r="Z156" s="14">
        <f>IF($A156="","",IF(Parametros!$B$15+Parametros!$B$16&gt;=1,"",T156/(1-Parametros!$B$15-Parametros!$B$16)))</f>
        <v/>
      </c>
      <c r="AA156" s="17">
        <f>IF($A156="","",IF(J156="","Falta precio",IF(W156&lt;0,"PIERDE",IF(X156&lt;Parametros!$B$16,"BAJO META","OK"))))</f>
        <v/>
      </c>
      <c r="AB156" s="18">
        <f>IF($A156="","",IF(OR(C156="",D156=""),"Falta tela o consumo. ","")&amp;IF(AND(C156&lt;&gt;"",M156=0),"Tela sin precio. ","")&amp;IF(S156=0,"Confección sin valor. ","")&amp;IF(J156="","Falta precio de venta. ",""))</f>
        <v/>
      </c>
    </row>
    <row r="157">
      <c r="A157" s="9" t="n"/>
      <c r="B157" s="9" t="n"/>
      <c r="C157" s="9" t="n"/>
      <c r="D157" s="10" t="n"/>
      <c r="E157" s="11" t="n"/>
      <c r="F157" s="11" t="n"/>
      <c r="G157" s="9" t="n"/>
      <c r="H157" s="9" t="n"/>
      <c r="I157" s="12" t="n"/>
      <c r="J157" s="12" t="n"/>
      <c r="K157" s="9" t="n"/>
      <c r="L157" s="13" t="n"/>
      <c r="M157" s="14">
        <f>IF($A157="","",IFERROR(D157*INDEX(Insumos!$D$6:$D$98,MATCH(C157,Insumos!$A$6:$A$98,0)),0))</f>
        <v/>
      </c>
      <c r="N157" s="14">
        <f>IF($A157="","",E157*Parametros!$H$21)</f>
        <v/>
      </c>
      <c r="O157" s="14">
        <f>IF($A157="","",F157*Parametros!$H$22)</f>
        <v/>
      </c>
      <c r="P157" s="14">
        <f>IF($A157="","",F157*Parametros!$B$17)</f>
        <v/>
      </c>
      <c r="Q157" s="14">
        <f>IF($A157="","",D157*Parametros!$H$23)</f>
        <v/>
      </c>
      <c r="R157" s="14">
        <f>IF($A157="","",H157*Parametros!$H$24)</f>
        <v/>
      </c>
      <c r="S157" s="14">
        <f>IF($A157="","",IFERROR(INDEX(Confeccion!$B$5:$B$80,MATCH(G157,Confeccion!$A$5:$A$80,0)),0))</f>
        <v/>
      </c>
      <c r="T157" s="15">
        <f>IF($A157="","",SUM(M157:S157)+I157)</f>
        <v/>
      </c>
      <c r="U157" s="14">
        <f>IF($A157="","",IF(J157="","",J157*Parametros!$B$13))</f>
        <v/>
      </c>
      <c r="V157" s="14">
        <f>IF($A157="","",IF(J157="","",J157*Parametros!$B$14))</f>
        <v/>
      </c>
      <c r="W157" s="15">
        <f>IF($A157="","",IF(J157="","",J157-T157-U157-V157))</f>
        <v/>
      </c>
      <c r="X157" s="16">
        <f>IF($A157="","",IF(J157="","",W157/J157))</f>
        <v/>
      </c>
      <c r="Y157" s="14">
        <f>IF($A157="","",IF(Parametros!$B$15&gt;=1,"",T157/(1-Parametros!$B$15)))</f>
        <v/>
      </c>
      <c r="Z157" s="14">
        <f>IF($A157="","",IF(Parametros!$B$15+Parametros!$B$16&gt;=1,"",T157/(1-Parametros!$B$15-Parametros!$B$16)))</f>
        <v/>
      </c>
      <c r="AA157" s="17">
        <f>IF($A157="","",IF(J157="","Falta precio",IF(W157&lt;0,"PIERDE",IF(X157&lt;Parametros!$B$16,"BAJO META","OK"))))</f>
        <v/>
      </c>
      <c r="AB157" s="18">
        <f>IF($A157="","",IF(OR(C157="",D157=""),"Falta tela o consumo. ","")&amp;IF(AND(C157&lt;&gt;"",M157=0),"Tela sin precio. ","")&amp;IF(S157=0,"Confección sin valor. ","")&amp;IF(J157="","Falta precio de venta. ",""))</f>
        <v/>
      </c>
    </row>
    <row r="158">
      <c r="A158" s="9" t="n"/>
      <c r="B158" s="9" t="n"/>
      <c r="C158" s="9" t="n"/>
      <c r="D158" s="10" t="n"/>
      <c r="E158" s="11" t="n"/>
      <c r="F158" s="11" t="n"/>
      <c r="G158" s="9" t="n"/>
      <c r="H158" s="9" t="n"/>
      <c r="I158" s="12" t="n"/>
      <c r="J158" s="12" t="n"/>
      <c r="K158" s="9" t="n"/>
      <c r="L158" s="13" t="n"/>
      <c r="M158" s="14">
        <f>IF($A158="","",IFERROR(D158*INDEX(Insumos!$D$6:$D$98,MATCH(C158,Insumos!$A$6:$A$98,0)),0))</f>
        <v/>
      </c>
      <c r="N158" s="14">
        <f>IF($A158="","",E158*Parametros!$H$21)</f>
        <v/>
      </c>
      <c r="O158" s="14">
        <f>IF($A158="","",F158*Parametros!$H$22)</f>
        <v/>
      </c>
      <c r="P158" s="14">
        <f>IF($A158="","",F158*Parametros!$B$17)</f>
        <v/>
      </c>
      <c r="Q158" s="14">
        <f>IF($A158="","",D158*Parametros!$H$23)</f>
        <v/>
      </c>
      <c r="R158" s="14">
        <f>IF($A158="","",H158*Parametros!$H$24)</f>
        <v/>
      </c>
      <c r="S158" s="14">
        <f>IF($A158="","",IFERROR(INDEX(Confeccion!$B$5:$B$80,MATCH(G158,Confeccion!$A$5:$A$80,0)),0))</f>
        <v/>
      </c>
      <c r="T158" s="15">
        <f>IF($A158="","",SUM(M158:S158)+I158)</f>
        <v/>
      </c>
      <c r="U158" s="14">
        <f>IF($A158="","",IF(J158="","",J158*Parametros!$B$13))</f>
        <v/>
      </c>
      <c r="V158" s="14">
        <f>IF($A158="","",IF(J158="","",J158*Parametros!$B$14))</f>
        <v/>
      </c>
      <c r="W158" s="15">
        <f>IF($A158="","",IF(J158="","",J158-T158-U158-V158))</f>
        <v/>
      </c>
      <c r="X158" s="16">
        <f>IF($A158="","",IF(J158="","",W158/J158))</f>
        <v/>
      </c>
      <c r="Y158" s="14">
        <f>IF($A158="","",IF(Parametros!$B$15&gt;=1,"",T158/(1-Parametros!$B$15)))</f>
        <v/>
      </c>
      <c r="Z158" s="14">
        <f>IF($A158="","",IF(Parametros!$B$15+Parametros!$B$16&gt;=1,"",T158/(1-Parametros!$B$15-Parametros!$B$16)))</f>
        <v/>
      </c>
      <c r="AA158" s="17">
        <f>IF($A158="","",IF(J158="","Falta precio",IF(W158&lt;0,"PIERDE",IF(X158&lt;Parametros!$B$16,"BAJO META","OK"))))</f>
        <v/>
      </c>
      <c r="AB158" s="18">
        <f>IF($A158="","",IF(OR(C158="",D158=""),"Falta tela o consumo. ","")&amp;IF(AND(C158&lt;&gt;"",M158=0),"Tela sin precio. ","")&amp;IF(S158=0,"Confección sin valor. ","")&amp;IF(J158="","Falta precio de venta. ",""))</f>
        <v/>
      </c>
    </row>
    <row r="159">
      <c r="A159" s="9" t="n"/>
      <c r="B159" s="9" t="n"/>
      <c r="C159" s="9" t="n"/>
      <c r="D159" s="10" t="n"/>
      <c r="E159" s="11" t="n"/>
      <c r="F159" s="11" t="n"/>
      <c r="G159" s="9" t="n"/>
      <c r="H159" s="9" t="n"/>
      <c r="I159" s="12" t="n"/>
      <c r="J159" s="12" t="n"/>
      <c r="K159" s="9" t="n"/>
      <c r="L159" s="13" t="n"/>
      <c r="M159" s="14">
        <f>IF($A159="","",IFERROR(D159*INDEX(Insumos!$D$6:$D$98,MATCH(C159,Insumos!$A$6:$A$98,0)),0))</f>
        <v/>
      </c>
      <c r="N159" s="14">
        <f>IF($A159="","",E159*Parametros!$H$21)</f>
        <v/>
      </c>
      <c r="O159" s="14">
        <f>IF($A159="","",F159*Parametros!$H$22)</f>
        <v/>
      </c>
      <c r="P159" s="14">
        <f>IF($A159="","",F159*Parametros!$B$17)</f>
        <v/>
      </c>
      <c r="Q159" s="14">
        <f>IF($A159="","",D159*Parametros!$H$23)</f>
        <v/>
      </c>
      <c r="R159" s="14">
        <f>IF($A159="","",H159*Parametros!$H$24)</f>
        <v/>
      </c>
      <c r="S159" s="14">
        <f>IF($A159="","",IFERROR(INDEX(Confeccion!$B$5:$B$80,MATCH(G159,Confeccion!$A$5:$A$80,0)),0))</f>
        <v/>
      </c>
      <c r="T159" s="15">
        <f>IF($A159="","",SUM(M159:S159)+I159)</f>
        <v/>
      </c>
      <c r="U159" s="14">
        <f>IF($A159="","",IF(J159="","",J159*Parametros!$B$13))</f>
        <v/>
      </c>
      <c r="V159" s="14">
        <f>IF($A159="","",IF(J159="","",J159*Parametros!$B$14))</f>
        <v/>
      </c>
      <c r="W159" s="15">
        <f>IF($A159="","",IF(J159="","",J159-T159-U159-V159))</f>
        <v/>
      </c>
      <c r="X159" s="16">
        <f>IF($A159="","",IF(J159="","",W159/J159))</f>
        <v/>
      </c>
      <c r="Y159" s="14">
        <f>IF($A159="","",IF(Parametros!$B$15&gt;=1,"",T159/(1-Parametros!$B$15)))</f>
        <v/>
      </c>
      <c r="Z159" s="14">
        <f>IF($A159="","",IF(Parametros!$B$15+Parametros!$B$16&gt;=1,"",T159/(1-Parametros!$B$15-Parametros!$B$16)))</f>
        <v/>
      </c>
      <c r="AA159" s="17">
        <f>IF($A159="","",IF(J159="","Falta precio",IF(W159&lt;0,"PIERDE",IF(X159&lt;Parametros!$B$16,"BAJO META","OK"))))</f>
        <v/>
      </c>
      <c r="AB159" s="18">
        <f>IF($A159="","",IF(OR(C159="",D159=""),"Falta tela o consumo. ","")&amp;IF(AND(C159&lt;&gt;"",M159=0),"Tela sin precio. ","")&amp;IF(S159=0,"Confección sin valor. ","")&amp;IF(J159="","Falta precio de venta. ",""))</f>
        <v/>
      </c>
    </row>
    <row r="160">
      <c r="A160" s="9" t="n"/>
      <c r="B160" s="9" t="n"/>
      <c r="C160" s="9" t="n"/>
      <c r="D160" s="10" t="n"/>
      <c r="E160" s="11" t="n"/>
      <c r="F160" s="11" t="n"/>
      <c r="G160" s="9" t="n"/>
      <c r="H160" s="9" t="n"/>
      <c r="I160" s="12" t="n"/>
      <c r="J160" s="12" t="n"/>
      <c r="K160" s="9" t="n"/>
      <c r="L160" s="13" t="n"/>
      <c r="M160" s="14">
        <f>IF($A160="","",IFERROR(D160*INDEX(Insumos!$D$6:$D$98,MATCH(C160,Insumos!$A$6:$A$98,0)),0))</f>
        <v/>
      </c>
      <c r="N160" s="14">
        <f>IF($A160="","",E160*Parametros!$H$21)</f>
        <v/>
      </c>
      <c r="O160" s="14">
        <f>IF($A160="","",F160*Parametros!$H$22)</f>
        <v/>
      </c>
      <c r="P160" s="14">
        <f>IF($A160="","",F160*Parametros!$B$17)</f>
        <v/>
      </c>
      <c r="Q160" s="14">
        <f>IF($A160="","",D160*Parametros!$H$23)</f>
        <v/>
      </c>
      <c r="R160" s="14">
        <f>IF($A160="","",H160*Parametros!$H$24)</f>
        <v/>
      </c>
      <c r="S160" s="14">
        <f>IF($A160="","",IFERROR(INDEX(Confeccion!$B$5:$B$80,MATCH(G160,Confeccion!$A$5:$A$80,0)),0))</f>
        <v/>
      </c>
      <c r="T160" s="15">
        <f>IF($A160="","",SUM(M160:S160)+I160)</f>
        <v/>
      </c>
      <c r="U160" s="14">
        <f>IF($A160="","",IF(J160="","",J160*Parametros!$B$13))</f>
        <v/>
      </c>
      <c r="V160" s="14">
        <f>IF($A160="","",IF(J160="","",J160*Parametros!$B$14))</f>
        <v/>
      </c>
      <c r="W160" s="15">
        <f>IF($A160="","",IF(J160="","",J160-T160-U160-V160))</f>
        <v/>
      </c>
      <c r="X160" s="16">
        <f>IF($A160="","",IF(J160="","",W160/J160))</f>
        <v/>
      </c>
      <c r="Y160" s="14">
        <f>IF($A160="","",IF(Parametros!$B$15&gt;=1,"",T160/(1-Parametros!$B$15)))</f>
        <v/>
      </c>
      <c r="Z160" s="14">
        <f>IF($A160="","",IF(Parametros!$B$15+Parametros!$B$16&gt;=1,"",T160/(1-Parametros!$B$15-Parametros!$B$16)))</f>
        <v/>
      </c>
      <c r="AA160" s="17">
        <f>IF($A160="","",IF(J160="","Falta precio",IF(W160&lt;0,"PIERDE",IF(X160&lt;Parametros!$B$16,"BAJO META","OK"))))</f>
        <v/>
      </c>
      <c r="AB160" s="18">
        <f>IF($A160="","",IF(OR(C160="",D160=""),"Falta tela o consumo. ","")&amp;IF(AND(C160&lt;&gt;"",M160=0),"Tela sin precio. ","")&amp;IF(S160=0,"Confección sin valor. ","")&amp;IF(J160="","Falta precio de venta. ",""))</f>
        <v/>
      </c>
    </row>
    <row r="161">
      <c r="A161" s="9" t="n"/>
      <c r="B161" s="9" t="n"/>
      <c r="C161" s="9" t="n"/>
      <c r="D161" s="10" t="n"/>
      <c r="E161" s="11" t="n"/>
      <c r="F161" s="11" t="n"/>
      <c r="G161" s="9" t="n"/>
      <c r="H161" s="9" t="n"/>
      <c r="I161" s="12" t="n"/>
      <c r="J161" s="12" t="n"/>
      <c r="K161" s="9" t="n"/>
      <c r="L161" s="13" t="n"/>
      <c r="M161" s="14">
        <f>IF($A161="","",IFERROR(D161*INDEX(Insumos!$D$6:$D$98,MATCH(C161,Insumos!$A$6:$A$98,0)),0))</f>
        <v/>
      </c>
      <c r="N161" s="14">
        <f>IF($A161="","",E161*Parametros!$H$21)</f>
        <v/>
      </c>
      <c r="O161" s="14">
        <f>IF($A161="","",F161*Parametros!$H$22)</f>
        <v/>
      </c>
      <c r="P161" s="14">
        <f>IF($A161="","",F161*Parametros!$B$17)</f>
        <v/>
      </c>
      <c r="Q161" s="14">
        <f>IF($A161="","",D161*Parametros!$H$23)</f>
        <v/>
      </c>
      <c r="R161" s="14">
        <f>IF($A161="","",H161*Parametros!$H$24)</f>
        <v/>
      </c>
      <c r="S161" s="14">
        <f>IF($A161="","",IFERROR(INDEX(Confeccion!$B$5:$B$80,MATCH(G161,Confeccion!$A$5:$A$80,0)),0))</f>
        <v/>
      </c>
      <c r="T161" s="15">
        <f>IF($A161="","",SUM(M161:S161)+I161)</f>
        <v/>
      </c>
      <c r="U161" s="14">
        <f>IF($A161="","",IF(J161="","",J161*Parametros!$B$13))</f>
        <v/>
      </c>
      <c r="V161" s="14">
        <f>IF($A161="","",IF(J161="","",J161*Parametros!$B$14))</f>
        <v/>
      </c>
      <c r="W161" s="15">
        <f>IF($A161="","",IF(J161="","",J161-T161-U161-V161))</f>
        <v/>
      </c>
      <c r="X161" s="16">
        <f>IF($A161="","",IF(J161="","",W161/J161))</f>
        <v/>
      </c>
      <c r="Y161" s="14">
        <f>IF($A161="","",IF(Parametros!$B$15&gt;=1,"",T161/(1-Parametros!$B$15)))</f>
        <v/>
      </c>
      <c r="Z161" s="14">
        <f>IF($A161="","",IF(Parametros!$B$15+Parametros!$B$16&gt;=1,"",T161/(1-Parametros!$B$15-Parametros!$B$16)))</f>
        <v/>
      </c>
      <c r="AA161" s="17">
        <f>IF($A161="","",IF(J161="","Falta precio",IF(W161&lt;0,"PIERDE",IF(X161&lt;Parametros!$B$16,"BAJO META","OK"))))</f>
        <v/>
      </c>
      <c r="AB161" s="18">
        <f>IF($A161="","",IF(OR(C161="",D161=""),"Falta tela o consumo. ","")&amp;IF(AND(C161&lt;&gt;"",M161=0),"Tela sin precio. ","")&amp;IF(S161=0,"Confección sin valor. ","")&amp;IF(J161="","Falta precio de venta. ",""))</f>
        <v/>
      </c>
    </row>
    <row r="162">
      <c r="A162" s="9" t="n"/>
      <c r="B162" s="9" t="n"/>
      <c r="C162" s="9" t="n"/>
      <c r="D162" s="10" t="n"/>
      <c r="E162" s="11" t="n"/>
      <c r="F162" s="11" t="n"/>
      <c r="G162" s="9" t="n"/>
      <c r="H162" s="9" t="n"/>
      <c r="I162" s="12" t="n"/>
      <c r="J162" s="12" t="n"/>
      <c r="K162" s="9" t="n"/>
      <c r="L162" s="13" t="n"/>
      <c r="M162" s="14">
        <f>IF($A162="","",IFERROR(D162*INDEX(Insumos!$D$6:$D$98,MATCH(C162,Insumos!$A$6:$A$98,0)),0))</f>
        <v/>
      </c>
      <c r="N162" s="14">
        <f>IF($A162="","",E162*Parametros!$H$21)</f>
        <v/>
      </c>
      <c r="O162" s="14">
        <f>IF($A162="","",F162*Parametros!$H$22)</f>
        <v/>
      </c>
      <c r="P162" s="14">
        <f>IF($A162="","",F162*Parametros!$B$17)</f>
        <v/>
      </c>
      <c r="Q162" s="14">
        <f>IF($A162="","",D162*Parametros!$H$23)</f>
        <v/>
      </c>
      <c r="R162" s="14">
        <f>IF($A162="","",H162*Parametros!$H$24)</f>
        <v/>
      </c>
      <c r="S162" s="14">
        <f>IF($A162="","",IFERROR(INDEX(Confeccion!$B$5:$B$80,MATCH(G162,Confeccion!$A$5:$A$80,0)),0))</f>
        <v/>
      </c>
      <c r="T162" s="15">
        <f>IF($A162="","",SUM(M162:S162)+I162)</f>
        <v/>
      </c>
      <c r="U162" s="14">
        <f>IF($A162="","",IF(J162="","",J162*Parametros!$B$13))</f>
        <v/>
      </c>
      <c r="V162" s="14">
        <f>IF($A162="","",IF(J162="","",J162*Parametros!$B$14))</f>
        <v/>
      </c>
      <c r="W162" s="15">
        <f>IF($A162="","",IF(J162="","",J162-T162-U162-V162))</f>
        <v/>
      </c>
      <c r="X162" s="16">
        <f>IF($A162="","",IF(J162="","",W162/J162))</f>
        <v/>
      </c>
      <c r="Y162" s="14">
        <f>IF($A162="","",IF(Parametros!$B$15&gt;=1,"",T162/(1-Parametros!$B$15)))</f>
        <v/>
      </c>
      <c r="Z162" s="14">
        <f>IF($A162="","",IF(Parametros!$B$15+Parametros!$B$16&gt;=1,"",T162/(1-Parametros!$B$15-Parametros!$B$16)))</f>
        <v/>
      </c>
      <c r="AA162" s="17">
        <f>IF($A162="","",IF(J162="","Falta precio",IF(W162&lt;0,"PIERDE",IF(X162&lt;Parametros!$B$16,"BAJO META","OK"))))</f>
        <v/>
      </c>
      <c r="AB162" s="18">
        <f>IF($A162="","",IF(OR(C162="",D162=""),"Falta tela o consumo. ","")&amp;IF(AND(C162&lt;&gt;"",M162=0),"Tela sin precio. ","")&amp;IF(S162=0,"Confección sin valor. ","")&amp;IF(J162="","Falta precio de venta. ",""))</f>
        <v/>
      </c>
    </row>
    <row r="163">
      <c r="A163" s="9" t="n"/>
      <c r="B163" s="9" t="n"/>
      <c r="C163" s="9" t="n"/>
      <c r="D163" s="10" t="n"/>
      <c r="E163" s="11" t="n"/>
      <c r="F163" s="11" t="n"/>
      <c r="G163" s="9" t="n"/>
      <c r="H163" s="9" t="n"/>
      <c r="I163" s="12" t="n"/>
      <c r="J163" s="12" t="n"/>
      <c r="K163" s="9" t="n"/>
      <c r="L163" s="13" t="n"/>
      <c r="M163" s="14">
        <f>IF($A163="","",IFERROR(D163*INDEX(Insumos!$D$6:$D$98,MATCH(C163,Insumos!$A$6:$A$98,0)),0))</f>
        <v/>
      </c>
      <c r="N163" s="14">
        <f>IF($A163="","",E163*Parametros!$H$21)</f>
        <v/>
      </c>
      <c r="O163" s="14">
        <f>IF($A163="","",F163*Parametros!$H$22)</f>
        <v/>
      </c>
      <c r="P163" s="14">
        <f>IF($A163="","",F163*Parametros!$B$17)</f>
        <v/>
      </c>
      <c r="Q163" s="14">
        <f>IF($A163="","",D163*Parametros!$H$23)</f>
        <v/>
      </c>
      <c r="R163" s="14">
        <f>IF($A163="","",H163*Parametros!$H$24)</f>
        <v/>
      </c>
      <c r="S163" s="14">
        <f>IF($A163="","",IFERROR(INDEX(Confeccion!$B$5:$B$80,MATCH(G163,Confeccion!$A$5:$A$80,0)),0))</f>
        <v/>
      </c>
      <c r="T163" s="15">
        <f>IF($A163="","",SUM(M163:S163)+I163)</f>
        <v/>
      </c>
      <c r="U163" s="14">
        <f>IF($A163="","",IF(J163="","",J163*Parametros!$B$13))</f>
        <v/>
      </c>
      <c r="V163" s="14">
        <f>IF($A163="","",IF(J163="","",J163*Parametros!$B$14))</f>
        <v/>
      </c>
      <c r="W163" s="15">
        <f>IF($A163="","",IF(J163="","",J163-T163-U163-V163))</f>
        <v/>
      </c>
      <c r="X163" s="16">
        <f>IF($A163="","",IF(J163="","",W163/J163))</f>
        <v/>
      </c>
      <c r="Y163" s="14">
        <f>IF($A163="","",IF(Parametros!$B$15&gt;=1,"",T163/(1-Parametros!$B$15)))</f>
        <v/>
      </c>
      <c r="Z163" s="14">
        <f>IF($A163="","",IF(Parametros!$B$15+Parametros!$B$16&gt;=1,"",T163/(1-Parametros!$B$15-Parametros!$B$16)))</f>
        <v/>
      </c>
      <c r="AA163" s="17">
        <f>IF($A163="","",IF(J163="","Falta precio",IF(W163&lt;0,"PIERDE",IF(X163&lt;Parametros!$B$16,"BAJO META","OK"))))</f>
        <v/>
      </c>
      <c r="AB163" s="18">
        <f>IF($A163="","",IF(OR(C163="",D163=""),"Falta tela o consumo. ","")&amp;IF(AND(C163&lt;&gt;"",M163=0),"Tela sin precio. ","")&amp;IF(S163=0,"Confección sin valor. ","")&amp;IF(J163="","Falta precio de venta. ",""))</f>
        <v/>
      </c>
    </row>
    <row r="164">
      <c r="A164" s="9" t="n"/>
      <c r="B164" s="9" t="n"/>
      <c r="C164" s="9" t="n"/>
      <c r="D164" s="10" t="n"/>
      <c r="E164" s="11" t="n"/>
      <c r="F164" s="11" t="n"/>
      <c r="G164" s="9" t="n"/>
      <c r="H164" s="9" t="n"/>
      <c r="I164" s="12" t="n"/>
      <c r="J164" s="12" t="n"/>
      <c r="K164" s="9" t="n"/>
      <c r="L164" s="13" t="n"/>
      <c r="M164" s="14">
        <f>IF($A164="","",IFERROR(D164*INDEX(Insumos!$D$6:$D$98,MATCH(C164,Insumos!$A$6:$A$98,0)),0))</f>
        <v/>
      </c>
      <c r="N164" s="14">
        <f>IF($A164="","",E164*Parametros!$H$21)</f>
        <v/>
      </c>
      <c r="O164" s="14">
        <f>IF($A164="","",F164*Parametros!$H$22)</f>
        <v/>
      </c>
      <c r="P164" s="14">
        <f>IF($A164="","",F164*Parametros!$B$17)</f>
        <v/>
      </c>
      <c r="Q164" s="14">
        <f>IF($A164="","",D164*Parametros!$H$23)</f>
        <v/>
      </c>
      <c r="R164" s="14">
        <f>IF($A164="","",H164*Parametros!$H$24)</f>
        <v/>
      </c>
      <c r="S164" s="14">
        <f>IF($A164="","",IFERROR(INDEX(Confeccion!$B$5:$B$80,MATCH(G164,Confeccion!$A$5:$A$80,0)),0))</f>
        <v/>
      </c>
      <c r="T164" s="15">
        <f>IF($A164="","",SUM(M164:S164)+I164)</f>
        <v/>
      </c>
      <c r="U164" s="14">
        <f>IF($A164="","",IF(J164="","",J164*Parametros!$B$13))</f>
        <v/>
      </c>
      <c r="V164" s="14">
        <f>IF($A164="","",IF(J164="","",J164*Parametros!$B$14))</f>
        <v/>
      </c>
      <c r="W164" s="15">
        <f>IF($A164="","",IF(J164="","",J164-T164-U164-V164))</f>
        <v/>
      </c>
      <c r="X164" s="16">
        <f>IF($A164="","",IF(J164="","",W164/J164))</f>
        <v/>
      </c>
      <c r="Y164" s="14">
        <f>IF($A164="","",IF(Parametros!$B$15&gt;=1,"",T164/(1-Parametros!$B$15)))</f>
        <v/>
      </c>
      <c r="Z164" s="14">
        <f>IF($A164="","",IF(Parametros!$B$15+Parametros!$B$16&gt;=1,"",T164/(1-Parametros!$B$15-Parametros!$B$16)))</f>
        <v/>
      </c>
      <c r="AA164" s="17">
        <f>IF($A164="","",IF(J164="","Falta precio",IF(W164&lt;0,"PIERDE",IF(X164&lt;Parametros!$B$16,"BAJO META","OK"))))</f>
        <v/>
      </c>
      <c r="AB164" s="18">
        <f>IF($A164="","",IF(OR(C164="",D164=""),"Falta tela o consumo. ","")&amp;IF(AND(C164&lt;&gt;"",M164=0),"Tela sin precio. ","")&amp;IF(S164=0,"Confección sin valor. ","")&amp;IF(J164="","Falta precio de venta. ",""))</f>
        <v/>
      </c>
    </row>
    <row r="165">
      <c r="A165" s="9" t="n"/>
      <c r="B165" s="9" t="n"/>
      <c r="C165" s="9" t="n"/>
      <c r="D165" s="10" t="n"/>
      <c r="E165" s="11" t="n"/>
      <c r="F165" s="11" t="n"/>
      <c r="G165" s="9" t="n"/>
      <c r="H165" s="9" t="n"/>
      <c r="I165" s="12" t="n"/>
      <c r="J165" s="12" t="n"/>
      <c r="K165" s="9" t="n"/>
      <c r="L165" s="13" t="n"/>
      <c r="M165" s="14">
        <f>IF($A165="","",IFERROR(D165*INDEX(Insumos!$D$6:$D$98,MATCH(C165,Insumos!$A$6:$A$98,0)),0))</f>
        <v/>
      </c>
      <c r="N165" s="14">
        <f>IF($A165="","",E165*Parametros!$H$21)</f>
        <v/>
      </c>
      <c r="O165" s="14">
        <f>IF($A165="","",F165*Parametros!$H$22)</f>
        <v/>
      </c>
      <c r="P165" s="14">
        <f>IF($A165="","",F165*Parametros!$B$17)</f>
        <v/>
      </c>
      <c r="Q165" s="14">
        <f>IF($A165="","",D165*Parametros!$H$23)</f>
        <v/>
      </c>
      <c r="R165" s="14">
        <f>IF($A165="","",H165*Parametros!$H$24)</f>
        <v/>
      </c>
      <c r="S165" s="14">
        <f>IF($A165="","",IFERROR(INDEX(Confeccion!$B$5:$B$80,MATCH(G165,Confeccion!$A$5:$A$80,0)),0))</f>
        <v/>
      </c>
      <c r="T165" s="15">
        <f>IF($A165="","",SUM(M165:S165)+I165)</f>
        <v/>
      </c>
      <c r="U165" s="14">
        <f>IF($A165="","",IF(J165="","",J165*Parametros!$B$13))</f>
        <v/>
      </c>
      <c r="V165" s="14">
        <f>IF($A165="","",IF(J165="","",J165*Parametros!$B$14))</f>
        <v/>
      </c>
      <c r="W165" s="15">
        <f>IF($A165="","",IF(J165="","",J165-T165-U165-V165))</f>
        <v/>
      </c>
      <c r="X165" s="16">
        <f>IF($A165="","",IF(J165="","",W165/J165))</f>
        <v/>
      </c>
      <c r="Y165" s="14">
        <f>IF($A165="","",IF(Parametros!$B$15&gt;=1,"",T165/(1-Parametros!$B$15)))</f>
        <v/>
      </c>
      <c r="Z165" s="14">
        <f>IF($A165="","",IF(Parametros!$B$15+Parametros!$B$16&gt;=1,"",T165/(1-Parametros!$B$15-Parametros!$B$16)))</f>
        <v/>
      </c>
      <c r="AA165" s="17">
        <f>IF($A165="","",IF(J165="","Falta precio",IF(W165&lt;0,"PIERDE",IF(X165&lt;Parametros!$B$16,"BAJO META","OK"))))</f>
        <v/>
      </c>
      <c r="AB165" s="18">
        <f>IF($A165="","",IF(OR(C165="",D165=""),"Falta tela o consumo. ","")&amp;IF(AND(C165&lt;&gt;"",M165=0),"Tela sin precio. ","")&amp;IF(S165=0,"Confección sin valor. ","")&amp;IF(J165="","Falta precio de venta. ",""))</f>
        <v/>
      </c>
    </row>
    <row r="166">
      <c r="A166" s="9" t="n"/>
      <c r="B166" s="9" t="n"/>
      <c r="C166" s="9" t="n"/>
      <c r="D166" s="10" t="n"/>
      <c r="E166" s="11" t="n"/>
      <c r="F166" s="11" t="n"/>
      <c r="G166" s="9" t="n"/>
      <c r="H166" s="9" t="n"/>
      <c r="I166" s="12" t="n"/>
      <c r="J166" s="12" t="n"/>
      <c r="K166" s="9" t="n"/>
      <c r="L166" s="13" t="n"/>
      <c r="M166" s="14">
        <f>IF($A166="","",IFERROR(D166*INDEX(Insumos!$D$6:$D$98,MATCH(C166,Insumos!$A$6:$A$98,0)),0))</f>
        <v/>
      </c>
      <c r="N166" s="14">
        <f>IF($A166="","",E166*Parametros!$H$21)</f>
        <v/>
      </c>
      <c r="O166" s="14">
        <f>IF($A166="","",F166*Parametros!$H$22)</f>
        <v/>
      </c>
      <c r="P166" s="14">
        <f>IF($A166="","",F166*Parametros!$B$17)</f>
        <v/>
      </c>
      <c r="Q166" s="14">
        <f>IF($A166="","",D166*Parametros!$H$23)</f>
        <v/>
      </c>
      <c r="R166" s="14">
        <f>IF($A166="","",H166*Parametros!$H$24)</f>
        <v/>
      </c>
      <c r="S166" s="14">
        <f>IF($A166="","",IFERROR(INDEX(Confeccion!$B$5:$B$80,MATCH(G166,Confeccion!$A$5:$A$80,0)),0))</f>
        <v/>
      </c>
      <c r="T166" s="15">
        <f>IF($A166="","",SUM(M166:S166)+I166)</f>
        <v/>
      </c>
      <c r="U166" s="14">
        <f>IF($A166="","",IF(J166="","",J166*Parametros!$B$13))</f>
        <v/>
      </c>
      <c r="V166" s="14">
        <f>IF($A166="","",IF(J166="","",J166*Parametros!$B$14))</f>
        <v/>
      </c>
      <c r="W166" s="15">
        <f>IF($A166="","",IF(J166="","",J166-T166-U166-V166))</f>
        <v/>
      </c>
      <c r="X166" s="16">
        <f>IF($A166="","",IF(J166="","",W166/J166))</f>
        <v/>
      </c>
      <c r="Y166" s="14">
        <f>IF($A166="","",IF(Parametros!$B$15&gt;=1,"",T166/(1-Parametros!$B$15)))</f>
        <v/>
      </c>
      <c r="Z166" s="14">
        <f>IF($A166="","",IF(Parametros!$B$15+Parametros!$B$16&gt;=1,"",T166/(1-Parametros!$B$15-Parametros!$B$16)))</f>
        <v/>
      </c>
      <c r="AA166" s="17">
        <f>IF($A166="","",IF(J166="","Falta precio",IF(W166&lt;0,"PIERDE",IF(X166&lt;Parametros!$B$16,"BAJO META","OK"))))</f>
        <v/>
      </c>
      <c r="AB166" s="18">
        <f>IF($A166="","",IF(OR(C166="",D166=""),"Falta tela o consumo. ","")&amp;IF(AND(C166&lt;&gt;"",M166=0),"Tela sin precio. ","")&amp;IF(S166=0,"Confección sin valor. ","")&amp;IF(J166="","Falta precio de venta. ",""))</f>
        <v/>
      </c>
    </row>
    <row r="167">
      <c r="A167" s="9" t="n"/>
      <c r="B167" s="9" t="n"/>
      <c r="C167" s="9" t="n"/>
      <c r="D167" s="10" t="n"/>
      <c r="E167" s="11" t="n"/>
      <c r="F167" s="11" t="n"/>
      <c r="G167" s="9" t="n"/>
      <c r="H167" s="9" t="n"/>
      <c r="I167" s="12" t="n"/>
      <c r="J167" s="12" t="n"/>
      <c r="K167" s="9" t="n"/>
      <c r="L167" s="13" t="n"/>
      <c r="M167" s="14">
        <f>IF($A167="","",IFERROR(D167*INDEX(Insumos!$D$6:$D$98,MATCH(C167,Insumos!$A$6:$A$98,0)),0))</f>
        <v/>
      </c>
      <c r="N167" s="14">
        <f>IF($A167="","",E167*Parametros!$H$21)</f>
        <v/>
      </c>
      <c r="O167" s="14">
        <f>IF($A167="","",F167*Parametros!$H$22)</f>
        <v/>
      </c>
      <c r="P167" s="14">
        <f>IF($A167="","",F167*Parametros!$B$17)</f>
        <v/>
      </c>
      <c r="Q167" s="14">
        <f>IF($A167="","",D167*Parametros!$H$23)</f>
        <v/>
      </c>
      <c r="R167" s="14">
        <f>IF($A167="","",H167*Parametros!$H$24)</f>
        <v/>
      </c>
      <c r="S167" s="14">
        <f>IF($A167="","",IFERROR(INDEX(Confeccion!$B$5:$B$80,MATCH(G167,Confeccion!$A$5:$A$80,0)),0))</f>
        <v/>
      </c>
      <c r="T167" s="15">
        <f>IF($A167="","",SUM(M167:S167)+I167)</f>
        <v/>
      </c>
      <c r="U167" s="14">
        <f>IF($A167="","",IF(J167="","",J167*Parametros!$B$13))</f>
        <v/>
      </c>
      <c r="V167" s="14">
        <f>IF($A167="","",IF(J167="","",J167*Parametros!$B$14))</f>
        <v/>
      </c>
      <c r="W167" s="15">
        <f>IF($A167="","",IF(J167="","",J167-T167-U167-V167))</f>
        <v/>
      </c>
      <c r="X167" s="16">
        <f>IF($A167="","",IF(J167="","",W167/J167))</f>
        <v/>
      </c>
      <c r="Y167" s="14">
        <f>IF($A167="","",IF(Parametros!$B$15&gt;=1,"",T167/(1-Parametros!$B$15)))</f>
        <v/>
      </c>
      <c r="Z167" s="14">
        <f>IF($A167="","",IF(Parametros!$B$15+Parametros!$B$16&gt;=1,"",T167/(1-Parametros!$B$15-Parametros!$B$16)))</f>
        <v/>
      </c>
      <c r="AA167" s="17">
        <f>IF($A167="","",IF(J167="","Falta precio",IF(W167&lt;0,"PIERDE",IF(X167&lt;Parametros!$B$16,"BAJO META","OK"))))</f>
        <v/>
      </c>
      <c r="AB167" s="18">
        <f>IF($A167="","",IF(OR(C167="",D167=""),"Falta tela o consumo. ","")&amp;IF(AND(C167&lt;&gt;"",M167=0),"Tela sin precio. ","")&amp;IF(S167=0,"Confección sin valor. ","")&amp;IF(J167="","Falta precio de venta. ",""))</f>
        <v/>
      </c>
    </row>
    <row r="168">
      <c r="A168" s="9" t="n"/>
      <c r="B168" s="9" t="n"/>
      <c r="C168" s="9" t="n"/>
      <c r="D168" s="10" t="n"/>
      <c r="E168" s="11" t="n"/>
      <c r="F168" s="11" t="n"/>
      <c r="G168" s="9" t="n"/>
      <c r="H168" s="9" t="n"/>
      <c r="I168" s="12" t="n"/>
      <c r="J168" s="12" t="n"/>
      <c r="K168" s="9" t="n"/>
      <c r="L168" s="13" t="n"/>
      <c r="M168" s="14">
        <f>IF($A168="","",IFERROR(D168*INDEX(Insumos!$D$6:$D$98,MATCH(C168,Insumos!$A$6:$A$98,0)),0))</f>
        <v/>
      </c>
      <c r="N168" s="14">
        <f>IF($A168="","",E168*Parametros!$H$21)</f>
        <v/>
      </c>
      <c r="O168" s="14">
        <f>IF($A168="","",F168*Parametros!$H$22)</f>
        <v/>
      </c>
      <c r="P168" s="14">
        <f>IF($A168="","",F168*Parametros!$B$17)</f>
        <v/>
      </c>
      <c r="Q168" s="14">
        <f>IF($A168="","",D168*Parametros!$H$23)</f>
        <v/>
      </c>
      <c r="R168" s="14">
        <f>IF($A168="","",H168*Parametros!$H$24)</f>
        <v/>
      </c>
      <c r="S168" s="14">
        <f>IF($A168="","",IFERROR(INDEX(Confeccion!$B$5:$B$80,MATCH(G168,Confeccion!$A$5:$A$80,0)),0))</f>
        <v/>
      </c>
      <c r="T168" s="15">
        <f>IF($A168="","",SUM(M168:S168)+I168)</f>
        <v/>
      </c>
      <c r="U168" s="14">
        <f>IF($A168="","",IF(J168="","",J168*Parametros!$B$13))</f>
        <v/>
      </c>
      <c r="V168" s="14">
        <f>IF($A168="","",IF(J168="","",J168*Parametros!$B$14))</f>
        <v/>
      </c>
      <c r="W168" s="15">
        <f>IF($A168="","",IF(J168="","",J168-T168-U168-V168))</f>
        <v/>
      </c>
      <c r="X168" s="16">
        <f>IF($A168="","",IF(J168="","",W168/J168))</f>
        <v/>
      </c>
      <c r="Y168" s="14">
        <f>IF($A168="","",IF(Parametros!$B$15&gt;=1,"",T168/(1-Parametros!$B$15)))</f>
        <v/>
      </c>
      <c r="Z168" s="14">
        <f>IF($A168="","",IF(Parametros!$B$15+Parametros!$B$16&gt;=1,"",T168/(1-Parametros!$B$15-Parametros!$B$16)))</f>
        <v/>
      </c>
      <c r="AA168" s="17">
        <f>IF($A168="","",IF(J168="","Falta precio",IF(W168&lt;0,"PIERDE",IF(X168&lt;Parametros!$B$16,"BAJO META","OK"))))</f>
        <v/>
      </c>
      <c r="AB168" s="18">
        <f>IF($A168="","",IF(OR(C168="",D168=""),"Falta tela o consumo. ","")&amp;IF(AND(C168&lt;&gt;"",M168=0),"Tela sin precio. ","")&amp;IF(S168=0,"Confección sin valor. ","")&amp;IF(J168="","Falta precio de venta. ",""))</f>
        <v/>
      </c>
    </row>
    <row r="169">
      <c r="A169" s="9" t="n"/>
      <c r="B169" s="9" t="n"/>
      <c r="C169" s="9" t="n"/>
      <c r="D169" s="10" t="n"/>
      <c r="E169" s="11" t="n"/>
      <c r="F169" s="11" t="n"/>
      <c r="G169" s="9" t="n"/>
      <c r="H169" s="9" t="n"/>
      <c r="I169" s="12" t="n"/>
      <c r="J169" s="12" t="n"/>
      <c r="K169" s="9" t="n"/>
      <c r="L169" s="13" t="n"/>
      <c r="M169" s="14">
        <f>IF($A169="","",IFERROR(D169*INDEX(Insumos!$D$6:$D$98,MATCH(C169,Insumos!$A$6:$A$98,0)),0))</f>
        <v/>
      </c>
      <c r="N169" s="14">
        <f>IF($A169="","",E169*Parametros!$H$21)</f>
        <v/>
      </c>
      <c r="O169" s="14">
        <f>IF($A169="","",F169*Parametros!$H$22)</f>
        <v/>
      </c>
      <c r="P169" s="14">
        <f>IF($A169="","",F169*Parametros!$B$17)</f>
        <v/>
      </c>
      <c r="Q169" s="14">
        <f>IF($A169="","",D169*Parametros!$H$23)</f>
        <v/>
      </c>
      <c r="R169" s="14">
        <f>IF($A169="","",H169*Parametros!$H$24)</f>
        <v/>
      </c>
      <c r="S169" s="14">
        <f>IF($A169="","",IFERROR(INDEX(Confeccion!$B$5:$B$80,MATCH(G169,Confeccion!$A$5:$A$80,0)),0))</f>
        <v/>
      </c>
      <c r="T169" s="15">
        <f>IF($A169="","",SUM(M169:S169)+I169)</f>
        <v/>
      </c>
      <c r="U169" s="14">
        <f>IF($A169="","",IF(J169="","",J169*Parametros!$B$13))</f>
        <v/>
      </c>
      <c r="V169" s="14">
        <f>IF($A169="","",IF(J169="","",J169*Parametros!$B$14))</f>
        <v/>
      </c>
      <c r="W169" s="15">
        <f>IF($A169="","",IF(J169="","",J169-T169-U169-V169))</f>
        <v/>
      </c>
      <c r="X169" s="16">
        <f>IF($A169="","",IF(J169="","",W169/J169))</f>
        <v/>
      </c>
      <c r="Y169" s="14">
        <f>IF($A169="","",IF(Parametros!$B$15&gt;=1,"",T169/(1-Parametros!$B$15)))</f>
        <v/>
      </c>
      <c r="Z169" s="14">
        <f>IF($A169="","",IF(Parametros!$B$15+Parametros!$B$16&gt;=1,"",T169/(1-Parametros!$B$15-Parametros!$B$16)))</f>
        <v/>
      </c>
      <c r="AA169" s="17">
        <f>IF($A169="","",IF(J169="","Falta precio",IF(W169&lt;0,"PIERDE",IF(X169&lt;Parametros!$B$16,"BAJO META","OK"))))</f>
        <v/>
      </c>
      <c r="AB169" s="18">
        <f>IF($A169="","",IF(OR(C169="",D169=""),"Falta tela o consumo. ","")&amp;IF(AND(C169&lt;&gt;"",M169=0),"Tela sin precio. ","")&amp;IF(S169=0,"Confección sin valor. ","")&amp;IF(J169="","Falta precio de venta. ",""))</f>
        <v/>
      </c>
    </row>
    <row r="170">
      <c r="A170" s="9" t="n"/>
      <c r="B170" s="9" t="n"/>
      <c r="C170" s="9" t="n"/>
      <c r="D170" s="10" t="n"/>
      <c r="E170" s="11" t="n"/>
      <c r="F170" s="11" t="n"/>
      <c r="G170" s="9" t="n"/>
      <c r="H170" s="9" t="n"/>
      <c r="I170" s="12" t="n"/>
      <c r="J170" s="12" t="n"/>
      <c r="K170" s="9" t="n"/>
      <c r="L170" s="13" t="n"/>
      <c r="M170" s="14">
        <f>IF($A170="","",IFERROR(D170*INDEX(Insumos!$D$6:$D$98,MATCH(C170,Insumos!$A$6:$A$98,0)),0))</f>
        <v/>
      </c>
      <c r="N170" s="14">
        <f>IF($A170="","",E170*Parametros!$H$21)</f>
        <v/>
      </c>
      <c r="O170" s="14">
        <f>IF($A170="","",F170*Parametros!$H$22)</f>
        <v/>
      </c>
      <c r="P170" s="14">
        <f>IF($A170="","",F170*Parametros!$B$17)</f>
        <v/>
      </c>
      <c r="Q170" s="14">
        <f>IF($A170="","",D170*Parametros!$H$23)</f>
        <v/>
      </c>
      <c r="R170" s="14">
        <f>IF($A170="","",H170*Parametros!$H$24)</f>
        <v/>
      </c>
      <c r="S170" s="14">
        <f>IF($A170="","",IFERROR(INDEX(Confeccion!$B$5:$B$80,MATCH(G170,Confeccion!$A$5:$A$80,0)),0))</f>
        <v/>
      </c>
      <c r="T170" s="15">
        <f>IF($A170="","",SUM(M170:S170)+I170)</f>
        <v/>
      </c>
      <c r="U170" s="14">
        <f>IF($A170="","",IF(J170="","",J170*Parametros!$B$13))</f>
        <v/>
      </c>
      <c r="V170" s="14">
        <f>IF($A170="","",IF(J170="","",J170*Parametros!$B$14))</f>
        <v/>
      </c>
      <c r="W170" s="15">
        <f>IF($A170="","",IF(J170="","",J170-T170-U170-V170))</f>
        <v/>
      </c>
      <c r="X170" s="16">
        <f>IF($A170="","",IF(J170="","",W170/J170))</f>
        <v/>
      </c>
      <c r="Y170" s="14">
        <f>IF($A170="","",IF(Parametros!$B$15&gt;=1,"",T170/(1-Parametros!$B$15)))</f>
        <v/>
      </c>
      <c r="Z170" s="14">
        <f>IF($A170="","",IF(Parametros!$B$15+Parametros!$B$16&gt;=1,"",T170/(1-Parametros!$B$15-Parametros!$B$16)))</f>
        <v/>
      </c>
      <c r="AA170" s="17">
        <f>IF($A170="","",IF(J170="","Falta precio",IF(W170&lt;0,"PIERDE",IF(X170&lt;Parametros!$B$16,"BAJO META","OK"))))</f>
        <v/>
      </c>
      <c r="AB170" s="18">
        <f>IF($A170="","",IF(OR(C170="",D170=""),"Falta tela o consumo. ","")&amp;IF(AND(C170&lt;&gt;"",M170=0),"Tela sin precio. ","")&amp;IF(S170=0,"Confección sin valor. ","")&amp;IF(J170="","Falta precio de venta. ",""))</f>
        <v/>
      </c>
    </row>
    <row r="171">
      <c r="A171" s="9" t="n"/>
      <c r="B171" s="9" t="n"/>
      <c r="C171" s="9" t="n"/>
      <c r="D171" s="10" t="n"/>
      <c r="E171" s="11" t="n"/>
      <c r="F171" s="11" t="n"/>
      <c r="G171" s="9" t="n"/>
      <c r="H171" s="9" t="n"/>
      <c r="I171" s="12" t="n"/>
      <c r="J171" s="12" t="n"/>
      <c r="K171" s="9" t="n"/>
      <c r="L171" s="13" t="n"/>
      <c r="M171" s="14">
        <f>IF($A171="","",IFERROR(D171*INDEX(Insumos!$D$6:$D$98,MATCH(C171,Insumos!$A$6:$A$98,0)),0))</f>
        <v/>
      </c>
      <c r="N171" s="14">
        <f>IF($A171="","",E171*Parametros!$H$21)</f>
        <v/>
      </c>
      <c r="O171" s="14">
        <f>IF($A171="","",F171*Parametros!$H$22)</f>
        <v/>
      </c>
      <c r="P171" s="14">
        <f>IF($A171="","",F171*Parametros!$B$17)</f>
        <v/>
      </c>
      <c r="Q171" s="14">
        <f>IF($A171="","",D171*Parametros!$H$23)</f>
        <v/>
      </c>
      <c r="R171" s="14">
        <f>IF($A171="","",H171*Parametros!$H$24)</f>
        <v/>
      </c>
      <c r="S171" s="14">
        <f>IF($A171="","",IFERROR(INDEX(Confeccion!$B$5:$B$80,MATCH(G171,Confeccion!$A$5:$A$80,0)),0))</f>
        <v/>
      </c>
      <c r="T171" s="15">
        <f>IF($A171="","",SUM(M171:S171)+I171)</f>
        <v/>
      </c>
      <c r="U171" s="14">
        <f>IF($A171="","",IF(J171="","",J171*Parametros!$B$13))</f>
        <v/>
      </c>
      <c r="V171" s="14">
        <f>IF($A171="","",IF(J171="","",J171*Parametros!$B$14))</f>
        <v/>
      </c>
      <c r="W171" s="15">
        <f>IF($A171="","",IF(J171="","",J171-T171-U171-V171))</f>
        <v/>
      </c>
      <c r="X171" s="16">
        <f>IF($A171="","",IF(J171="","",W171/J171))</f>
        <v/>
      </c>
      <c r="Y171" s="14">
        <f>IF($A171="","",IF(Parametros!$B$15&gt;=1,"",T171/(1-Parametros!$B$15)))</f>
        <v/>
      </c>
      <c r="Z171" s="14">
        <f>IF($A171="","",IF(Parametros!$B$15+Parametros!$B$16&gt;=1,"",T171/(1-Parametros!$B$15-Parametros!$B$16)))</f>
        <v/>
      </c>
      <c r="AA171" s="17">
        <f>IF($A171="","",IF(J171="","Falta precio",IF(W171&lt;0,"PIERDE",IF(X171&lt;Parametros!$B$16,"BAJO META","OK"))))</f>
        <v/>
      </c>
      <c r="AB171" s="18">
        <f>IF($A171="","",IF(OR(C171="",D171=""),"Falta tela o consumo. ","")&amp;IF(AND(C171&lt;&gt;"",M171=0),"Tela sin precio. ","")&amp;IF(S171=0,"Confección sin valor. ","")&amp;IF(J171="","Falta precio de venta. ",""))</f>
        <v/>
      </c>
    </row>
    <row r="172">
      <c r="A172" s="9" t="n"/>
      <c r="B172" s="9" t="n"/>
      <c r="C172" s="9" t="n"/>
      <c r="D172" s="10" t="n"/>
      <c r="E172" s="11" t="n"/>
      <c r="F172" s="11" t="n"/>
      <c r="G172" s="9" t="n"/>
      <c r="H172" s="9" t="n"/>
      <c r="I172" s="12" t="n"/>
      <c r="J172" s="12" t="n"/>
      <c r="K172" s="9" t="n"/>
      <c r="L172" s="13" t="n"/>
      <c r="M172" s="14">
        <f>IF($A172="","",IFERROR(D172*INDEX(Insumos!$D$6:$D$98,MATCH(C172,Insumos!$A$6:$A$98,0)),0))</f>
        <v/>
      </c>
      <c r="N172" s="14">
        <f>IF($A172="","",E172*Parametros!$H$21)</f>
        <v/>
      </c>
      <c r="O172" s="14">
        <f>IF($A172="","",F172*Parametros!$H$22)</f>
        <v/>
      </c>
      <c r="P172" s="14">
        <f>IF($A172="","",F172*Parametros!$B$17)</f>
        <v/>
      </c>
      <c r="Q172" s="14">
        <f>IF($A172="","",D172*Parametros!$H$23)</f>
        <v/>
      </c>
      <c r="R172" s="14">
        <f>IF($A172="","",H172*Parametros!$H$24)</f>
        <v/>
      </c>
      <c r="S172" s="14">
        <f>IF($A172="","",IFERROR(INDEX(Confeccion!$B$5:$B$80,MATCH(G172,Confeccion!$A$5:$A$80,0)),0))</f>
        <v/>
      </c>
      <c r="T172" s="15">
        <f>IF($A172="","",SUM(M172:S172)+I172)</f>
        <v/>
      </c>
      <c r="U172" s="14">
        <f>IF($A172="","",IF(J172="","",J172*Parametros!$B$13))</f>
        <v/>
      </c>
      <c r="V172" s="14">
        <f>IF($A172="","",IF(J172="","",J172*Parametros!$B$14))</f>
        <v/>
      </c>
      <c r="W172" s="15">
        <f>IF($A172="","",IF(J172="","",J172-T172-U172-V172))</f>
        <v/>
      </c>
      <c r="X172" s="16">
        <f>IF($A172="","",IF(J172="","",W172/J172))</f>
        <v/>
      </c>
      <c r="Y172" s="14">
        <f>IF($A172="","",IF(Parametros!$B$15&gt;=1,"",T172/(1-Parametros!$B$15)))</f>
        <v/>
      </c>
      <c r="Z172" s="14">
        <f>IF($A172="","",IF(Parametros!$B$15+Parametros!$B$16&gt;=1,"",T172/(1-Parametros!$B$15-Parametros!$B$16)))</f>
        <v/>
      </c>
      <c r="AA172" s="17">
        <f>IF($A172="","",IF(J172="","Falta precio",IF(W172&lt;0,"PIERDE",IF(X172&lt;Parametros!$B$16,"BAJO META","OK"))))</f>
        <v/>
      </c>
      <c r="AB172" s="18">
        <f>IF($A172="","",IF(OR(C172="",D172=""),"Falta tela o consumo. ","")&amp;IF(AND(C172&lt;&gt;"",M172=0),"Tela sin precio. ","")&amp;IF(S172=0,"Confección sin valor. ","")&amp;IF(J172="","Falta precio de venta. ",""))</f>
        <v/>
      </c>
    </row>
    <row r="173">
      <c r="A173" s="9" t="n"/>
      <c r="B173" s="9" t="n"/>
      <c r="C173" s="9" t="n"/>
      <c r="D173" s="10" t="n"/>
      <c r="E173" s="11" t="n"/>
      <c r="F173" s="11" t="n"/>
      <c r="G173" s="9" t="n"/>
      <c r="H173" s="9" t="n"/>
      <c r="I173" s="12" t="n"/>
      <c r="J173" s="12" t="n"/>
      <c r="K173" s="9" t="n"/>
      <c r="L173" s="13" t="n"/>
      <c r="M173" s="14">
        <f>IF($A173="","",IFERROR(D173*INDEX(Insumos!$D$6:$D$98,MATCH(C173,Insumos!$A$6:$A$98,0)),0))</f>
        <v/>
      </c>
      <c r="N173" s="14">
        <f>IF($A173="","",E173*Parametros!$H$21)</f>
        <v/>
      </c>
      <c r="O173" s="14">
        <f>IF($A173="","",F173*Parametros!$H$22)</f>
        <v/>
      </c>
      <c r="P173" s="14">
        <f>IF($A173="","",F173*Parametros!$B$17)</f>
        <v/>
      </c>
      <c r="Q173" s="14">
        <f>IF($A173="","",D173*Parametros!$H$23)</f>
        <v/>
      </c>
      <c r="R173" s="14">
        <f>IF($A173="","",H173*Parametros!$H$24)</f>
        <v/>
      </c>
      <c r="S173" s="14">
        <f>IF($A173="","",IFERROR(INDEX(Confeccion!$B$5:$B$80,MATCH(G173,Confeccion!$A$5:$A$80,0)),0))</f>
        <v/>
      </c>
      <c r="T173" s="15">
        <f>IF($A173="","",SUM(M173:S173)+I173)</f>
        <v/>
      </c>
      <c r="U173" s="14">
        <f>IF($A173="","",IF(J173="","",J173*Parametros!$B$13))</f>
        <v/>
      </c>
      <c r="V173" s="14">
        <f>IF($A173="","",IF(J173="","",J173*Parametros!$B$14))</f>
        <v/>
      </c>
      <c r="W173" s="15">
        <f>IF($A173="","",IF(J173="","",J173-T173-U173-V173))</f>
        <v/>
      </c>
      <c r="X173" s="16">
        <f>IF($A173="","",IF(J173="","",W173/J173))</f>
        <v/>
      </c>
      <c r="Y173" s="14">
        <f>IF($A173="","",IF(Parametros!$B$15&gt;=1,"",T173/(1-Parametros!$B$15)))</f>
        <v/>
      </c>
      <c r="Z173" s="14">
        <f>IF($A173="","",IF(Parametros!$B$15+Parametros!$B$16&gt;=1,"",T173/(1-Parametros!$B$15-Parametros!$B$16)))</f>
        <v/>
      </c>
      <c r="AA173" s="17">
        <f>IF($A173="","",IF(J173="","Falta precio",IF(W173&lt;0,"PIERDE",IF(X173&lt;Parametros!$B$16,"BAJO META","OK"))))</f>
        <v/>
      </c>
      <c r="AB173" s="18">
        <f>IF($A173="","",IF(OR(C173="",D173=""),"Falta tela o consumo. ","")&amp;IF(AND(C173&lt;&gt;"",M173=0),"Tela sin precio. ","")&amp;IF(S173=0,"Confección sin valor. ","")&amp;IF(J173="","Falta precio de venta. ",""))</f>
        <v/>
      </c>
    </row>
    <row r="174">
      <c r="A174" s="9" t="n"/>
      <c r="B174" s="9" t="n"/>
      <c r="C174" s="9" t="n"/>
      <c r="D174" s="10" t="n"/>
      <c r="E174" s="11" t="n"/>
      <c r="F174" s="11" t="n"/>
      <c r="G174" s="9" t="n"/>
      <c r="H174" s="9" t="n"/>
      <c r="I174" s="12" t="n"/>
      <c r="J174" s="12" t="n"/>
      <c r="K174" s="9" t="n"/>
      <c r="L174" s="13" t="n"/>
      <c r="M174" s="14">
        <f>IF($A174="","",IFERROR(D174*INDEX(Insumos!$D$6:$D$98,MATCH(C174,Insumos!$A$6:$A$98,0)),0))</f>
        <v/>
      </c>
      <c r="N174" s="14">
        <f>IF($A174="","",E174*Parametros!$H$21)</f>
        <v/>
      </c>
      <c r="O174" s="14">
        <f>IF($A174="","",F174*Parametros!$H$22)</f>
        <v/>
      </c>
      <c r="P174" s="14">
        <f>IF($A174="","",F174*Parametros!$B$17)</f>
        <v/>
      </c>
      <c r="Q174" s="14">
        <f>IF($A174="","",D174*Parametros!$H$23)</f>
        <v/>
      </c>
      <c r="R174" s="14">
        <f>IF($A174="","",H174*Parametros!$H$24)</f>
        <v/>
      </c>
      <c r="S174" s="14">
        <f>IF($A174="","",IFERROR(INDEX(Confeccion!$B$5:$B$80,MATCH(G174,Confeccion!$A$5:$A$80,0)),0))</f>
        <v/>
      </c>
      <c r="T174" s="15">
        <f>IF($A174="","",SUM(M174:S174)+I174)</f>
        <v/>
      </c>
      <c r="U174" s="14">
        <f>IF($A174="","",IF(J174="","",J174*Parametros!$B$13))</f>
        <v/>
      </c>
      <c r="V174" s="14">
        <f>IF($A174="","",IF(J174="","",J174*Parametros!$B$14))</f>
        <v/>
      </c>
      <c r="W174" s="15">
        <f>IF($A174="","",IF(J174="","",J174-T174-U174-V174))</f>
        <v/>
      </c>
      <c r="X174" s="16">
        <f>IF($A174="","",IF(J174="","",W174/J174))</f>
        <v/>
      </c>
      <c r="Y174" s="14">
        <f>IF($A174="","",IF(Parametros!$B$15&gt;=1,"",T174/(1-Parametros!$B$15)))</f>
        <v/>
      </c>
      <c r="Z174" s="14">
        <f>IF($A174="","",IF(Parametros!$B$15+Parametros!$B$16&gt;=1,"",T174/(1-Parametros!$B$15-Parametros!$B$16)))</f>
        <v/>
      </c>
      <c r="AA174" s="17">
        <f>IF($A174="","",IF(J174="","Falta precio",IF(W174&lt;0,"PIERDE",IF(X174&lt;Parametros!$B$16,"BAJO META","OK"))))</f>
        <v/>
      </c>
      <c r="AB174" s="18">
        <f>IF($A174="","",IF(OR(C174="",D174=""),"Falta tela o consumo. ","")&amp;IF(AND(C174&lt;&gt;"",M174=0),"Tela sin precio. ","")&amp;IF(S174=0,"Confección sin valor. ","")&amp;IF(J174="","Falta precio de venta. ",""))</f>
        <v/>
      </c>
    </row>
    <row r="175">
      <c r="A175" s="9" t="n"/>
      <c r="B175" s="9" t="n"/>
      <c r="C175" s="9" t="n"/>
      <c r="D175" s="10" t="n"/>
      <c r="E175" s="11" t="n"/>
      <c r="F175" s="11" t="n"/>
      <c r="G175" s="9" t="n"/>
      <c r="H175" s="9" t="n"/>
      <c r="I175" s="12" t="n"/>
      <c r="J175" s="12" t="n"/>
      <c r="K175" s="9" t="n"/>
      <c r="L175" s="13" t="n"/>
      <c r="M175" s="14">
        <f>IF($A175="","",IFERROR(D175*INDEX(Insumos!$D$6:$D$98,MATCH(C175,Insumos!$A$6:$A$98,0)),0))</f>
        <v/>
      </c>
      <c r="N175" s="14">
        <f>IF($A175="","",E175*Parametros!$H$21)</f>
        <v/>
      </c>
      <c r="O175" s="14">
        <f>IF($A175="","",F175*Parametros!$H$22)</f>
        <v/>
      </c>
      <c r="P175" s="14">
        <f>IF($A175="","",F175*Parametros!$B$17)</f>
        <v/>
      </c>
      <c r="Q175" s="14">
        <f>IF($A175="","",D175*Parametros!$H$23)</f>
        <v/>
      </c>
      <c r="R175" s="14">
        <f>IF($A175="","",H175*Parametros!$H$24)</f>
        <v/>
      </c>
      <c r="S175" s="14">
        <f>IF($A175="","",IFERROR(INDEX(Confeccion!$B$5:$B$80,MATCH(G175,Confeccion!$A$5:$A$80,0)),0))</f>
        <v/>
      </c>
      <c r="T175" s="15">
        <f>IF($A175="","",SUM(M175:S175)+I175)</f>
        <v/>
      </c>
      <c r="U175" s="14">
        <f>IF($A175="","",IF(J175="","",J175*Parametros!$B$13))</f>
        <v/>
      </c>
      <c r="V175" s="14">
        <f>IF($A175="","",IF(J175="","",J175*Parametros!$B$14))</f>
        <v/>
      </c>
      <c r="W175" s="15">
        <f>IF($A175="","",IF(J175="","",J175-T175-U175-V175))</f>
        <v/>
      </c>
      <c r="X175" s="16">
        <f>IF($A175="","",IF(J175="","",W175/J175))</f>
        <v/>
      </c>
      <c r="Y175" s="14">
        <f>IF($A175="","",IF(Parametros!$B$15&gt;=1,"",T175/(1-Parametros!$B$15)))</f>
        <v/>
      </c>
      <c r="Z175" s="14">
        <f>IF($A175="","",IF(Parametros!$B$15+Parametros!$B$16&gt;=1,"",T175/(1-Parametros!$B$15-Parametros!$B$16)))</f>
        <v/>
      </c>
      <c r="AA175" s="17">
        <f>IF($A175="","",IF(J175="","Falta precio",IF(W175&lt;0,"PIERDE",IF(X175&lt;Parametros!$B$16,"BAJO META","OK"))))</f>
        <v/>
      </c>
      <c r="AB175" s="18">
        <f>IF($A175="","",IF(OR(C175="",D175=""),"Falta tela o consumo. ","")&amp;IF(AND(C175&lt;&gt;"",M175=0),"Tela sin precio. ","")&amp;IF(S175=0,"Confección sin valor. ","")&amp;IF(J175="","Falta precio de venta. ",""))</f>
        <v/>
      </c>
    </row>
    <row r="176">
      <c r="A176" s="9" t="n"/>
      <c r="B176" s="9" t="n"/>
      <c r="C176" s="9" t="n"/>
      <c r="D176" s="10" t="n"/>
      <c r="E176" s="11" t="n"/>
      <c r="F176" s="11" t="n"/>
      <c r="G176" s="9" t="n"/>
      <c r="H176" s="9" t="n"/>
      <c r="I176" s="12" t="n"/>
      <c r="J176" s="12" t="n"/>
      <c r="K176" s="9" t="n"/>
      <c r="L176" s="13" t="n"/>
      <c r="M176" s="14">
        <f>IF($A176="","",IFERROR(D176*INDEX(Insumos!$D$6:$D$98,MATCH(C176,Insumos!$A$6:$A$98,0)),0))</f>
        <v/>
      </c>
      <c r="N176" s="14">
        <f>IF($A176="","",E176*Parametros!$H$21)</f>
        <v/>
      </c>
      <c r="O176" s="14">
        <f>IF($A176="","",F176*Parametros!$H$22)</f>
        <v/>
      </c>
      <c r="P176" s="14">
        <f>IF($A176="","",F176*Parametros!$B$17)</f>
        <v/>
      </c>
      <c r="Q176" s="14">
        <f>IF($A176="","",D176*Parametros!$H$23)</f>
        <v/>
      </c>
      <c r="R176" s="14">
        <f>IF($A176="","",H176*Parametros!$H$24)</f>
        <v/>
      </c>
      <c r="S176" s="14">
        <f>IF($A176="","",IFERROR(INDEX(Confeccion!$B$5:$B$80,MATCH(G176,Confeccion!$A$5:$A$80,0)),0))</f>
        <v/>
      </c>
      <c r="T176" s="15">
        <f>IF($A176="","",SUM(M176:S176)+I176)</f>
        <v/>
      </c>
      <c r="U176" s="14">
        <f>IF($A176="","",IF(J176="","",J176*Parametros!$B$13))</f>
        <v/>
      </c>
      <c r="V176" s="14">
        <f>IF($A176="","",IF(J176="","",J176*Parametros!$B$14))</f>
        <v/>
      </c>
      <c r="W176" s="15">
        <f>IF($A176="","",IF(J176="","",J176-T176-U176-V176))</f>
        <v/>
      </c>
      <c r="X176" s="16">
        <f>IF($A176="","",IF(J176="","",W176/J176))</f>
        <v/>
      </c>
      <c r="Y176" s="14">
        <f>IF($A176="","",IF(Parametros!$B$15&gt;=1,"",T176/(1-Parametros!$B$15)))</f>
        <v/>
      </c>
      <c r="Z176" s="14">
        <f>IF($A176="","",IF(Parametros!$B$15+Parametros!$B$16&gt;=1,"",T176/(1-Parametros!$B$15-Parametros!$B$16)))</f>
        <v/>
      </c>
      <c r="AA176" s="17">
        <f>IF($A176="","",IF(J176="","Falta precio",IF(W176&lt;0,"PIERDE",IF(X176&lt;Parametros!$B$16,"BAJO META","OK"))))</f>
        <v/>
      </c>
      <c r="AB176" s="18">
        <f>IF($A176="","",IF(OR(C176="",D176=""),"Falta tela o consumo. ","")&amp;IF(AND(C176&lt;&gt;"",M176=0),"Tela sin precio. ","")&amp;IF(S176=0,"Confección sin valor. ","")&amp;IF(J176="","Falta precio de venta. ",""))</f>
        <v/>
      </c>
    </row>
    <row r="177">
      <c r="A177" s="9" t="n"/>
      <c r="B177" s="9" t="n"/>
      <c r="C177" s="9" t="n"/>
      <c r="D177" s="10" t="n"/>
      <c r="E177" s="11" t="n"/>
      <c r="F177" s="11" t="n"/>
      <c r="G177" s="9" t="n"/>
      <c r="H177" s="9" t="n"/>
      <c r="I177" s="12" t="n"/>
      <c r="J177" s="12" t="n"/>
      <c r="K177" s="9" t="n"/>
      <c r="L177" s="13" t="n"/>
      <c r="M177" s="14">
        <f>IF($A177="","",IFERROR(D177*INDEX(Insumos!$D$6:$D$98,MATCH(C177,Insumos!$A$6:$A$98,0)),0))</f>
        <v/>
      </c>
      <c r="N177" s="14">
        <f>IF($A177="","",E177*Parametros!$H$21)</f>
        <v/>
      </c>
      <c r="O177" s="14">
        <f>IF($A177="","",F177*Parametros!$H$22)</f>
        <v/>
      </c>
      <c r="P177" s="14">
        <f>IF($A177="","",F177*Parametros!$B$17)</f>
        <v/>
      </c>
      <c r="Q177" s="14">
        <f>IF($A177="","",D177*Parametros!$H$23)</f>
        <v/>
      </c>
      <c r="R177" s="14">
        <f>IF($A177="","",H177*Parametros!$H$24)</f>
        <v/>
      </c>
      <c r="S177" s="14">
        <f>IF($A177="","",IFERROR(INDEX(Confeccion!$B$5:$B$80,MATCH(G177,Confeccion!$A$5:$A$80,0)),0))</f>
        <v/>
      </c>
      <c r="T177" s="15">
        <f>IF($A177="","",SUM(M177:S177)+I177)</f>
        <v/>
      </c>
      <c r="U177" s="14">
        <f>IF($A177="","",IF(J177="","",J177*Parametros!$B$13))</f>
        <v/>
      </c>
      <c r="V177" s="14">
        <f>IF($A177="","",IF(J177="","",J177*Parametros!$B$14))</f>
        <v/>
      </c>
      <c r="W177" s="15">
        <f>IF($A177="","",IF(J177="","",J177-T177-U177-V177))</f>
        <v/>
      </c>
      <c r="X177" s="16">
        <f>IF($A177="","",IF(J177="","",W177/J177))</f>
        <v/>
      </c>
      <c r="Y177" s="14">
        <f>IF($A177="","",IF(Parametros!$B$15&gt;=1,"",T177/(1-Parametros!$B$15)))</f>
        <v/>
      </c>
      <c r="Z177" s="14">
        <f>IF($A177="","",IF(Parametros!$B$15+Parametros!$B$16&gt;=1,"",T177/(1-Parametros!$B$15-Parametros!$B$16)))</f>
        <v/>
      </c>
      <c r="AA177" s="17">
        <f>IF($A177="","",IF(J177="","Falta precio",IF(W177&lt;0,"PIERDE",IF(X177&lt;Parametros!$B$16,"BAJO META","OK"))))</f>
        <v/>
      </c>
      <c r="AB177" s="18">
        <f>IF($A177="","",IF(OR(C177="",D177=""),"Falta tela o consumo. ","")&amp;IF(AND(C177&lt;&gt;"",M177=0),"Tela sin precio. ","")&amp;IF(S177=0,"Confección sin valor. ","")&amp;IF(J177="","Falta precio de venta. ",""))</f>
        <v/>
      </c>
    </row>
    <row r="178">
      <c r="A178" s="9" t="n"/>
      <c r="B178" s="9" t="n"/>
      <c r="C178" s="9" t="n"/>
      <c r="D178" s="10" t="n"/>
      <c r="E178" s="11" t="n"/>
      <c r="F178" s="11" t="n"/>
      <c r="G178" s="9" t="n"/>
      <c r="H178" s="9" t="n"/>
      <c r="I178" s="12" t="n"/>
      <c r="J178" s="12" t="n"/>
      <c r="K178" s="9" t="n"/>
      <c r="L178" s="13" t="n"/>
      <c r="M178" s="14">
        <f>IF($A178="","",IFERROR(D178*INDEX(Insumos!$D$6:$D$98,MATCH(C178,Insumos!$A$6:$A$98,0)),0))</f>
        <v/>
      </c>
      <c r="N178" s="14">
        <f>IF($A178="","",E178*Parametros!$H$21)</f>
        <v/>
      </c>
      <c r="O178" s="14">
        <f>IF($A178="","",F178*Parametros!$H$22)</f>
        <v/>
      </c>
      <c r="P178" s="14">
        <f>IF($A178="","",F178*Parametros!$B$17)</f>
        <v/>
      </c>
      <c r="Q178" s="14">
        <f>IF($A178="","",D178*Parametros!$H$23)</f>
        <v/>
      </c>
      <c r="R178" s="14">
        <f>IF($A178="","",H178*Parametros!$H$24)</f>
        <v/>
      </c>
      <c r="S178" s="14">
        <f>IF($A178="","",IFERROR(INDEX(Confeccion!$B$5:$B$80,MATCH(G178,Confeccion!$A$5:$A$80,0)),0))</f>
        <v/>
      </c>
      <c r="T178" s="15">
        <f>IF($A178="","",SUM(M178:S178)+I178)</f>
        <v/>
      </c>
      <c r="U178" s="14">
        <f>IF($A178="","",IF(J178="","",J178*Parametros!$B$13))</f>
        <v/>
      </c>
      <c r="V178" s="14">
        <f>IF($A178="","",IF(J178="","",J178*Parametros!$B$14))</f>
        <v/>
      </c>
      <c r="W178" s="15">
        <f>IF($A178="","",IF(J178="","",J178-T178-U178-V178))</f>
        <v/>
      </c>
      <c r="X178" s="16">
        <f>IF($A178="","",IF(J178="","",W178/J178))</f>
        <v/>
      </c>
      <c r="Y178" s="14">
        <f>IF($A178="","",IF(Parametros!$B$15&gt;=1,"",T178/(1-Parametros!$B$15)))</f>
        <v/>
      </c>
      <c r="Z178" s="14">
        <f>IF($A178="","",IF(Parametros!$B$15+Parametros!$B$16&gt;=1,"",T178/(1-Parametros!$B$15-Parametros!$B$16)))</f>
        <v/>
      </c>
      <c r="AA178" s="17">
        <f>IF($A178="","",IF(J178="","Falta precio",IF(W178&lt;0,"PIERDE",IF(X178&lt;Parametros!$B$16,"BAJO META","OK"))))</f>
        <v/>
      </c>
      <c r="AB178" s="18">
        <f>IF($A178="","",IF(OR(C178="",D178=""),"Falta tela o consumo. ","")&amp;IF(AND(C178&lt;&gt;"",M178=0),"Tela sin precio. ","")&amp;IF(S178=0,"Confección sin valor. ","")&amp;IF(J178="","Falta precio de venta. ",""))</f>
        <v/>
      </c>
    </row>
    <row r="179">
      <c r="A179" s="9" t="n"/>
      <c r="B179" s="9" t="n"/>
      <c r="C179" s="9" t="n"/>
      <c r="D179" s="10" t="n"/>
      <c r="E179" s="11" t="n"/>
      <c r="F179" s="11" t="n"/>
      <c r="G179" s="9" t="n"/>
      <c r="H179" s="9" t="n"/>
      <c r="I179" s="12" t="n"/>
      <c r="J179" s="12" t="n"/>
      <c r="K179" s="9" t="n"/>
      <c r="L179" s="13" t="n"/>
      <c r="M179" s="14">
        <f>IF($A179="","",IFERROR(D179*INDEX(Insumos!$D$6:$D$98,MATCH(C179,Insumos!$A$6:$A$98,0)),0))</f>
        <v/>
      </c>
      <c r="N179" s="14">
        <f>IF($A179="","",E179*Parametros!$H$21)</f>
        <v/>
      </c>
      <c r="O179" s="14">
        <f>IF($A179="","",F179*Parametros!$H$22)</f>
        <v/>
      </c>
      <c r="P179" s="14">
        <f>IF($A179="","",F179*Parametros!$B$17)</f>
        <v/>
      </c>
      <c r="Q179" s="14">
        <f>IF($A179="","",D179*Parametros!$H$23)</f>
        <v/>
      </c>
      <c r="R179" s="14">
        <f>IF($A179="","",H179*Parametros!$H$24)</f>
        <v/>
      </c>
      <c r="S179" s="14">
        <f>IF($A179="","",IFERROR(INDEX(Confeccion!$B$5:$B$80,MATCH(G179,Confeccion!$A$5:$A$80,0)),0))</f>
        <v/>
      </c>
      <c r="T179" s="15">
        <f>IF($A179="","",SUM(M179:S179)+I179)</f>
        <v/>
      </c>
      <c r="U179" s="14">
        <f>IF($A179="","",IF(J179="","",J179*Parametros!$B$13))</f>
        <v/>
      </c>
      <c r="V179" s="14">
        <f>IF($A179="","",IF(J179="","",J179*Parametros!$B$14))</f>
        <v/>
      </c>
      <c r="W179" s="15">
        <f>IF($A179="","",IF(J179="","",J179-T179-U179-V179))</f>
        <v/>
      </c>
      <c r="X179" s="16">
        <f>IF($A179="","",IF(J179="","",W179/J179))</f>
        <v/>
      </c>
      <c r="Y179" s="14">
        <f>IF($A179="","",IF(Parametros!$B$15&gt;=1,"",T179/(1-Parametros!$B$15)))</f>
        <v/>
      </c>
      <c r="Z179" s="14">
        <f>IF($A179="","",IF(Parametros!$B$15+Parametros!$B$16&gt;=1,"",T179/(1-Parametros!$B$15-Parametros!$B$16)))</f>
        <v/>
      </c>
      <c r="AA179" s="17">
        <f>IF($A179="","",IF(J179="","Falta precio",IF(W179&lt;0,"PIERDE",IF(X179&lt;Parametros!$B$16,"BAJO META","OK"))))</f>
        <v/>
      </c>
      <c r="AB179" s="18">
        <f>IF($A179="","",IF(OR(C179="",D179=""),"Falta tela o consumo. ","")&amp;IF(AND(C179&lt;&gt;"",M179=0),"Tela sin precio. ","")&amp;IF(S179=0,"Confección sin valor. ","")&amp;IF(J179="","Falta precio de venta. ",""))</f>
        <v/>
      </c>
    </row>
    <row r="180">
      <c r="A180" s="9" t="n"/>
      <c r="B180" s="9" t="n"/>
      <c r="C180" s="9" t="n"/>
      <c r="D180" s="10" t="n"/>
      <c r="E180" s="11" t="n"/>
      <c r="F180" s="11" t="n"/>
      <c r="G180" s="9" t="n"/>
      <c r="H180" s="9" t="n"/>
      <c r="I180" s="12" t="n"/>
      <c r="J180" s="12" t="n"/>
      <c r="K180" s="9" t="n"/>
      <c r="L180" s="13" t="n"/>
      <c r="M180" s="14">
        <f>IF($A180="","",IFERROR(D180*INDEX(Insumos!$D$6:$D$98,MATCH(C180,Insumos!$A$6:$A$98,0)),0))</f>
        <v/>
      </c>
      <c r="N180" s="14">
        <f>IF($A180="","",E180*Parametros!$H$21)</f>
        <v/>
      </c>
      <c r="O180" s="14">
        <f>IF($A180="","",F180*Parametros!$H$22)</f>
        <v/>
      </c>
      <c r="P180" s="14">
        <f>IF($A180="","",F180*Parametros!$B$17)</f>
        <v/>
      </c>
      <c r="Q180" s="14">
        <f>IF($A180="","",D180*Parametros!$H$23)</f>
        <v/>
      </c>
      <c r="R180" s="14">
        <f>IF($A180="","",H180*Parametros!$H$24)</f>
        <v/>
      </c>
      <c r="S180" s="14">
        <f>IF($A180="","",IFERROR(INDEX(Confeccion!$B$5:$B$80,MATCH(G180,Confeccion!$A$5:$A$80,0)),0))</f>
        <v/>
      </c>
      <c r="T180" s="15">
        <f>IF($A180="","",SUM(M180:S180)+I180)</f>
        <v/>
      </c>
      <c r="U180" s="14">
        <f>IF($A180="","",IF(J180="","",J180*Parametros!$B$13))</f>
        <v/>
      </c>
      <c r="V180" s="14">
        <f>IF($A180="","",IF(J180="","",J180*Parametros!$B$14))</f>
        <v/>
      </c>
      <c r="W180" s="15">
        <f>IF($A180="","",IF(J180="","",J180-T180-U180-V180))</f>
        <v/>
      </c>
      <c r="X180" s="16">
        <f>IF($A180="","",IF(J180="","",W180/J180))</f>
        <v/>
      </c>
      <c r="Y180" s="14">
        <f>IF($A180="","",IF(Parametros!$B$15&gt;=1,"",T180/(1-Parametros!$B$15)))</f>
        <v/>
      </c>
      <c r="Z180" s="14">
        <f>IF($A180="","",IF(Parametros!$B$15+Parametros!$B$16&gt;=1,"",T180/(1-Parametros!$B$15-Parametros!$B$16)))</f>
        <v/>
      </c>
      <c r="AA180" s="17">
        <f>IF($A180="","",IF(J180="","Falta precio",IF(W180&lt;0,"PIERDE",IF(X180&lt;Parametros!$B$16,"BAJO META","OK"))))</f>
        <v/>
      </c>
      <c r="AB180" s="18">
        <f>IF($A180="","",IF(OR(C180="",D180=""),"Falta tela o consumo. ","")&amp;IF(AND(C180&lt;&gt;"",M180=0),"Tela sin precio. ","")&amp;IF(S180=0,"Confección sin valor. ","")&amp;IF(J180="","Falta precio de venta. ",""))</f>
        <v/>
      </c>
    </row>
    <row r="181">
      <c r="A181" s="9" t="n"/>
      <c r="B181" s="9" t="n"/>
      <c r="C181" s="9" t="n"/>
      <c r="D181" s="10" t="n"/>
      <c r="E181" s="11" t="n"/>
      <c r="F181" s="11" t="n"/>
      <c r="G181" s="9" t="n"/>
      <c r="H181" s="9" t="n"/>
      <c r="I181" s="12" t="n"/>
      <c r="J181" s="12" t="n"/>
      <c r="K181" s="9" t="n"/>
      <c r="L181" s="13" t="n"/>
      <c r="M181" s="14">
        <f>IF($A181="","",IFERROR(D181*INDEX(Insumos!$D$6:$D$98,MATCH(C181,Insumos!$A$6:$A$98,0)),0))</f>
        <v/>
      </c>
      <c r="N181" s="14">
        <f>IF($A181="","",E181*Parametros!$H$21)</f>
        <v/>
      </c>
      <c r="O181" s="14">
        <f>IF($A181="","",F181*Parametros!$H$22)</f>
        <v/>
      </c>
      <c r="P181" s="14">
        <f>IF($A181="","",F181*Parametros!$B$17)</f>
        <v/>
      </c>
      <c r="Q181" s="14">
        <f>IF($A181="","",D181*Parametros!$H$23)</f>
        <v/>
      </c>
      <c r="R181" s="14">
        <f>IF($A181="","",H181*Parametros!$H$24)</f>
        <v/>
      </c>
      <c r="S181" s="14">
        <f>IF($A181="","",IFERROR(INDEX(Confeccion!$B$5:$B$80,MATCH(G181,Confeccion!$A$5:$A$80,0)),0))</f>
        <v/>
      </c>
      <c r="T181" s="15">
        <f>IF($A181="","",SUM(M181:S181)+I181)</f>
        <v/>
      </c>
      <c r="U181" s="14">
        <f>IF($A181="","",IF(J181="","",J181*Parametros!$B$13))</f>
        <v/>
      </c>
      <c r="V181" s="14">
        <f>IF($A181="","",IF(J181="","",J181*Parametros!$B$14))</f>
        <v/>
      </c>
      <c r="W181" s="15">
        <f>IF($A181="","",IF(J181="","",J181-T181-U181-V181))</f>
        <v/>
      </c>
      <c r="X181" s="16">
        <f>IF($A181="","",IF(J181="","",W181/J181))</f>
        <v/>
      </c>
      <c r="Y181" s="14">
        <f>IF($A181="","",IF(Parametros!$B$15&gt;=1,"",T181/(1-Parametros!$B$15)))</f>
        <v/>
      </c>
      <c r="Z181" s="14">
        <f>IF($A181="","",IF(Parametros!$B$15+Parametros!$B$16&gt;=1,"",T181/(1-Parametros!$B$15-Parametros!$B$16)))</f>
        <v/>
      </c>
      <c r="AA181" s="17">
        <f>IF($A181="","",IF(J181="","Falta precio",IF(W181&lt;0,"PIERDE",IF(X181&lt;Parametros!$B$16,"BAJO META","OK"))))</f>
        <v/>
      </c>
      <c r="AB181" s="18">
        <f>IF($A181="","",IF(OR(C181="",D181=""),"Falta tela o consumo. ","")&amp;IF(AND(C181&lt;&gt;"",M181=0),"Tela sin precio. ","")&amp;IF(S181=0,"Confección sin valor. ","")&amp;IF(J181="","Falta precio de venta. ",""))</f>
        <v/>
      </c>
    </row>
    <row r="182">
      <c r="A182" s="9" t="n"/>
      <c r="B182" s="9" t="n"/>
      <c r="C182" s="9" t="n"/>
      <c r="D182" s="10" t="n"/>
      <c r="E182" s="11" t="n"/>
      <c r="F182" s="11" t="n"/>
      <c r="G182" s="9" t="n"/>
      <c r="H182" s="9" t="n"/>
      <c r="I182" s="12" t="n"/>
      <c r="J182" s="12" t="n"/>
      <c r="K182" s="9" t="n"/>
      <c r="L182" s="13" t="n"/>
      <c r="M182" s="14">
        <f>IF($A182="","",IFERROR(D182*INDEX(Insumos!$D$6:$D$98,MATCH(C182,Insumos!$A$6:$A$98,0)),0))</f>
        <v/>
      </c>
      <c r="N182" s="14">
        <f>IF($A182="","",E182*Parametros!$H$21)</f>
        <v/>
      </c>
      <c r="O182" s="14">
        <f>IF($A182="","",F182*Parametros!$H$22)</f>
        <v/>
      </c>
      <c r="P182" s="14">
        <f>IF($A182="","",F182*Parametros!$B$17)</f>
        <v/>
      </c>
      <c r="Q182" s="14">
        <f>IF($A182="","",D182*Parametros!$H$23)</f>
        <v/>
      </c>
      <c r="R182" s="14">
        <f>IF($A182="","",H182*Parametros!$H$24)</f>
        <v/>
      </c>
      <c r="S182" s="14">
        <f>IF($A182="","",IFERROR(INDEX(Confeccion!$B$5:$B$80,MATCH(G182,Confeccion!$A$5:$A$80,0)),0))</f>
        <v/>
      </c>
      <c r="T182" s="15">
        <f>IF($A182="","",SUM(M182:S182)+I182)</f>
        <v/>
      </c>
      <c r="U182" s="14">
        <f>IF($A182="","",IF(J182="","",J182*Parametros!$B$13))</f>
        <v/>
      </c>
      <c r="V182" s="14">
        <f>IF($A182="","",IF(J182="","",J182*Parametros!$B$14))</f>
        <v/>
      </c>
      <c r="W182" s="15">
        <f>IF($A182="","",IF(J182="","",J182-T182-U182-V182))</f>
        <v/>
      </c>
      <c r="X182" s="16">
        <f>IF($A182="","",IF(J182="","",W182/J182))</f>
        <v/>
      </c>
      <c r="Y182" s="14">
        <f>IF($A182="","",IF(Parametros!$B$15&gt;=1,"",T182/(1-Parametros!$B$15)))</f>
        <v/>
      </c>
      <c r="Z182" s="14">
        <f>IF($A182="","",IF(Parametros!$B$15+Parametros!$B$16&gt;=1,"",T182/(1-Parametros!$B$15-Parametros!$B$16)))</f>
        <v/>
      </c>
      <c r="AA182" s="17">
        <f>IF($A182="","",IF(J182="","Falta precio",IF(W182&lt;0,"PIERDE",IF(X182&lt;Parametros!$B$16,"BAJO META","OK"))))</f>
        <v/>
      </c>
      <c r="AB182" s="18">
        <f>IF($A182="","",IF(OR(C182="",D182=""),"Falta tela o consumo. ","")&amp;IF(AND(C182&lt;&gt;"",M182=0),"Tela sin precio. ","")&amp;IF(S182=0,"Confección sin valor. ","")&amp;IF(J182="","Falta precio de venta. ",""))</f>
        <v/>
      </c>
    </row>
    <row r="183">
      <c r="A183" s="9" t="n"/>
      <c r="B183" s="9" t="n"/>
      <c r="C183" s="9" t="n"/>
      <c r="D183" s="10" t="n"/>
      <c r="E183" s="11" t="n"/>
      <c r="F183" s="11" t="n"/>
      <c r="G183" s="9" t="n"/>
      <c r="H183" s="9" t="n"/>
      <c r="I183" s="12" t="n"/>
      <c r="J183" s="12" t="n"/>
      <c r="K183" s="9" t="n"/>
      <c r="L183" s="13" t="n"/>
      <c r="M183" s="14">
        <f>IF($A183="","",IFERROR(D183*INDEX(Insumos!$D$6:$D$98,MATCH(C183,Insumos!$A$6:$A$98,0)),0))</f>
        <v/>
      </c>
      <c r="N183" s="14">
        <f>IF($A183="","",E183*Parametros!$H$21)</f>
        <v/>
      </c>
      <c r="O183" s="14">
        <f>IF($A183="","",F183*Parametros!$H$22)</f>
        <v/>
      </c>
      <c r="P183" s="14">
        <f>IF($A183="","",F183*Parametros!$B$17)</f>
        <v/>
      </c>
      <c r="Q183" s="14">
        <f>IF($A183="","",D183*Parametros!$H$23)</f>
        <v/>
      </c>
      <c r="R183" s="14">
        <f>IF($A183="","",H183*Parametros!$H$24)</f>
        <v/>
      </c>
      <c r="S183" s="14">
        <f>IF($A183="","",IFERROR(INDEX(Confeccion!$B$5:$B$80,MATCH(G183,Confeccion!$A$5:$A$80,0)),0))</f>
        <v/>
      </c>
      <c r="T183" s="15">
        <f>IF($A183="","",SUM(M183:S183)+I183)</f>
        <v/>
      </c>
      <c r="U183" s="14">
        <f>IF($A183="","",IF(J183="","",J183*Parametros!$B$13))</f>
        <v/>
      </c>
      <c r="V183" s="14">
        <f>IF($A183="","",IF(J183="","",J183*Parametros!$B$14))</f>
        <v/>
      </c>
      <c r="W183" s="15">
        <f>IF($A183="","",IF(J183="","",J183-T183-U183-V183))</f>
        <v/>
      </c>
      <c r="X183" s="16">
        <f>IF($A183="","",IF(J183="","",W183/J183))</f>
        <v/>
      </c>
      <c r="Y183" s="14">
        <f>IF($A183="","",IF(Parametros!$B$15&gt;=1,"",T183/(1-Parametros!$B$15)))</f>
        <v/>
      </c>
      <c r="Z183" s="14">
        <f>IF($A183="","",IF(Parametros!$B$15+Parametros!$B$16&gt;=1,"",T183/(1-Parametros!$B$15-Parametros!$B$16)))</f>
        <v/>
      </c>
      <c r="AA183" s="17">
        <f>IF($A183="","",IF(J183="","Falta precio",IF(W183&lt;0,"PIERDE",IF(X183&lt;Parametros!$B$16,"BAJO META","OK"))))</f>
        <v/>
      </c>
      <c r="AB183" s="18">
        <f>IF($A183="","",IF(OR(C183="",D183=""),"Falta tela o consumo. ","")&amp;IF(AND(C183&lt;&gt;"",M183=0),"Tela sin precio. ","")&amp;IF(S183=0,"Confección sin valor. ","")&amp;IF(J183="","Falta precio de venta. ",""))</f>
        <v/>
      </c>
    </row>
    <row r="184">
      <c r="A184" s="9" t="n"/>
      <c r="B184" s="9" t="n"/>
      <c r="C184" s="9" t="n"/>
      <c r="D184" s="10" t="n"/>
      <c r="E184" s="11" t="n"/>
      <c r="F184" s="11" t="n"/>
      <c r="G184" s="9" t="n"/>
      <c r="H184" s="9" t="n"/>
      <c r="I184" s="12" t="n"/>
      <c r="J184" s="12" t="n"/>
      <c r="K184" s="9" t="n"/>
      <c r="L184" s="13" t="n"/>
      <c r="M184" s="14">
        <f>IF($A184="","",IFERROR(D184*INDEX(Insumos!$D$6:$D$98,MATCH(C184,Insumos!$A$6:$A$98,0)),0))</f>
        <v/>
      </c>
      <c r="N184" s="14">
        <f>IF($A184="","",E184*Parametros!$H$21)</f>
        <v/>
      </c>
      <c r="O184" s="14">
        <f>IF($A184="","",F184*Parametros!$H$22)</f>
        <v/>
      </c>
      <c r="P184" s="14">
        <f>IF($A184="","",F184*Parametros!$B$17)</f>
        <v/>
      </c>
      <c r="Q184" s="14">
        <f>IF($A184="","",D184*Parametros!$H$23)</f>
        <v/>
      </c>
      <c r="R184" s="14">
        <f>IF($A184="","",H184*Parametros!$H$24)</f>
        <v/>
      </c>
      <c r="S184" s="14">
        <f>IF($A184="","",IFERROR(INDEX(Confeccion!$B$5:$B$80,MATCH(G184,Confeccion!$A$5:$A$80,0)),0))</f>
        <v/>
      </c>
      <c r="T184" s="15">
        <f>IF($A184="","",SUM(M184:S184)+I184)</f>
        <v/>
      </c>
      <c r="U184" s="14">
        <f>IF($A184="","",IF(J184="","",J184*Parametros!$B$13))</f>
        <v/>
      </c>
      <c r="V184" s="14">
        <f>IF($A184="","",IF(J184="","",J184*Parametros!$B$14))</f>
        <v/>
      </c>
      <c r="W184" s="15">
        <f>IF($A184="","",IF(J184="","",J184-T184-U184-V184))</f>
        <v/>
      </c>
      <c r="X184" s="16">
        <f>IF($A184="","",IF(J184="","",W184/J184))</f>
        <v/>
      </c>
      <c r="Y184" s="14">
        <f>IF($A184="","",IF(Parametros!$B$15&gt;=1,"",T184/(1-Parametros!$B$15)))</f>
        <v/>
      </c>
      <c r="Z184" s="14">
        <f>IF($A184="","",IF(Parametros!$B$15+Parametros!$B$16&gt;=1,"",T184/(1-Parametros!$B$15-Parametros!$B$16)))</f>
        <v/>
      </c>
      <c r="AA184" s="17">
        <f>IF($A184="","",IF(J184="","Falta precio",IF(W184&lt;0,"PIERDE",IF(X184&lt;Parametros!$B$16,"BAJO META","OK"))))</f>
        <v/>
      </c>
      <c r="AB184" s="18">
        <f>IF($A184="","",IF(OR(C184="",D184=""),"Falta tela o consumo. ","")&amp;IF(AND(C184&lt;&gt;"",M184=0),"Tela sin precio. ","")&amp;IF(S184=0,"Confección sin valor. ","")&amp;IF(J184="","Falta precio de venta. ",""))</f>
        <v/>
      </c>
    </row>
    <row r="185">
      <c r="A185" s="9" t="n"/>
      <c r="B185" s="9" t="n"/>
      <c r="C185" s="9" t="n"/>
      <c r="D185" s="10" t="n"/>
      <c r="E185" s="11" t="n"/>
      <c r="F185" s="11" t="n"/>
      <c r="G185" s="9" t="n"/>
      <c r="H185" s="9" t="n"/>
      <c r="I185" s="12" t="n"/>
      <c r="J185" s="12" t="n"/>
      <c r="K185" s="9" t="n"/>
      <c r="L185" s="13" t="n"/>
      <c r="M185" s="14">
        <f>IF($A185="","",IFERROR(D185*INDEX(Insumos!$D$6:$D$98,MATCH(C185,Insumos!$A$6:$A$98,0)),0))</f>
        <v/>
      </c>
      <c r="N185" s="14">
        <f>IF($A185="","",E185*Parametros!$H$21)</f>
        <v/>
      </c>
      <c r="O185" s="14">
        <f>IF($A185="","",F185*Parametros!$H$22)</f>
        <v/>
      </c>
      <c r="P185" s="14">
        <f>IF($A185="","",F185*Parametros!$B$17)</f>
        <v/>
      </c>
      <c r="Q185" s="14">
        <f>IF($A185="","",D185*Parametros!$H$23)</f>
        <v/>
      </c>
      <c r="R185" s="14">
        <f>IF($A185="","",H185*Parametros!$H$24)</f>
        <v/>
      </c>
      <c r="S185" s="14">
        <f>IF($A185="","",IFERROR(INDEX(Confeccion!$B$5:$B$80,MATCH(G185,Confeccion!$A$5:$A$80,0)),0))</f>
        <v/>
      </c>
      <c r="T185" s="15">
        <f>IF($A185="","",SUM(M185:S185)+I185)</f>
        <v/>
      </c>
      <c r="U185" s="14">
        <f>IF($A185="","",IF(J185="","",J185*Parametros!$B$13))</f>
        <v/>
      </c>
      <c r="V185" s="14">
        <f>IF($A185="","",IF(J185="","",J185*Parametros!$B$14))</f>
        <v/>
      </c>
      <c r="W185" s="15">
        <f>IF($A185="","",IF(J185="","",J185-T185-U185-V185))</f>
        <v/>
      </c>
      <c r="X185" s="16">
        <f>IF($A185="","",IF(J185="","",W185/J185))</f>
        <v/>
      </c>
      <c r="Y185" s="14">
        <f>IF($A185="","",IF(Parametros!$B$15&gt;=1,"",T185/(1-Parametros!$B$15)))</f>
        <v/>
      </c>
      <c r="Z185" s="14">
        <f>IF($A185="","",IF(Parametros!$B$15+Parametros!$B$16&gt;=1,"",T185/(1-Parametros!$B$15-Parametros!$B$16)))</f>
        <v/>
      </c>
      <c r="AA185" s="17">
        <f>IF($A185="","",IF(J185="","Falta precio",IF(W185&lt;0,"PIERDE",IF(X185&lt;Parametros!$B$16,"BAJO META","OK"))))</f>
        <v/>
      </c>
      <c r="AB185" s="18">
        <f>IF($A185="","",IF(OR(C185="",D185=""),"Falta tela o consumo. ","")&amp;IF(AND(C185&lt;&gt;"",M185=0),"Tela sin precio. ","")&amp;IF(S185=0,"Confección sin valor. ","")&amp;IF(J185="","Falta precio de venta. ",""))</f>
        <v/>
      </c>
    </row>
    <row r="186">
      <c r="A186" s="9" t="n"/>
      <c r="B186" s="9" t="n"/>
      <c r="C186" s="9" t="n"/>
      <c r="D186" s="10" t="n"/>
      <c r="E186" s="11" t="n"/>
      <c r="F186" s="11" t="n"/>
      <c r="G186" s="9" t="n"/>
      <c r="H186" s="9" t="n"/>
      <c r="I186" s="12" t="n"/>
      <c r="J186" s="12" t="n"/>
      <c r="K186" s="9" t="n"/>
      <c r="L186" s="13" t="n"/>
      <c r="M186" s="14">
        <f>IF($A186="","",IFERROR(D186*INDEX(Insumos!$D$6:$D$98,MATCH(C186,Insumos!$A$6:$A$98,0)),0))</f>
        <v/>
      </c>
      <c r="N186" s="14">
        <f>IF($A186="","",E186*Parametros!$H$21)</f>
        <v/>
      </c>
      <c r="O186" s="14">
        <f>IF($A186="","",F186*Parametros!$H$22)</f>
        <v/>
      </c>
      <c r="P186" s="14">
        <f>IF($A186="","",F186*Parametros!$B$17)</f>
        <v/>
      </c>
      <c r="Q186" s="14">
        <f>IF($A186="","",D186*Parametros!$H$23)</f>
        <v/>
      </c>
      <c r="R186" s="14">
        <f>IF($A186="","",H186*Parametros!$H$24)</f>
        <v/>
      </c>
      <c r="S186" s="14">
        <f>IF($A186="","",IFERROR(INDEX(Confeccion!$B$5:$B$80,MATCH(G186,Confeccion!$A$5:$A$80,0)),0))</f>
        <v/>
      </c>
      <c r="T186" s="15">
        <f>IF($A186="","",SUM(M186:S186)+I186)</f>
        <v/>
      </c>
      <c r="U186" s="14">
        <f>IF($A186="","",IF(J186="","",J186*Parametros!$B$13))</f>
        <v/>
      </c>
      <c r="V186" s="14">
        <f>IF($A186="","",IF(J186="","",J186*Parametros!$B$14))</f>
        <v/>
      </c>
      <c r="W186" s="15">
        <f>IF($A186="","",IF(J186="","",J186-T186-U186-V186))</f>
        <v/>
      </c>
      <c r="X186" s="16">
        <f>IF($A186="","",IF(J186="","",W186/J186))</f>
        <v/>
      </c>
      <c r="Y186" s="14">
        <f>IF($A186="","",IF(Parametros!$B$15&gt;=1,"",T186/(1-Parametros!$B$15)))</f>
        <v/>
      </c>
      <c r="Z186" s="14">
        <f>IF($A186="","",IF(Parametros!$B$15+Parametros!$B$16&gt;=1,"",T186/(1-Parametros!$B$15-Parametros!$B$16)))</f>
        <v/>
      </c>
      <c r="AA186" s="17">
        <f>IF($A186="","",IF(J186="","Falta precio",IF(W186&lt;0,"PIERDE",IF(X186&lt;Parametros!$B$16,"BAJO META","OK"))))</f>
        <v/>
      </c>
      <c r="AB186" s="18">
        <f>IF($A186="","",IF(OR(C186="",D186=""),"Falta tela o consumo. ","")&amp;IF(AND(C186&lt;&gt;"",M186=0),"Tela sin precio. ","")&amp;IF(S186=0,"Confección sin valor. ","")&amp;IF(J186="","Falta precio de venta. ",""))</f>
        <v/>
      </c>
    </row>
    <row r="187">
      <c r="A187" s="9" t="n"/>
      <c r="B187" s="9" t="n"/>
      <c r="C187" s="9" t="n"/>
      <c r="D187" s="10" t="n"/>
      <c r="E187" s="11" t="n"/>
      <c r="F187" s="11" t="n"/>
      <c r="G187" s="9" t="n"/>
      <c r="H187" s="9" t="n"/>
      <c r="I187" s="12" t="n"/>
      <c r="J187" s="12" t="n"/>
      <c r="K187" s="9" t="n"/>
      <c r="L187" s="13" t="n"/>
      <c r="M187" s="14">
        <f>IF($A187="","",IFERROR(D187*INDEX(Insumos!$D$6:$D$98,MATCH(C187,Insumos!$A$6:$A$98,0)),0))</f>
        <v/>
      </c>
      <c r="N187" s="14">
        <f>IF($A187="","",E187*Parametros!$H$21)</f>
        <v/>
      </c>
      <c r="O187" s="14">
        <f>IF($A187="","",F187*Parametros!$H$22)</f>
        <v/>
      </c>
      <c r="P187" s="14">
        <f>IF($A187="","",F187*Parametros!$B$17)</f>
        <v/>
      </c>
      <c r="Q187" s="14">
        <f>IF($A187="","",D187*Parametros!$H$23)</f>
        <v/>
      </c>
      <c r="R187" s="14">
        <f>IF($A187="","",H187*Parametros!$H$24)</f>
        <v/>
      </c>
      <c r="S187" s="14">
        <f>IF($A187="","",IFERROR(INDEX(Confeccion!$B$5:$B$80,MATCH(G187,Confeccion!$A$5:$A$80,0)),0))</f>
        <v/>
      </c>
      <c r="T187" s="15">
        <f>IF($A187="","",SUM(M187:S187)+I187)</f>
        <v/>
      </c>
      <c r="U187" s="14">
        <f>IF($A187="","",IF(J187="","",J187*Parametros!$B$13))</f>
        <v/>
      </c>
      <c r="V187" s="14">
        <f>IF($A187="","",IF(J187="","",J187*Parametros!$B$14))</f>
        <v/>
      </c>
      <c r="W187" s="15">
        <f>IF($A187="","",IF(J187="","",J187-T187-U187-V187))</f>
        <v/>
      </c>
      <c r="X187" s="16">
        <f>IF($A187="","",IF(J187="","",W187/J187))</f>
        <v/>
      </c>
      <c r="Y187" s="14">
        <f>IF($A187="","",IF(Parametros!$B$15&gt;=1,"",T187/(1-Parametros!$B$15)))</f>
        <v/>
      </c>
      <c r="Z187" s="14">
        <f>IF($A187="","",IF(Parametros!$B$15+Parametros!$B$16&gt;=1,"",T187/(1-Parametros!$B$15-Parametros!$B$16)))</f>
        <v/>
      </c>
      <c r="AA187" s="17">
        <f>IF($A187="","",IF(J187="","Falta precio",IF(W187&lt;0,"PIERDE",IF(X187&lt;Parametros!$B$16,"BAJO META","OK"))))</f>
        <v/>
      </c>
      <c r="AB187" s="18">
        <f>IF($A187="","",IF(OR(C187="",D187=""),"Falta tela o consumo. ","")&amp;IF(AND(C187&lt;&gt;"",M187=0),"Tela sin precio. ","")&amp;IF(S187=0,"Confección sin valor. ","")&amp;IF(J187="","Falta precio de venta. ",""))</f>
        <v/>
      </c>
    </row>
    <row r="188">
      <c r="A188" s="9" t="n"/>
      <c r="B188" s="9" t="n"/>
      <c r="C188" s="9" t="n"/>
      <c r="D188" s="10" t="n"/>
      <c r="E188" s="11" t="n"/>
      <c r="F188" s="11" t="n"/>
      <c r="G188" s="9" t="n"/>
      <c r="H188" s="9" t="n"/>
      <c r="I188" s="12" t="n"/>
      <c r="J188" s="12" t="n"/>
      <c r="K188" s="9" t="n"/>
      <c r="L188" s="13" t="n"/>
      <c r="M188" s="14">
        <f>IF($A188="","",IFERROR(D188*INDEX(Insumos!$D$6:$D$98,MATCH(C188,Insumos!$A$6:$A$98,0)),0))</f>
        <v/>
      </c>
      <c r="N188" s="14">
        <f>IF($A188="","",E188*Parametros!$H$21)</f>
        <v/>
      </c>
      <c r="O188" s="14">
        <f>IF($A188="","",F188*Parametros!$H$22)</f>
        <v/>
      </c>
      <c r="P188" s="14">
        <f>IF($A188="","",F188*Parametros!$B$17)</f>
        <v/>
      </c>
      <c r="Q188" s="14">
        <f>IF($A188="","",D188*Parametros!$H$23)</f>
        <v/>
      </c>
      <c r="R188" s="14">
        <f>IF($A188="","",H188*Parametros!$H$24)</f>
        <v/>
      </c>
      <c r="S188" s="14">
        <f>IF($A188="","",IFERROR(INDEX(Confeccion!$B$5:$B$80,MATCH(G188,Confeccion!$A$5:$A$80,0)),0))</f>
        <v/>
      </c>
      <c r="T188" s="15">
        <f>IF($A188="","",SUM(M188:S188)+I188)</f>
        <v/>
      </c>
      <c r="U188" s="14">
        <f>IF($A188="","",IF(J188="","",J188*Parametros!$B$13))</f>
        <v/>
      </c>
      <c r="V188" s="14">
        <f>IF($A188="","",IF(J188="","",J188*Parametros!$B$14))</f>
        <v/>
      </c>
      <c r="W188" s="15">
        <f>IF($A188="","",IF(J188="","",J188-T188-U188-V188))</f>
        <v/>
      </c>
      <c r="X188" s="16">
        <f>IF($A188="","",IF(J188="","",W188/J188))</f>
        <v/>
      </c>
      <c r="Y188" s="14">
        <f>IF($A188="","",IF(Parametros!$B$15&gt;=1,"",T188/(1-Parametros!$B$15)))</f>
        <v/>
      </c>
      <c r="Z188" s="14">
        <f>IF($A188="","",IF(Parametros!$B$15+Parametros!$B$16&gt;=1,"",T188/(1-Parametros!$B$15-Parametros!$B$16)))</f>
        <v/>
      </c>
      <c r="AA188" s="17">
        <f>IF($A188="","",IF(J188="","Falta precio",IF(W188&lt;0,"PIERDE",IF(X188&lt;Parametros!$B$16,"BAJO META","OK"))))</f>
        <v/>
      </c>
      <c r="AB188" s="18">
        <f>IF($A188="","",IF(OR(C188="",D188=""),"Falta tela o consumo. ","")&amp;IF(AND(C188&lt;&gt;"",M188=0),"Tela sin precio. ","")&amp;IF(S188=0,"Confección sin valor. ","")&amp;IF(J188="","Falta precio de venta. ",""))</f>
        <v/>
      </c>
    </row>
    <row r="189">
      <c r="A189" s="9" t="n"/>
      <c r="B189" s="9" t="n"/>
      <c r="C189" s="9" t="n"/>
      <c r="D189" s="10" t="n"/>
      <c r="E189" s="11" t="n"/>
      <c r="F189" s="11" t="n"/>
      <c r="G189" s="9" t="n"/>
      <c r="H189" s="9" t="n"/>
      <c r="I189" s="12" t="n"/>
      <c r="J189" s="12" t="n"/>
      <c r="K189" s="9" t="n"/>
      <c r="L189" s="13" t="n"/>
      <c r="M189" s="14">
        <f>IF($A189="","",IFERROR(D189*INDEX(Insumos!$D$6:$D$98,MATCH(C189,Insumos!$A$6:$A$98,0)),0))</f>
        <v/>
      </c>
      <c r="N189" s="14">
        <f>IF($A189="","",E189*Parametros!$H$21)</f>
        <v/>
      </c>
      <c r="O189" s="14">
        <f>IF($A189="","",F189*Parametros!$H$22)</f>
        <v/>
      </c>
      <c r="P189" s="14">
        <f>IF($A189="","",F189*Parametros!$B$17)</f>
        <v/>
      </c>
      <c r="Q189" s="14">
        <f>IF($A189="","",D189*Parametros!$H$23)</f>
        <v/>
      </c>
      <c r="R189" s="14">
        <f>IF($A189="","",H189*Parametros!$H$24)</f>
        <v/>
      </c>
      <c r="S189" s="14">
        <f>IF($A189="","",IFERROR(INDEX(Confeccion!$B$5:$B$80,MATCH(G189,Confeccion!$A$5:$A$80,0)),0))</f>
        <v/>
      </c>
      <c r="T189" s="15">
        <f>IF($A189="","",SUM(M189:S189)+I189)</f>
        <v/>
      </c>
      <c r="U189" s="14">
        <f>IF($A189="","",IF(J189="","",J189*Parametros!$B$13))</f>
        <v/>
      </c>
      <c r="V189" s="14">
        <f>IF($A189="","",IF(J189="","",J189*Parametros!$B$14))</f>
        <v/>
      </c>
      <c r="W189" s="15">
        <f>IF($A189="","",IF(J189="","",J189-T189-U189-V189))</f>
        <v/>
      </c>
      <c r="X189" s="16">
        <f>IF($A189="","",IF(J189="","",W189/J189))</f>
        <v/>
      </c>
      <c r="Y189" s="14">
        <f>IF($A189="","",IF(Parametros!$B$15&gt;=1,"",T189/(1-Parametros!$B$15)))</f>
        <v/>
      </c>
      <c r="Z189" s="14">
        <f>IF($A189="","",IF(Parametros!$B$15+Parametros!$B$16&gt;=1,"",T189/(1-Parametros!$B$15-Parametros!$B$16)))</f>
        <v/>
      </c>
      <c r="AA189" s="17">
        <f>IF($A189="","",IF(J189="","Falta precio",IF(W189&lt;0,"PIERDE",IF(X189&lt;Parametros!$B$16,"BAJO META","OK"))))</f>
        <v/>
      </c>
      <c r="AB189" s="18">
        <f>IF($A189="","",IF(OR(C189="",D189=""),"Falta tela o consumo. ","")&amp;IF(AND(C189&lt;&gt;"",M189=0),"Tela sin precio. ","")&amp;IF(S189=0,"Confección sin valor. ","")&amp;IF(J189="","Falta precio de venta. ",""))</f>
        <v/>
      </c>
    </row>
    <row r="190">
      <c r="A190" s="9" t="n"/>
      <c r="B190" s="9" t="n"/>
      <c r="C190" s="9" t="n"/>
      <c r="D190" s="10" t="n"/>
      <c r="E190" s="11" t="n"/>
      <c r="F190" s="11" t="n"/>
      <c r="G190" s="9" t="n"/>
      <c r="H190" s="9" t="n"/>
      <c r="I190" s="12" t="n"/>
      <c r="J190" s="12" t="n"/>
      <c r="K190" s="9" t="n"/>
      <c r="L190" s="13" t="n"/>
      <c r="M190" s="14">
        <f>IF($A190="","",IFERROR(D190*INDEX(Insumos!$D$6:$D$98,MATCH(C190,Insumos!$A$6:$A$98,0)),0))</f>
        <v/>
      </c>
      <c r="N190" s="14">
        <f>IF($A190="","",E190*Parametros!$H$21)</f>
        <v/>
      </c>
      <c r="O190" s="14">
        <f>IF($A190="","",F190*Parametros!$H$22)</f>
        <v/>
      </c>
      <c r="P190" s="14">
        <f>IF($A190="","",F190*Parametros!$B$17)</f>
        <v/>
      </c>
      <c r="Q190" s="14">
        <f>IF($A190="","",D190*Parametros!$H$23)</f>
        <v/>
      </c>
      <c r="R190" s="14">
        <f>IF($A190="","",H190*Parametros!$H$24)</f>
        <v/>
      </c>
      <c r="S190" s="14">
        <f>IF($A190="","",IFERROR(INDEX(Confeccion!$B$5:$B$80,MATCH(G190,Confeccion!$A$5:$A$80,0)),0))</f>
        <v/>
      </c>
      <c r="T190" s="15">
        <f>IF($A190="","",SUM(M190:S190)+I190)</f>
        <v/>
      </c>
      <c r="U190" s="14">
        <f>IF($A190="","",IF(J190="","",J190*Parametros!$B$13))</f>
        <v/>
      </c>
      <c r="V190" s="14">
        <f>IF($A190="","",IF(J190="","",J190*Parametros!$B$14))</f>
        <v/>
      </c>
      <c r="W190" s="15">
        <f>IF($A190="","",IF(J190="","",J190-T190-U190-V190))</f>
        <v/>
      </c>
      <c r="X190" s="16">
        <f>IF($A190="","",IF(J190="","",W190/J190))</f>
        <v/>
      </c>
      <c r="Y190" s="14">
        <f>IF($A190="","",IF(Parametros!$B$15&gt;=1,"",T190/(1-Parametros!$B$15)))</f>
        <v/>
      </c>
      <c r="Z190" s="14">
        <f>IF($A190="","",IF(Parametros!$B$15+Parametros!$B$16&gt;=1,"",T190/(1-Parametros!$B$15-Parametros!$B$16)))</f>
        <v/>
      </c>
      <c r="AA190" s="17">
        <f>IF($A190="","",IF(J190="","Falta precio",IF(W190&lt;0,"PIERDE",IF(X190&lt;Parametros!$B$16,"BAJO META","OK"))))</f>
        <v/>
      </c>
      <c r="AB190" s="18">
        <f>IF($A190="","",IF(OR(C190="",D190=""),"Falta tela o consumo. ","")&amp;IF(AND(C190&lt;&gt;"",M190=0),"Tela sin precio. ","")&amp;IF(S190=0,"Confección sin valor. ","")&amp;IF(J190="","Falta precio de venta. ",""))</f>
        <v/>
      </c>
    </row>
    <row r="191">
      <c r="A191" s="9" t="n"/>
      <c r="B191" s="9" t="n"/>
      <c r="C191" s="9" t="n"/>
      <c r="D191" s="10" t="n"/>
      <c r="E191" s="11" t="n"/>
      <c r="F191" s="11" t="n"/>
      <c r="G191" s="9" t="n"/>
      <c r="H191" s="9" t="n"/>
      <c r="I191" s="12" t="n"/>
      <c r="J191" s="12" t="n"/>
      <c r="K191" s="9" t="n"/>
      <c r="L191" s="13" t="n"/>
      <c r="M191" s="14">
        <f>IF($A191="","",IFERROR(D191*INDEX(Insumos!$D$6:$D$98,MATCH(C191,Insumos!$A$6:$A$98,0)),0))</f>
        <v/>
      </c>
      <c r="N191" s="14">
        <f>IF($A191="","",E191*Parametros!$H$21)</f>
        <v/>
      </c>
      <c r="O191" s="14">
        <f>IF($A191="","",F191*Parametros!$H$22)</f>
        <v/>
      </c>
      <c r="P191" s="14">
        <f>IF($A191="","",F191*Parametros!$B$17)</f>
        <v/>
      </c>
      <c r="Q191" s="14">
        <f>IF($A191="","",D191*Parametros!$H$23)</f>
        <v/>
      </c>
      <c r="R191" s="14">
        <f>IF($A191="","",H191*Parametros!$H$24)</f>
        <v/>
      </c>
      <c r="S191" s="14">
        <f>IF($A191="","",IFERROR(INDEX(Confeccion!$B$5:$B$80,MATCH(G191,Confeccion!$A$5:$A$80,0)),0))</f>
        <v/>
      </c>
      <c r="T191" s="15">
        <f>IF($A191="","",SUM(M191:S191)+I191)</f>
        <v/>
      </c>
      <c r="U191" s="14">
        <f>IF($A191="","",IF(J191="","",J191*Parametros!$B$13))</f>
        <v/>
      </c>
      <c r="V191" s="14">
        <f>IF($A191="","",IF(J191="","",J191*Parametros!$B$14))</f>
        <v/>
      </c>
      <c r="W191" s="15">
        <f>IF($A191="","",IF(J191="","",J191-T191-U191-V191))</f>
        <v/>
      </c>
      <c r="X191" s="16">
        <f>IF($A191="","",IF(J191="","",W191/J191))</f>
        <v/>
      </c>
      <c r="Y191" s="14">
        <f>IF($A191="","",IF(Parametros!$B$15&gt;=1,"",T191/(1-Parametros!$B$15)))</f>
        <v/>
      </c>
      <c r="Z191" s="14">
        <f>IF($A191="","",IF(Parametros!$B$15+Parametros!$B$16&gt;=1,"",T191/(1-Parametros!$B$15-Parametros!$B$16)))</f>
        <v/>
      </c>
      <c r="AA191" s="17">
        <f>IF($A191="","",IF(J191="","Falta precio",IF(W191&lt;0,"PIERDE",IF(X191&lt;Parametros!$B$16,"BAJO META","OK"))))</f>
        <v/>
      </c>
      <c r="AB191" s="18">
        <f>IF($A191="","",IF(OR(C191="",D191=""),"Falta tela o consumo. ","")&amp;IF(AND(C191&lt;&gt;"",M191=0),"Tela sin precio. ","")&amp;IF(S191=0,"Confección sin valor. ","")&amp;IF(J191="","Falta precio de venta. ",""))</f>
        <v/>
      </c>
    </row>
    <row r="192">
      <c r="A192" s="9" t="n"/>
      <c r="B192" s="9" t="n"/>
      <c r="C192" s="9" t="n"/>
      <c r="D192" s="10" t="n"/>
      <c r="E192" s="11" t="n"/>
      <c r="F192" s="11" t="n"/>
      <c r="G192" s="9" t="n"/>
      <c r="H192" s="9" t="n"/>
      <c r="I192" s="12" t="n"/>
      <c r="J192" s="12" t="n"/>
      <c r="K192" s="9" t="n"/>
      <c r="L192" s="13" t="n"/>
      <c r="M192" s="14">
        <f>IF($A192="","",IFERROR(D192*INDEX(Insumos!$D$6:$D$98,MATCH(C192,Insumos!$A$6:$A$98,0)),0))</f>
        <v/>
      </c>
      <c r="N192" s="14">
        <f>IF($A192="","",E192*Parametros!$H$21)</f>
        <v/>
      </c>
      <c r="O192" s="14">
        <f>IF($A192="","",F192*Parametros!$H$22)</f>
        <v/>
      </c>
      <c r="P192" s="14">
        <f>IF($A192="","",F192*Parametros!$B$17)</f>
        <v/>
      </c>
      <c r="Q192" s="14">
        <f>IF($A192="","",D192*Parametros!$H$23)</f>
        <v/>
      </c>
      <c r="R192" s="14">
        <f>IF($A192="","",H192*Parametros!$H$24)</f>
        <v/>
      </c>
      <c r="S192" s="14">
        <f>IF($A192="","",IFERROR(INDEX(Confeccion!$B$5:$B$80,MATCH(G192,Confeccion!$A$5:$A$80,0)),0))</f>
        <v/>
      </c>
      <c r="T192" s="15">
        <f>IF($A192="","",SUM(M192:S192)+I192)</f>
        <v/>
      </c>
      <c r="U192" s="14">
        <f>IF($A192="","",IF(J192="","",J192*Parametros!$B$13))</f>
        <v/>
      </c>
      <c r="V192" s="14">
        <f>IF($A192="","",IF(J192="","",J192*Parametros!$B$14))</f>
        <v/>
      </c>
      <c r="W192" s="15">
        <f>IF($A192="","",IF(J192="","",J192-T192-U192-V192))</f>
        <v/>
      </c>
      <c r="X192" s="16">
        <f>IF($A192="","",IF(J192="","",W192/J192))</f>
        <v/>
      </c>
      <c r="Y192" s="14">
        <f>IF($A192="","",IF(Parametros!$B$15&gt;=1,"",T192/(1-Parametros!$B$15)))</f>
        <v/>
      </c>
      <c r="Z192" s="14">
        <f>IF($A192="","",IF(Parametros!$B$15+Parametros!$B$16&gt;=1,"",T192/(1-Parametros!$B$15-Parametros!$B$16)))</f>
        <v/>
      </c>
      <c r="AA192" s="17">
        <f>IF($A192="","",IF(J192="","Falta precio",IF(W192&lt;0,"PIERDE",IF(X192&lt;Parametros!$B$16,"BAJO META","OK"))))</f>
        <v/>
      </c>
      <c r="AB192" s="18">
        <f>IF($A192="","",IF(OR(C192="",D192=""),"Falta tela o consumo. ","")&amp;IF(AND(C192&lt;&gt;"",M192=0),"Tela sin precio. ","")&amp;IF(S192=0,"Confección sin valor. ","")&amp;IF(J192="","Falta precio de venta. ",""))</f>
        <v/>
      </c>
    </row>
    <row r="193">
      <c r="A193" s="9" t="n"/>
      <c r="B193" s="9" t="n"/>
      <c r="C193" s="9" t="n"/>
      <c r="D193" s="10" t="n"/>
      <c r="E193" s="11" t="n"/>
      <c r="F193" s="11" t="n"/>
      <c r="G193" s="9" t="n"/>
      <c r="H193" s="9" t="n"/>
      <c r="I193" s="12" t="n"/>
      <c r="J193" s="12" t="n"/>
      <c r="K193" s="9" t="n"/>
      <c r="L193" s="13" t="n"/>
      <c r="M193" s="14">
        <f>IF($A193="","",IFERROR(D193*INDEX(Insumos!$D$6:$D$98,MATCH(C193,Insumos!$A$6:$A$98,0)),0))</f>
        <v/>
      </c>
      <c r="N193" s="14">
        <f>IF($A193="","",E193*Parametros!$H$21)</f>
        <v/>
      </c>
      <c r="O193" s="14">
        <f>IF($A193="","",F193*Parametros!$H$22)</f>
        <v/>
      </c>
      <c r="P193" s="14">
        <f>IF($A193="","",F193*Parametros!$B$17)</f>
        <v/>
      </c>
      <c r="Q193" s="14">
        <f>IF($A193="","",D193*Parametros!$H$23)</f>
        <v/>
      </c>
      <c r="R193" s="14">
        <f>IF($A193="","",H193*Parametros!$H$24)</f>
        <v/>
      </c>
      <c r="S193" s="14">
        <f>IF($A193="","",IFERROR(INDEX(Confeccion!$B$5:$B$80,MATCH(G193,Confeccion!$A$5:$A$80,0)),0))</f>
        <v/>
      </c>
      <c r="T193" s="15">
        <f>IF($A193="","",SUM(M193:S193)+I193)</f>
        <v/>
      </c>
      <c r="U193" s="14">
        <f>IF($A193="","",IF(J193="","",J193*Parametros!$B$13))</f>
        <v/>
      </c>
      <c r="V193" s="14">
        <f>IF($A193="","",IF(J193="","",J193*Parametros!$B$14))</f>
        <v/>
      </c>
      <c r="W193" s="15">
        <f>IF($A193="","",IF(J193="","",J193-T193-U193-V193))</f>
        <v/>
      </c>
      <c r="X193" s="16">
        <f>IF($A193="","",IF(J193="","",W193/J193))</f>
        <v/>
      </c>
      <c r="Y193" s="14">
        <f>IF($A193="","",IF(Parametros!$B$15&gt;=1,"",T193/(1-Parametros!$B$15)))</f>
        <v/>
      </c>
      <c r="Z193" s="14">
        <f>IF($A193="","",IF(Parametros!$B$15+Parametros!$B$16&gt;=1,"",T193/(1-Parametros!$B$15-Parametros!$B$16)))</f>
        <v/>
      </c>
      <c r="AA193" s="17">
        <f>IF($A193="","",IF(J193="","Falta precio",IF(W193&lt;0,"PIERDE",IF(X193&lt;Parametros!$B$16,"BAJO META","OK"))))</f>
        <v/>
      </c>
      <c r="AB193" s="18">
        <f>IF($A193="","",IF(OR(C193="",D193=""),"Falta tela o consumo. ","")&amp;IF(AND(C193&lt;&gt;"",M193=0),"Tela sin precio. ","")&amp;IF(S193=0,"Confección sin valor. ","")&amp;IF(J193="","Falta precio de venta. ",""))</f>
        <v/>
      </c>
    </row>
    <row r="194">
      <c r="A194" s="9" t="n"/>
      <c r="B194" s="9" t="n"/>
      <c r="C194" s="9" t="n"/>
      <c r="D194" s="10" t="n"/>
      <c r="E194" s="11" t="n"/>
      <c r="F194" s="11" t="n"/>
      <c r="G194" s="9" t="n"/>
      <c r="H194" s="9" t="n"/>
      <c r="I194" s="12" t="n"/>
      <c r="J194" s="12" t="n"/>
      <c r="K194" s="9" t="n"/>
      <c r="L194" s="13" t="n"/>
      <c r="M194" s="14">
        <f>IF($A194="","",IFERROR(D194*INDEX(Insumos!$D$6:$D$98,MATCH(C194,Insumos!$A$6:$A$98,0)),0))</f>
        <v/>
      </c>
      <c r="N194" s="14">
        <f>IF($A194="","",E194*Parametros!$H$21)</f>
        <v/>
      </c>
      <c r="O194" s="14">
        <f>IF($A194="","",F194*Parametros!$H$22)</f>
        <v/>
      </c>
      <c r="P194" s="14">
        <f>IF($A194="","",F194*Parametros!$B$17)</f>
        <v/>
      </c>
      <c r="Q194" s="14">
        <f>IF($A194="","",D194*Parametros!$H$23)</f>
        <v/>
      </c>
      <c r="R194" s="14">
        <f>IF($A194="","",H194*Parametros!$H$24)</f>
        <v/>
      </c>
      <c r="S194" s="14">
        <f>IF($A194="","",IFERROR(INDEX(Confeccion!$B$5:$B$80,MATCH(G194,Confeccion!$A$5:$A$80,0)),0))</f>
        <v/>
      </c>
      <c r="T194" s="15">
        <f>IF($A194="","",SUM(M194:S194)+I194)</f>
        <v/>
      </c>
      <c r="U194" s="14">
        <f>IF($A194="","",IF(J194="","",J194*Parametros!$B$13))</f>
        <v/>
      </c>
      <c r="V194" s="14">
        <f>IF($A194="","",IF(J194="","",J194*Parametros!$B$14))</f>
        <v/>
      </c>
      <c r="W194" s="15">
        <f>IF($A194="","",IF(J194="","",J194-T194-U194-V194))</f>
        <v/>
      </c>
      <c r="X194" s="16">
        <f>IF($A194="","",IF(J194="","",W194/J194))</f>
        <v/>
      </c>
      <c r="Y194" s="14">
        <f>IF($A194="","",IF(Parametros!$B$15&gt;=1,"",T194/(1-Parametros!$B$15)))</f>
        <v/>
      </c>
      <c r="Z194" s="14">
        <f>IF($A194="","",IF(Parametros!$B$15+Parametros!$B$16&gt;=1,"",T194/(1-Parametros!$B$15-Parametros!$B$16)))</f>
        <v/>
      </c>
      <c r="AA194" s="17">
        <f>IF($A194="","",IF(J194="","Falta precio",IF(W194&lt;0,"PIERDE",IF(X194&lt;Parametros!$B$16,"BAJO META","OK"))))</f>
        <v/>
      </c>
      <c r="AB194" s="18">
        <f>IF($A194="","",IF(OR(C194="",D194=""),"Falta tela o consumo. ","")&amp;IF(AND(C194&lt;&gt;"",M194=0),"Tela sin precio. ","")&amp;IF(S194=0,"Confección sin valor. ","")&amp;IF(J194="","Falta precio de venta. ",""))</f>
        <v/>
      </c>
    </row>
    <row r="195">
      <c r="A195" s="9" t="n"/>
      <c r="B195" s="9" t="n"/>
      <c r="C195" s="9" t="n"/>
      <c r="D195" s="10" t="n"/>
      <c r="E195" s="11" t="n"/>
      <c r="F195" s="11" t="n"/>
      <c r="G195" s="9" t="n"/>
      <c r="H195" s="9" t="n"/>
      <c r="I195" s="12" t="n"/>
      <c r="J195" s="12" t="n"/>
      <c r="K195" s="9" t="n"/>
      <c r="L195" s="13" t="n"/>
      <c r="M195" s="14">
        <f>IF($A195="","",IFERROR(D195*INDEX(Insumos!$D$6:$D$98,MATCH(C195,Insumos!$A$6:$A$98,0)),0))</f>
        <v/>
      </c>
      <c r="N195" s="14">
        <f>IF($A195="","",E195*Parametros!$H$21)</f>
        <v/>
      </c>
      <c r="O195" s="14">
        <f>IF($A195="","",F195*Parametros!$H$22)</f>
        <v/>
      </c>
      <c r="P195" s="14">
        <f>IF($A195="","",F195*Parametros!$B$17)</f>
        <v/>
      </c>
      <c r="Q195" s="14">
        <f>IF($A195="","",D195*Parametros!$H$23)</f>
        <v/>
      </c>
      <c r="R195" s="14">
        <f>IF($A195="","",H195*Parametros!$H$24)</f>
        <v/>
      </c>
      <c r="S195" s="14">
        <f>IF($A195="","",IFERROR(INDEX(Confeccion!$B$5:$B$80,MATCH(G195,Confeccion!$A$5:$A$80,0)),0))</f>
        <v/>
      </c>
      <c r="T195" s="15">
        <f>IF($A195="","",SUM(M195:S195)+I195)</f>
        <v/>
      </c>
      <c r="U195" s="14">
        <f>IF($A195="","",IF(J195="","",J195*Parametros!$B$13))</f>
        <v/>
      </c>
      <c r="V195" s="14">
        <f>IF($A195="","",IF(J195="","",J195*Parametros!$B$14))</f>
        <v/>
      </c>
      <c r="W195" s="15">
        <f>IF($A195="","",IF(J195="","",J195-T195-U195-V195))</f>
        <v/>
      </c>
      <c r="X195" s="16">
        <f>IF($A195="","",IF(J195="","",W195/J195))</f>
        <v/>
      </c>
      <c r="Y195" s="14">
        <f>IF($A195="","",IF(Parametros!$B$15&gt;=1,"",T195/(1-Parametros!$B$15)))</f>
        <v/>
      </c>
      <c r="Z195" s="14">
        <f>IF($A195="","",IF(Parametros!$B$15+Parametros!$B$16&gt;=1,"",T195/(1-Parametros!$B$15-Parametros!$B$16)))</f>
        <v/>
      </c>
      <c r="AA195" s="17">
        <f>IF($A195="","",IF(J195="","Falta precio",IF(W195&lt;0,"PIERDE",IF(X195&lt;Parametros!$B$16,"BAJO META","OK"))))</f>
        <v/>
      </c>
      <c r="AB195" s="18">
        <f>IF($A195="","",IF(OR(C195="",D195=""),"Falta tela o consumo. ","")&amp;IF(AND(C195&lt;&gt;"",M195=0),"Tela sin precio. ","")&amp;IF(S195=0,"Confección sin valor. ","")&amp;IF(J195="","Falta precio de venta. ",""))</f>
        <v/>
      </c>
    </row>
    <row r="196">
      <c r="A196" s="9" t="n"/>
      <c r="B196" s="9" t="n"/>
      <c r="C196" s="9" t="n"/>
      <c r="D196" s="10" t="n"/>
      <c r="E196" s="11" t="n"/>
      <c r="F196" s="11" t="n"/>
      <c r="G196" s="9" t="n"/>
      <c r="H196" s="9" t="n"/>
      <c r="I196" s="12" t="n"/>
      <c r="J196" s="12" t="n"/>
      <c r="K196" s="9" t="n"/>
      <c r="L196" s="13" t="n"/>
      <c r="M196" s="14">
        <f>IF($A196="","",IFERROR(D196*INDEX(Insumos!$D$6:$D$98,MATCH(C196,Insumos!$A$6:$A$98,0)),0))</f>
        <v/>
      </c>
      <c r="N196" s="14">
        <f>IF($A196="","",E196*Parametros!$H$21)</f>
        <v/>
      </c>
      <c r="O196" s="14">
        <f>IF($A196="","",F196*Parametros!$H$22)</f>
        <v/>
      </c>
      <c r="P196" s="14">
        <f>IF($A196="","",F196*Parametros!$B$17)</f>
        <v/>
      </c>
      <c r="Q196" s="14">
        <f>IF($A196="","",D196*Parametros!$H$23)</f>
        <v/>
      </c>
      <c r="R196" s="14">
        <f>IF($A196="","",H196*Parametros!$H$24)</f>
        <v/>
      </c>
      <c r="S196" s="14">
        <f>IF($A196="","",IFERROR(INDEX(Confeccion!$B$5:$B$80,MATCH(G196,Confeccion!$A$5:$A$80,0)),0))</f>
        <v/>
      </c>
      <c r="T196" s="15">
        <f>IF($A196="","",SUM(M196:S196)+I196)</f>
        <v/>
      </c>
      <c r="U196" s="14">
        <f>IF($A196="","",IF(J196="","",J196*Parametros!$B$13))</f>
        <v/>
      </c>
      <c r="V196" s="14">
        <f>IF($A196="","",IF(J196="","",J196*Parametros!$B$14))</f>
        <v/>
      </c>
      <c r="W196" s="15">
        <f>IF($A196="","",IF(J196="","",J196-T196-U196-V196))</f>
        <v/>
      </c>
      <c r="X196" s="16">
        <f>IF($A196="","",IF(J196="","",W196/J196))</f>
        <v/>
      </c>
      <c r="Y196" s="14">
        <f>IF($A196="","",IF(Parametros!$B$15&gt;=1,"",T196/(1-Parametros!$B$15)))</f>
        <v/>
      </c>
      <c r="Z196" s="14">
        <f>IF($A196="","",IF(Parametros!$B$15+Parametros!$B$16&gt;=1,"",T196/(1-Parametros!$B$15-Parametros!$B$16)))</f>
        <v/>
      </c>
      <c r="AA196" s="17">
        <f>IF($A196="","",IF(J196="","Falta precio",IF(W196&lt;0,"PIERDE",IF(X196&lt;Parametros!$B$16,"BAJO META","OK"))))</f>
        <v/>
      </c>
      <c r="AB196" s="18">
        <f>IF($A196="","",IF(OR(C196="",D196=""),"Falta tela o consumo. ","")&amp;IF(AND(C196&lt;&gt;"",M196=0),"Tela sin precio. ","")&amp;IF(S196=0,"Confección sin valor. ","")&amp;IF(J196="","Falta precio de venta. ",""))</f>
        <v/>
      </c>
    </row>
    <row r="197">
      <c r="A197" s="9" t="n"/>
      <c r="B197" s="9" t="n"/>
      <c r="C197" s="9" t="n"/>
      <c r="D197" s="10" t="n"/>
      <c r="E197" s="11" t="n"/>
      <c r="F197" s="11" t="n"/>
      <c r="G197" s="9" t="n"/>
      <c r="H197" s="9" t="n"/>
      <c r="I197" s="12" t="n"/>
      <c r="J197" s="12" t="n"/>
      <c r="K197" s="9" t="n"/>
      <c r="L197" s="13" t="n"/>
      <c r="M197" s="14">
        <f>IF($A197="","",IFERROR(D197*INDEX(Insumos!$D$6:$D$98,MATCH(C197,Insumos!$A$6:$A$98,0)),0))</f>
        <v/>
      </c>
      <c r="N197" s="14">
        <f>IF($A197="","",E197*Parametros!$H$21)</f>
        <v/>
      </c>
      <c r="O197" s="14">
        <f>IF($A197="","",F197*Parametros!$H$22)</f>
        <v/>
      </c>
      <c r="P197" s="14">
        <f>IF($A197="","",F197*Parametros!$B$17)</f>
        <v/>
      </c>
      <c r="Q197" s="14">
        <f>IF($A197="","",D197*Parametros!$H$23)</f>
        <v/>
      </c>
      <c r="R197" s="14">
        <f>IF($A197="","",H197*Parametros!$H$24)</f>
        <v/>
      </c>
      <c r="S197" s="14">
        <f>IF($A197="","",IFERROR(INDEX(Confeccion!$B$5:$B$80,MATCH(G197,Confeccion!$A$5:$A$80,0)),0))</f>
        <v/>
      </c>
      <c r="T197" s="15">
        <f>IF($A197="","",SUM(M197:S197)+I197)</f>
        <v/>
      </c>
      <c r="U197" s="14">
        <f>IF($A197="","",IF(J197="","",J197*Parametros!$B$13))</f>
        <v/>
      </c>
      <c r="V197" s="14">
        <f>IF($A197="","",IF(J197="","",J197*Parametros!$B$14))</f>
        <v/>
      </c>
      <c r="W197" s="15">
        <f>IF($A197="","",IF(J197="","",J197-T197-U197-V197))</f>
        <v/>
      </c>
      <c r="X197" s="16">
        <f>IF($A197="","",IF(J197="","",W197/J197))</f>
        <v/>
      </c>
      <c r="Y197" s="14">
        <f>IF($A197="","",IF(Parametros!$B$15&gt;=1,"",T197/(1-Parametros!$B$15)))</f>
        <v/>
      </c>
      <c r="Z197" s="14">
        <f>IF($A197="","",IF(Parametros!$B$15+Parametros!$B$16&gt;=1,"",T197/(1-Parametros!$B$15-Parametros!$B$16)))</f>
        <v/>
      </c>
      <c r="AA197" s="17">
        <f>IF($A197="","",IF(J197="","Falta precio",IF(W197&lt;0,"PIERDE",IF(X197&lt;Parametros!$B$16,"BAJO META","OK"))))</f>
        <v/>
      </c>
      <c r="AB197" s="18">
        <f>IF($A197="","",IF(OR(C197="",D197=""),"Falta tela o consumo. ","")&amp;IF(AND(C197&lt;&gt;"",M197=0),"Tela sin precio. ","")&amp;IF(S197=0,"Confección sin valor. ","")&amp;IF(J197="","Falta precio de venta. ",""))</f>
        <v/>
      </c>
    </row>
    <row r="198">
      <c r="A198" s="9" t="n"/>
      <c r="B198" s="9" t="n"/>
      <c r="C198" s="9" t="n"/>
      <c r="D198" s="10" t="n"/>
      <c r="E198" s="11" t="n"/>
      <c r="F198" s="11" t="n"/>
      <c r="G198" s="9" t="n"/>
      <c r="H198" s="9" t="n"/>
      <c r="I198" s="12" t="n"/>
      <c r="J198" s="12" t="n"/>
      <c r="K198" s="9" t="n"/>
      <c r="L198" s="13" t="n"/>
      <c r="M198" s="14">
        <f>IF($A198="","",IFERROR(D198*INDEX(Insumos!$D$6:$D$98,MATCH(C198,Insumos!$A$6:$A$98,0)),0))</f>
        <v/>
      </c>
      <c r="N198" s="14">
        <f>IF($A198="","",E198*Parametros!$H$21)</f>
        <v/>
      </c>
      <c r="O198" s="14">
        <f>IF($A198="","",F198*Parametros!$H$22)</f>
        <v/>
      </c>
      <c r="P198" s="14">
        <f>IF($A198="","",F198*Parametros!$B$17)</f>
        <v/>
      </c>
      <c r="Q198" s="14">
        <f>IF($A198="","",D198*Parametros!$H$23)</f>
        <v/>
      </c>
      <c r="R198" s="14">
        <f>IF($A198="","",H198*Parametros!$H$24)</f>
        <v/>
      </c>
      <c r="S198" s="14">
        <f>IF($A198="","",IFERROR(INDEX(Confeccion!$B$5:$B$80,MATCH(G198,Confeccion!$A$5:$A$80,0)),0))</f>
        <v/>
      </c>
      <c r="T198" s="15">
        <f>IF($A198="","",SUM(M198:S198)+I198)</f>
        <v/>
      </c>
      <c r="U198" s="14">
        <f>IF($A198="","",IF(J198="","",J198*Parametros!$B$13))</f>
        <v/>
      </c>
      <c r="V198" s="14">
        <f>IF($A198="","",IF(J198="","",J198*Parametros!$B$14))</f>
        <v/>
      </c>
      <c r="W198" s="15">
        <f>IF($A198="","",IF(J198="","",J198-T198-U198-V198))</f>
        <v/>
      </c>
      <c r="X198" s="16">
        <f>IF($A198="","",IF(J198="","",W198/J198))</f>
        <v/>
      </c>
      <c r="Y198" s="14">
        <f>IF($A198="","",IF(Parametros!$B$15&gt;=1,"",T198/(1-Parametros!$B$15)))</f>
        <v/>
      </c>
      <c r="Z198" s="14">
        <f>IF($A198="","",IF(Parametros!$B$15+Parametros!$B$16&gt;=1,"",T198/(1-Parametros!$B$15-Parametros!$B$16)))</f>
        <v/>
      </c>
      <c r="AA198" s="17">
        <f>IF($A198="","",IF(J198="","Falta precio",IF(W198&lt;0,"PIERDE",IF(X198&lt;Parametros!$B$16,"BAJO META","OK"))))</f>
        <v/>
      </c>
      <c r="AB198" s="18">
        <f>IF($A198="","",IF(OR(C198="",D198=""),"Falta tela o consumo. ","")&amp;IF(AND(C198&lt;&gt;"",M198=0),"Tela sin precio. ","")&amp;IF(S198=0,"Confección sin valor. ","")&amp;IF(J198="","Falta precio de venta. ",""))</f>
        <v/>
      </c>
    </row>
    <row r="199">
      <c r="A199" s="9" t="n"/>
      <c r="B199" s="9" t="n"/>
      <c r="C199" s="9" t="n"/>
      <c r="D199" s="10" t="n"/>
      <c r="E199" s="11" t="n"/>
      <c r="F199" s="11" t="n"/>
      <c r="G199" s="9" t="n"/>
      <c r="H199" s="9" t="n"/>
      <c r="I199" s="12" t="n"/>
      <c r="J199" s="12" t="n"/>
      <c r="K199" s="9" t="n"/>
      <c r="L199" s="13" t="n"/>
      <c r="M199" s="14">
        <f>IF($A199="","",IFERROR(D199*INDEX(Insumos!$D$6:$D$98,MATCH(C199,Insumos!$A$6:$A$98,0)),0))</f>
        <v/>
      </c>
      <c r="N199" s="14">
        <f>IF($A199="","",E199*Parametros!$H$21)</f>
        <v/>
      </c>
      <c r="O199" s="14">
        <f>IF($A199="","",F199*Parametros!$H$22)</f>
        <v/>
      </c>
      <c r="P199" s="14">
        <f>IF($A199="","",F199*Parametros!$B$17)</f>
        <v/>
      </c>
      <c r="Q199" s="14">
        <f>IF($A199="","",D199*Parametros!$H$23)</f>
        <v/>
      </c>
      <c r="R199" s="14">
        <f>IF($A199="","",H199*Parametros!$H$24)</f>
        <v/>
      </c>
      <c r="S199" s="14">
        <f>IF($A199="","",IFERROR(INDEX(Confeccion!$B$5:$B$80,MATCH(G199,Confeccion!$A$5:$A$80,0)),0))</f>
        <v/>
      </c>
      <c r="T199" s="15">
        <f>IF($A199="","",SUM(M199:S199)+I199)</f>
        <v/>
      </c>
      <c r="U199" s="14">
        <f>IF($A199="","",IF(J199="","",J199*Parametros!$B$13))</f>
        <v/>
      </c>
      <c r="V199" s="14">
        <f>IF($A199="","",IF(J199="","",J199*Parametros!$B$14))</f>
        <v/>
      </c>
      <c r="W199" s="15">
        <f>IF($A199="","",IF(J199="","",J199-T199-U199-V199))</f>
        <v/>
      </c>
      <c r="X199" s="16">
        <f>IF($A199="","",IF(J199="","",W199/J199))</f>
        <v/>
      </c>
      <c r="Y199" s="14">
        <f>IF($A199="","",IF(Parametros!$B$15&gt;=1,"",T199/(1-Parametros!$B$15)))</f>
        <v/>
      </c>
      <c r="Z199" s="14">
        <f>IF($A199="","",IF(Parametros!$B$15+Parametros!$B$16&gt;=1,"",T199/(1-Parametros!$B$15-Parametros!$B$16)))</f>
        <v/>
      </c>
      <c r="AA199" s="17">
        <f>IF($A199="","",IF(J199="","Falta precio",IF(W199&lt;0,"PIERDE",IF(X199&lt;Parametros!$B$16,"BAJO META","OK"))))</f>
        <v/>
      </c>
      <c r="AB199" s="18">
        <f>IF($A199="","",IF(OR(C199="",D199=""),"Falta tela o consumo. ","")&amp;IF(AND(C199&lt;&gt;"",M199=0),"Tela sin precio. ","")&amp;IF(S199=0,"Confección sin valor. ","")&amp;IF(J199="","Falta precio de venta. ",""))</f>
        <v/>
      </c>
    </row>
    <row r="200">
      <c r="A200" s="9" t="n"/>
      <c r="B200" s="9" t="n"/>
      <c r="C200" s="9" t="n"/>
      <c r="D200" s="10" t="n"/>
      <c r="E200" s="11" t="n"/>
      <c r="F200" s="11" t="n"/>
      <c r="G200" s="9" t="n"/>
      <c r="H200" s="9" t="n"/>
      <c r="I200" s="12" t="n"/>
      <c r="J200" s="12" t="n"/>
      <c r="K200" s="9" t="n"/>
      <c r="L200" s="13" t="n"/>
      <c r="M200" s="14">
        <f>IF($A200="","",IFERROR(D200*INDEX(Insumos!$D$6:$D$98,MATCH(C200,Insumos!$A$6:$A$98,0)),0))</f>
        <v/>
      </c>
      <c r="N200" s="14">
        <f>IF($A200="","",E200*Parametros!$H$21)</f>
        <v/>
      </c>
      <c r="O200" s="14">
        <f>IF($A200="","",F200*Parametros!$H$22)</f>
        <v/>
      </c>
      <c r="P200" s="14">
        <f>IF($A200="","",F200*Parametros!$B$17)</f>
        <v/>
      </c>
      <c r="Q200" s="14">
        <f>IF($A200="","",D200*Parametros!$H$23)</f>
        <v/>
      </c>
      <c r="R200" s="14">
        <f>IF($A200="","",H200*Parametros!$H$24)</f>
        <v/>
      </c>
      <c r="S200" s="14">
        <f>IF($A200="","",IFERROR(INDEX(Confeccion!$B$5:$B$80,MATCH(G200,Confeccion!$A$5:$A$80,0)),0))</f>
        <v/>
      </c>
      <c r="T200" s="15">
        <f>IF($A200="","",SUM(M200:S200)+I200)</f>
        <v/>
      </c>
      <c r="U200" s="14">
        <f>IF($A200="","",IF(J200="","",J200*Parametros!$B$13))</f>
        <v/>
      </c>
      <c r="V200" s="14">
        <f>IF($A200="","",IF(J200="","",J200*Parametros!$B$14))</f>
        <v/>
      </c>
      <c r="W200" s="15">
        <f>IF($A200="","",IF(J200="","",J200-T200-U200-V200))</f>
        <v/>
      </c>
      <c r="X200" s="16">
        <f>IF($A200="","",IF(J200="","",W200/J200))</f>
        <v/>
      </c>
      <c r="Y200" s="14">
        <f>IF($A200="","",IF(Parametros!$B$15&gt;=1,"",T200/(1-Parametros!$B$15)))</f>
        <v/>
      </c>
      <c r="Z200" s="14">
        <f>IF($A200="","",IF(Parametros!$B$15+Parametros!$B$16&gt;=1,"",T200/(1-Parametros!$B$15-Parametros!$B$16)))</f>
        <v/>
      </c>
      <c r="AA200" s="17">
        <f>IF($A200="","",IF(J200="","Falta precio",IF(W200&lt;0,"PIERDE",IF(X200&lt;Parametros!$B$16,"BAJO META","OK"))))</f>
        <v/>
      </c>
      <c r="AB200" s="18">
        <f>IF($A200="","",IF(OR(C200="",D200=""),"Falta tela o consumo. ","")&amp;IF(AND(C200&lt;&gt;"",M200=0),"Tela sin precio. ","")&amp;IF(S200=0,"Confección sin valor. ","")&amp;IF(J200="","Falta precio de venta. ",""))</f>
        <v/>
      </c>
    </row>
    <row r="201">
      <c r="A201" s="9" t="n"/>
      <c r="B201" s="9" t="n"/>
      <c r="C201" s="9" t="n"/>
      <c r="D201" s="10" t="n"/>
      <c r="E201" s="11" t="n"/>
      <c r="F201" s="11" t="n"/>
      <c r="G201" s="9" t="n"/>
      <c r="H201" s="9" t="n"/>
      <c r="I201" s="12" t="n"/>
      <c r="J201" s="12" t="n"/>
      <c r="K201" s="9" t="n"/>
      <c r="L201" s="13" t="n"/>
      <c r="M201" s="14">
        <f>IF($A201="","",IFERROR(D201*INDEX(Insumos!$D$6:$D$98,MATCH(C201,Insumos!$A$6:$A$98,0)),0))</f>
        <v/>
      </c>
      <c r="N201" s="14">
        <f>IF($A201="","",E201*Parametros!$H$21)</f>
        <v/>
      </c>
      <c r="O201" s="14">
        <f>IF($A201="","",F201*Parametros!$H$22)</f>
        <v/>
      </c>
      <c r="P201" s="14">
        <f>IF($A201="","",F201*Parametros!$B$17)</f>
        <v/>
      </c>
      <c r="Q201" s="14">
        <f>IF($A201="","",D201*Parametros!$H$23)</f>
        <v/>
      </c>
      <c r="R201" s="14">
        <f>IF($A201="","",H201*Parametros!$H$24)</f>
        <v/>
      </c>
      <c r="S201" s="14">
        <f>IF($A201="","",IFERROR(INDEX(Confeccion!$B$5:$B$80,MATCH(G201,Confeccion!$A$5:$A$80,0)),0))</f>
        <v/>
      </c>
      <c r="T201" s="15">
        <f>IF($A201="","",SUM(M201:S201)+I201)</f>
        <v/>
      </c>
      <c r="U201" s="14">
        <f>IF($A201="","",IF(J201="","",J201*Parametros!$B$13))</f>
        <v/>
      </c>
      <c r="V201" s="14">
        <f>IF($A201="","",IF(J201="","",J201*Parametros!$B$14))</f>
        <v/>
      </c>
      <c r="W201" s="15">
        <f>IF($A201="","",IF(J201="","",J201-T201-U201-V201))</f>
        <v/>
      </c>
      <c r="X201" s="16">
        <f>IF($A201="","",IF(J201="","",W201/J201))</f>
        <v/>
      </c>
      <c r="Y201" s="14">
        <f>IF($A201="","",IF(Parametros!$B$15&gt;=1,"",T201/(1-Parametros!$B$15)))</f>
        <v/>
      </c>
      <c r="Z201" s="14">
        <f>IF($A201="","",IF(Parametros!$B$15+Parametros!$B$16&gt;=1,"",T201/(1-Parametros!$B$15-Parametros!$B$16)))</f>
        <v/>
      </c>
      <c r="AA201" s="17">
        <f>IF($A201="","",IF(J201="","Falta precio",IF(W201&lt;0,"PIERDE",IF(X201&lt;Parametros!$B$16,"BAJO META","OK"))))</f>
        <v/>
      </c>
      <c r="AB201" s="18">
        <f>IF($A201="","",IF(OR(C201="",D201=""),"Falta tela o consumo. ","")&amp;IF(AND(C201&lt;&gt;"",M201=0),"Tela sin precio. ","")&amp;IF(S201=0,"Confección sin valor. ","")&amp;IF(J201="","Falta precio de venta. ",""))</f>
        <v/>
      </c>
    </row>
    <row r="202">
      <c r="A202" s="9" t="n"/>
      <c r="B202" s="9" t="n"/>
      <c r="C202" s="9" t="n"/>
      <c r="D202" s="10" t="n"/>
      <c r="E202" s="11" t="n"/>
      <c r="F202" s="11" t="n"/>
      <c r="G202" s="9" t="n"/>
      <c r="H202" s="9" t="n"/>
      <c r="I202" s="12" t="n"/>
      <c r="J202" s="12" t="n"/>
      <c r="K202" s="9" t="n"/>
      <c r="L202" s="13" t="n"/>
      <c r="M202" s="14">
        <f>IF($A202="","",IFERROR(D202*INDEX(Insumos!$D$6:$D$98,MATCH(C202,Insumos!$A$6:$A$98,0)),0))</f>
        <v/>
      </c>
      <c r="N202" s="14">
        <f>IF($A202="","",E202*Parametros!$H$21)</f>
        <v/>
      </c>
      <c r="O202" s="14">
        <f>IF($A202="","",F202*Parametros!$H$22)</f>
        <v/>
      </c>
      <c r="P202" s="14">
        <f>IF($A202="","",F202*Parametros!$B$17)</f>
        <v/>
      </c>
      <c r="Q202" s="14">
        <f>IF($A202="","",D202*Parametros!$H$23)</f>
        <v/>
      </c>
      <c r="R202" s="14">
        <f>IF($A202="","",H202*Parametros!$H$24)</f>
        <v/>
      </c>
      <c r="S202" s="14">
        <f>IF($A202="","",IFERROR(INDEX(Confeccion!$B$5:$B$80,MATCH(G202,Confeccion!$A$5:$A$80,0)),0))</f>
        <v/>
      </c>
      <c r="T202" s="15">
        <f>IF($A202="","",SUM(M202:S202)+I202)</f>
        <v/>
      </c>
      <c r="U202" s="14">
        <f>IF($A202="","",IF(J202="","",J202*Parametros!$B$13))</f>
        <v/>
      </c>
      <c r="V202" s="14">
        <f>IF($A202="","",IF(J202="","",J202*Parametros!$B$14))</f>
        <v/>
      </c>
      <c r="W202" s="15">
        <f>IF($A202="","",IF(J202="","",J202-T202-U202-V202))</f>
        <v/>
      </c>
      <c r="X202" s="16">
        <f>IF($A202="","",IF(J202="","",W202/J202))</f>
        <v/>
      </c>
      <c r="Y202" s="14">
        <f>IF($A202="","",IF(Parametros!$B$15&gt;=1,"",T202/(1-Parametros!$B$15)))</f>
        <v/>
      </c>
      <c r="Z202" s="14">
        <f>IF($A202="","",IF(Parametros!$B$15+Parametros!$B$16&gt;=1,"",T202/(1-Parametros!$B$15-Parametros!$B$16)))</f>
        <v/>
      </c>
      <c r="AA202" s="17">
        <f>IF($A202="","",IF(J202="","Falta precio",IF(W202&lt;0,"PIERDE",IF(X202&lt;Parametros!$B$16,"BAJO META","OK"))))</f>
        <v/>
      </c>
      <c r="AB202" s="18">
        <f>IF($A202="","",IF(OR(C202="",D202=""),"Falta tela o consumo. ","")&amp;IF(AND(C202&lt;&gt;"",M202=0),"Tela sin precio. ","")&amp;IF(S202=0,"Confección sin valor. ","")&amp;IF(J202="","Falta precio de venta. ",""))</f>
        <v/>
      </c>
    </row>
    <row r="203">
      <c r="A203" s="9" t="n"/>
      <c r="B203" s="9" t="n"/>
      <c r="C203" s="9" t="n"/>
      <c r="D203" s="10" t="n"/>
      <c r="E203" s="11" t="n"/>
      <c r="F203" s="11" t="n"/>
      <c r="G203" s="9" t="n"/>
      <c r="H203" s="9" t="n"/>
      <c r="I203" s="12" t="n"/>
      <c r="J203" s="12" t="n"/>
      <c r="K203" s="9" t="n"/>
      <c r="L203" s="13" t="n"/>
      <c r="M203" s="14">
        <f>IF($A203="","",IFERROR(D203*INDEX(Insumos!$D$6:$D$98,MATCH(C203,Insumos!$A$6:$A$98,0)),0))</f>
        <v/>
      </c>
      <c r="N203" s="14">
        <f>IF($A203="","",E203*Parametros!$H$21)</f>
        <v/>
      </c>
      <c r="O203" s="14">
        <f>IF($A203="","",F203*Parametros!$H$22)</f>
        <v/>
      </c>
      <c r="P203" s="14">
        <f>IF($A203="","",F203*Parametros!$B$17)</f>
        <v/>
      </c>
      <c r="Q203" s="14">
        <f>IF($A203="","",D203*Parametros!$H$23)</f>
        <v/>
      </c>
      <c r="R203" s="14">
        <f>IF($A203="","",H203*Parametros!$H$24)</f>
        <v/>
      </c>
      <c r="S203" s="14">
        <f>IF($A203="","",IFERROR(INDEX(Confeccion!$B$5:$B$80,MATCH(G203,Confeccion!$A$5:$A$80,0)),0))</f>
        <v/>
      </c>
      <c r="T203" s="15">
        <f>IF($A203="","",SUM(M203:S203)+I203)</f>
        <v/>
      </c>
      <c r="U203" s="14">
        <f>IF($A203="","",IF(J203="","",J203*Parametros!$B$13))</f>
        <v/>
      </c>
      <c r="V203" s="14">
        <f>IF($A203="","",IF(J203="","",J203*Parametros!$B$14))</f>
        <v/>
      </c>
      <c r="W203" s="15">
        <f>IF($A203="","",IF(J203="","",J203-T203-U203-V203))</f>
        <v/>
      </c>
      <c r="X203" s="16">
        <f>IF($A203="","",IF(J203="","",W203/J203))</f>
        <v/>
      </c>
      <c r="Y203" s="14">
        <f>IF($A203="","",IF(Parametros!$B$15&gt;=1,"",T203/(1-Parametros!$B$15)))</f>
        <v/>
      </c>
      <c r="Z203" s="14">
        <f>IF($A203="","",IF(Parametros!$B$15+Parametros!$B$16&gt;=1,"",T203/(1-Parametros!$B$15-Parametros!$B$16)))</f>
        <v/>
      </c>
      <c r="AA203" s="17">
        <f>IF($A203="","",IF(J203="","Falta precio",IF(W203&lt;0,"PIERDE",IF(X203&lt;Parametros!$B$16,"BAJO META","OK"))))</f>
        <v/>
      </c>
      <c r="AB203" s="18">
        <f>IF($A203="","",IF(OR(C203="",D203=""),"Falta tela o consumo. ","")&amp;IF(AND(C203&lt;&gt;"",M203=0),"Tela sin precio. ","")&amp;IF(S203=0,"Confección sin valor. ","")&amp;IF(J203="","Falta precio de venta. ",""))</f>
        <v/>
      </c>
    </row>
    <row r="204">
      <c r="A204" s="9" t="n"/>
      <c r="B204" s="9" t="n"/>
      <c r="C204" s="9" t="n"/>
      <c r="D204" s="10" t="n"/>
      <c r="E204" s="11" t="n"/>
      <c r="F204" s="11" t="n"/>
      <c r="G204" s="9" t="n"/>
      <c r="H204" s="9" t="n"/>
      <c r="I204" s="12" t="n"/>
      <c r="J204" s="12" t="n"/>
      <c r="K204" s="9" t="n"/>
      <c r="L204" s="13" t="n"/>
      <c r="M204" s="14">
        <f>IF($A204="","",IFERROR(D204*INDEX(Insumos!$D$6:$D$98,MATCH(C204,Insumos!$A$6:$A$98,0)),0))</f>
        <v/>
      </c>
      <c r="N204" s="14">
        <f>IF($A204="","",E204*Parametros!$H$21)</f>
        <v/>
      </c>
      <c r="O204" s="14">
        <f>IF($A204="","",F204*Parametros!$H$22)</f>
        <v/>
      </c>
      <c r="P204" s="14">
        <f>IF($A204="","",F204*Parametros!$B$17)</f>
        <v/>
      </c>
      <c r="Q204" s="14">
        <f>IF($A204="","",D204*Parametros!$H$23)</f>
        <v/>
      </c>
      <c r="R204" s="14">
        <f>IF($A204="","",H204*Parametros!$H$24)</f>
        <v/>
      </c>
      <c r="S204" s="14">
        <f>IF($A204="","",IFERROR(INDEX(Confeccion!$B$5:$B$80,MATCH(G204,Confeccion!$A$5:$A$80,0)),0))</f>
        <v/>
      </c>
      <c r="T204" s="15">
        <f>IF($A204="","",SUM(M204:S204)+I204)</f>
        <v/>
      </c>
      <c r="U204" s="14">
        <f>IF($A204="","",IF(J204="","",J204*Parametros!$B$13))</f>
        <v/>
      </c>
      <c r="V204" s="14">
        <f>IF($A204="","",IF(J204="","",J204*Parametros!$B$14))</f>
        <v/>
      </c>
      <c r="W204" s="15">
        <f>IF($A204="","",IF(J204="","",J204-T204-U204-V204))</f>
        <v/>
      </c>
      <c r="X204" s="16">
        <f>IF($A204="","",IF(J204="","",W204/J204))</f>
        <v/>
      </c>
      <c r="Y204" s="14">
        <f>IF($A204="","",IF(Parametros!$B$15&gt;=1,"",T204/(1-Parametros!$B$15)))</f>
        <v/>
      </c>
      <c r="Z204" s="14">
        <f>IF($A204="","",IF(Parametros!$B$15+Parametros!$B$16&gt;=1,"",T204/(1-Parametros!$B$15-Parametros!$B$16)))</f>
        <v/>
      </c>
      <c r="AA204" s="17">
        <f>IF($A204="","",IF(J204="","Falta precio",IF(W204&lt;0,"PIERDE",IF(X204&lt;Parametros!$B$16,"BAJO META","OK"))))</f>
        <v/>
      </c>
      <c r="AB204" s="18">
        <f>IF($A204="","",IF(OR(C204="",D204=""),"Falta tela o consumo. ","")&amp;IF(AND(C204&lt;&gt;"",M204=0),"Tela sin precio. ","")&amp;IF(S204=0,"Confección sin valor. ","")&amp;IF(J204="","Falta precio de venta. ",""))</f>
        <v/>
      </c>
    </row>
    <row r="205">
      <c r="A205" s="9" t="n"/>
      <c r="B205" s="9" t="n"/>
      <c r="C205" s="9" t="n"/>
      <c r="D205" s="10" t="n"/>
      <c r="E205" s="11" t="n"/>
      <c r="F205" s="11" t="n"/>
      <c r="G205" s="9" t="n"/>
      <c r="H205" s="9" t="n"/>
      <c r="I205" s="12" t="n"/>
      <c r="J205" s="12" t="n"/>
      <c r="K205" s="9" t="n"/>
      <c r="L205" s="13" t="n"/>
      <c r="M205" s="14">
        <f>IF($A205="","",IFERROR(D205*INDEX(Insumos!$D$6:$D$98,MATCH(C205,Insumos!$A$6:$A$98,0)),0))</f>
        <v/>
      </c>
      <c r="N205" s="14">
        <f>IF($A205="","",E205*Parametros!$H$21)</f>
        <v/>
      </c>
      <c r="O205" s="14">
        <f>IF($A205="","",F205*Parametros!$H$22)</f>
        <v/>
      </c>
      <c r="P205" s="14">
        <f>IF($A205="","",F205*Parametros!$B$17)</f>
        <v/>
      </c>
      <c r="Q205" s="14">
        <f>IF($A205="","",D205*Parametros!$H$23)</f>
        <v/>
      </c>
      <c r="R205" s="14">
        <f>IF($A205="","",H205*Parametros!$H$24)</f>
        <v/>
      </c>
      <c r="S205" s="14">
        <f>IF($A205="","",IFERROR(INDEX(Confeccion!$B$5:$B$80,MATCH(G205,Confeccion!$A$5:$A$80,0)),0))</f>
        <v/>
      </c>
      <c r="T205" s="15">
        <f>IF($A205="","",SUM(M205:S205)+I205)</f>
        <v/>
      </c>
      <c r="U205" s="14">
        <f>IF($A205="","",IF(J205="","",J205*Parametros!$B$13))</f>
        <v/>
      </c>
      <c r="V205" s="14">
        <f>IF($A205="","",IF(J205="","",J205*Parametros!$B$14))</f>
        <v/>
      </c>
      <c r="W205" s="15">
        <f>IF($A205="","",IF(J205="","",J205-T205-U205-V205))</f>
        <v/>
      </c>
      <c r="X205" s="16">
        <f>IF($A205="","",IF(J205="","",W205/J205))</f>
        <v/>
      </c>
      <c r="Y205" s="14">
        <f>IF($A205="","",IF(Parametros!$B$15&gt;=1,"",T205/(1-Parametros!$B$15)))</f>
        <v/>
      </c>
      <c r="Z205" s="14">
        <f>IF($A205="","",IF(Parametros!$B$15+Parametros!$B$16&gt;=1,"",T205/(1-Parametros!$B$15-Parametros!$B$16)))</f>
        <v/>
      </c>
      <c r="AA205" s="17">
        <f>IF($A205="","",IF(J205="","Falta precio",IF(W205&lt;0,"PIERDE",IF(X205&lt;Parametros!$B$16,"BAJO META","OK"))))</f>
        <v/>
      </c>
      <c r="AB205" s="18">
        <f>IF($A205="","",IF(OR(C205="",D205=""),"Falta tela o consumo. ","")&amp;IF(AND(C205&lt;&gt;"",M205=0),"Tela sin precio. ","")&amp;IF(S205=0,"Confección sin valor. ","")&amp;IF(J205="","Falta precio de venta. ",""))</f>
        <v/>
      </c>
    </row>
  </sheetData>
  <mergeCells count="3">
    <mergeCell ref="U4:AB4"/>
    <mergeCell ref="M4:T4"/>
    <mergeCell ref="A4:L4"/>
  </mergeCells>
  <conditionalFormatting sqref="AA6:AA205">
    <cfRule type="expression" priority="1" dxfId="0">
      <formula>$AA6="PIERDE"</formula>
    </cfRule>
    <cfRule type="expression" priority="2" dxfId="1">
      <formula>$AA6="BAJO META"</formula>
    </cfRule>
    <cfRule type="expression" priority="3" dxfId="2">
      <formula>$AA6="OK"</formula>
    </cfRule>
    <cfRule type="expression" priority="4" dxfId="3">
      <formula>$AA6="Falta precio"</formula>
    </cfRule>
  </conditionalFormatting>
  <dataValidations count="5">
    <dataValidation sqref="C6:C205" showDropDown="0" showInputMessage="0" showErrorMessage="1" allowBlank="1" type="list">
      <formula1>=Insumos!$A$6:$A$35</formula1>
    </dataValidation>
    <dataValidation sqref="G6:G205" showDropDown="0" showInputMessage="0" showErrorMessage="0" allowBlank="1" type="list">
      <formula1>=Confeccion!$A$5:$A$80</formula1>
    </dataValidation>
    <dataValidation sqref="A6:A205" showDropDown="0" showInputMessage="0" showErrorMessage="0" allowBlank="1" type="list">
      <formula1>=Catalogo!$A$5:$A$142</formula1>
    </dataValidation>
    <dataValidation sqref="K6:K205" showDropDown="0" showInputMessage="0" showErrorMessage="0" allowBlank="1" type="list">
      <formula1>"Validado,Preliminar,Observado,Pendiente"</formula1>
    </dataValidation>
    <dataValidation sqref="H6:H205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2" customWidth="1" min="8" max="8"/>
    <col width="13" customWidth="1" min="9" max="9"/>
    <col width="15" customWidth="1" min="10" max="10"/>
  </cols>
  <sheetData>
    <row r="1">
      <c r="A1" s="1" t="inlineStr">
        <is>
          <t>PARÁMETROS — recargo, meta de ganancia y costo de procesos</t>
        </is>
      </c>
    </row>
    <row r="2">
      <c r="A2" s="2" t="inlineStr">
        <is>
          <t>Amarillo con letra azul = lo editas tú. Gris = se calcula solo. Verde = viene de otra hoja.</t>
        </is>
      </c>
    </row>
    <row r="4">
      <c r="A4" s="3" t="inlineStr">
        <is>
          <t>1) RECARGO POR GASTOS FIJOS Y COMERCIALES</t>
        </is>
      </c>
    </row>
    <row r="5">
      <c r="A5" s="8" t="inlineStr">
        <is>
          <t>Concepto</t>
        </is>
      </c>
      <c r="B5" s="8" t="inlineStr">
        <is>
          <t>Valor</t>
        </is>
      </c>
      <c r="C5" s="8" t="inlineStr">
        <is>
          <t>Cómo se calcula</t>
        </is>
      </c>
    </row>
    <row r="6">
      <c r="A6" s="19" t="inlineStr">
        <is>
          <t>Gastos de fábrica — promedio 3 meses</t>
        </is>
      </c>
      <c r="B6" s="20">
        <f>Gastos_Fijos!$F$38</f>
        <v/>
      </c>
      <c r="C6" s="19" t="inlineStr">
        <is>
          <t>Desde Gastos_Fijos</t>
        </is>
      </c>
    </row>
    <row r="7">
      <c r="A7" s="19" t="inlineStr">
        <is>
          <t>Gastos comerciales — promedio 3 meses</t>
        </is>
      </c>
      <c r="B7" s="20">
        <f>Gastos_Fijos!$F$39</f>
        <v/>
      </c>
      <c r="C7" s="19" t="inlineStr">
        <is>
          <t>Desde Gastos_Fijos</t>
        </is>
      </c>
    </row>
    <row r="8">
      <c r="A8" s="19" t="inlineStr">
        <is>
          <t>Ventas netas — promedio 3 meses</t>
        </is>
      </c>
      <c r="B8" s="20">
        <f>Gastos_Fijos!$F$42</f>
        <v/>
      </c>
      <c r="C8" s="19" t="inlineStr">
        <is>
          <t>Desde Gastos_Fijos</t>
        </is>
      </c>
    </row>
    <row r="9">
      <c r="A9" s="19" t="inlineStr">
        <is>
          <t>Recargo de fábrica calculado</t>
        </is>
      </c>
      <c r="B9" s="16">
        <f>IFERROR(B6/B8,0)</f>
        <v/>
      </c>
      <c r="C9" s="19" t="inlineStr">
        <is>
          <t>Gastos de fábrica ÷ ventas</t>
        </is>
      </c>
    </row>
    <row r="10">
      <c r="A10" s="19" t="inlineStr">
        <is>
          <t>Recargo comercial calculado</t>
        </is>
      </c>
      <c r="B10" s="16">
        <f>IFERROR(B7/B8,0)</f>
        <v/>
      </c>
      <c r="C10" s="19" t="inlineStr">
        <is>
          <t>Gastos comerciales ÷ ventas</t>
        </is>
      </c>
    </row>
    <row r="11">
      <c r="A11" s="19" t="inlineStr">
        <is>
          <t>Recargo de fábrica manual (opcional)</t>
        </is>
      </c>
      <c r="B11" s="21" t="n"/>
      <c r="C11" s="19" t="inlineStr">
        <is>
          <t>Déjalo vacío para usar el calculado. Escribe un % para fijarlo.</t>
        </is>
      </c>
    </row>
    <row r="12">
      <c r="A12" s="19" t="inlineStr">
        <is>
          <t>Recargo comercial manual (opcional)</t>
        </is>
      </c>
      <c r="B12" s="21" t="n"/>
      <c r="C12" s="19" t="inlineStr">
        <is>
          <t>Déjalo vacío para usar el calculado. Escribe un % para fijarlo.</t>
        </is>
      </c>
    </row>
    <row r="13">
      <c r="A13" s="22" t="inlineStr">
        <is>
          <t>RECARGO DE FÁBRICA USADO</t>
        </is>
      </c>
      <c r="B13" s="23">
        <f>IF(ISNUMBER(B11),B11,B9)</f>
        <v/>
      </c>
      <c r="C13" s="19" t="inlineStr">
        <is>
          <t>Es el que usan las recetas</t>
        </is>
      </c>
    </row>
    <row r="14">
      <c r="A14" s="22" t="inlineStr">
        <is>
          <t>RECARGO COMERCIAL USADO</t>
        </is>
      </c>
      <c r="B14" s="23">
        <f>IF(ISNUMBER(B12),B12,B10)</f>
        <v/>
      </c>
      <c r="C14" s="19" t="inlineStr">
        <is>
          <t>Es el que usan las recetas</t>
        </is>
      </c>
    </row>
    <row r="15">
      <c r="A15" s="22" t="inlineStr">
        <is>
          <t>RECARGO TOTAL USADO</t>
        </is>
      </c>
      <c r="B15" s="23">
        <f>B13+B14</f>
        <v/>
      </c>
      <c r="C15" s="19" t="inlineStr">
        <is>
          <t>De cada $100 vendidos, este % se reserva para pagar los gastos</t>
        </is>
      </c>
    </row>
    <row r="16">
      <c r="A16" s="19" t="inlineStr">
        <is>
          <t>Ganancia deseada</t>
        </is>
      </c>
      <c r="B16" s="21" t="n">
        <v>0.1</v>
      </c>
      <c r="C16" s="19" t="inlineStr">
        <is>
          <t>POR CONFIRMAR: meta de ganancia sobre el precio de venta (10% es un ejemplo)</t>
        </is>
      </c>
    </row>
    <row r="17">
      <c r="A17" s="19" t="inlineStr">
        <is>
          <t>Tinta + papel de sublimación ($ por metro sublimado)</t>
        </is>
      </c>
      <c r="B17" s="24" t="n">
        <v>0</v>
      </c>
      <c r="C17" s="19" t="inlineStr">
        <is>
          <t>PENDIENTE: hoy no está en ningún costo. Ingresar cuando tengas el dato.</t>
        </is>
      </c>
    </row>
    <row r="19">
      <c r="A19" s="3" t="inlineStr">
        <is>
          <t>2) COSTO DE PROCESOS (sueldo ÷ horas ÷ operarios ÷ rendimiento)</t>
        </is>
      </c>
    </row>
    <row r="20">
      <c r="A20" s="8" t="inlineStr">
        <is>
          <t>Proceso</t>
        </is>
      </c>
      <c r="B20" s="8" t="inlineStr">
        <is>
          <t>Sueldo mensual</t>
        </is>
      </c>
      <c r="C20" s="8" t="inlineStr">
        <is>
          <t>Horas/mes</t>
        </is>
      </c>
      <c r="D20" s="8" t="inlineStr">
        <is>
          <t>N° operarios</t>
        </is>
      </c>
      <c r="E20" s="8" t="inlineStr">
        <is>
          <t>Valor hora</t>
        </is>
      </c>
      <c r="F20" s="8" t="inlineStr">
        <is>
          <t>Rendimiento</t>
        </is>
      </c>
      <c r="G20" s="8" t="inlineStr">
        <is>
          <t>Unidad rend.</t>
        </is>
      </c>
      <c r="H20" s="8" t="inlineStr">
        <is>
          <t>COSTO</t>
        </is>
      </c>
      <c r="I20" s="8" t="inlineStr">
        <is>
          <t>Se cobra por</t>
        </is>
      </c>
      <c r="J20" s="8" t="inlineStr">
        <is>
          <t>Estado</t>
        </is>
      </c>
    </row>
    <row r="21">
      <c r="A21" s="19" t="inlineStr">
        <is>
          <t>Ploteo</t>
        </is>
      </c>
      <c r="B21" s="20">
        <f>Gastos_Fijos!$F$6</f>
        <v/>
      </c>
      <c r="C21" s="9" t="n">
        <v>168</v>
      </c>
      <c r="D21" s="9" t="n">
        <v>3</v>
      </c>
      <c r="E21" s="14">
        <f>IFERROR(B21/C21/D21,0)</f>
        <v/>
      </c>
      <c r="F21" s="11" t="n">
        <v>53.9</v>
      </c>
      <c r="G21" s="19" t="inlineStr">
        <is>
          <t>m/h</t>
        </is>
      </c>
      <c r="H21" s="14">
        <f>IFERROR(E21/F21,0)</f>
        <v/>
      </c>
      <c r="I21" s="19" t="inlineStr">
        <is>
          <t>metro</t>
        </is>
      </c>
      <c r="J21" s="9" t="inlineStr">
        <is>
          <t>Por confirmar</t>
        </is>
      </c>
    </row>
    <row r="22">
      <c r="A22" s="19" t="inlineStr">
        <is>
          <t>Sublimación</t>
        </is>
      </c>
      <c r="B22" s="20">
        <f>Gastos_Fijos!$F$7</f>
        <v/>
      </c>
      <c r="C22" s="9" t="n">
        <v>168</v>
      </c>
      <c r="D22" s="9" t="n">
        <v>1</v>
      </c>
      <c r="E22" s="14">
        <f>IFERROR(B22/C22/D22,0)</f>
        <v/>
      </c>
      <c r="F22" s="11" t="n">
        <v>38.8</v>
      </c>
      <c r="G22" s="19" t="inlineStr">
        <is>
          <t>m/h</t>
        </is>
      </c>
      <c r="H22" s="14">
        <f>IFERROR(E22/F22,0)</f>
        <v/>
      </c>
      <c r="I22" s="19" t="inlineStr">
        <is>
          <t>metro</t>
        </is>
      </c>
      <c r="J22" s="9" t="inlineStr">
        <is>
          <t>Por confirmar</t>
        </is>
      </c>
    </row>
    <row r="23">
      <c r="A23" s="19" t="inlineStr">
        <is>
          <t>Corte</t>
        </is>
      </c>
      <c r="B23" s="20">
        <f>Gastos_Fijos!$F$8</f>
        <v/>
      </c>
      <c r="C23" s="9" t="n">
        <v>168</v>
      </c>
      <c r="D23" s="9" t="n">
        <v>2</v>
      </c>
      <c r="E23" s="14">
        <f>IFERROR(B23/C23/D23,0)</f>
        <v/>
      </c>
      <c r="F23" s="11" t="n"/>
      <c r="G23" s="19" t="inlineStr">
        <is>
          <t>kg/h</t>
        </is>
      </c>
      <c r="H23" s="12" t="n">
        <v>3943</v>
      </c>
      <c r="I23" s="19" t="inlineStr">
        <is>
          <t>kg de tela</t>
        </is>
      </c>
      <c r="J23" s="9" t="inlineStr">
        <is>
          <t>Por confirmar</t>
        </is>
      </c>
    </row>
    <row r="24">
      <c r="A24" s="19" t="inlineStr">
        <is>
          <t>Estampado</t>
        </is>
      </c>
      <c r="B24" s="20">
        <f>Gastos_Fijos!$F$10</f>
        <v/>
      </c>
      <c r="C24" s="9" t="n">
        <v>168</v>
      </c>
      <c r="D24" s="9" t="n">
        <v>1</v>
      </c>
      <c r="E24" s="14">
        <f>IFERROR(B24/C24/D24,0)</f>
        <v/>
      </c>
      <c r="F24" s="11" t="n">
        <v>48</v>
      </c>
      <c r="G24" s="19" t="inlineStr">
        <is>
          <t>prendas/h</t>
        </is>
      </c>
      <c r="H24" s="14">
        <f>IFERROR(E24/F24,0)</f>
        <v/>
      </c>
      <c r="I24" s="19" t="inlineStr">
        <is>
          <t>prenda</t>
        </is>
      </c>
      <c r="J24" s="9" t="inlineStr">
        <is>
          <t>Por confirmar</t>
        </is>
      </c>
    </row>
    <row r="26">
      <c r="A26" s="2" t="inlineStr">
        <is>
          <t>Corte: $3.943 por kg es un valor fijo del archivo original (no tenía rendimiento kg/h). Por confirmar.</t>
        </is>
      </c>
    </row>
    <row r="27">
      <c r="A27" s="2" t="inlineStr">
        <is>
          <t>Rendimientos (m/h, prendas/h) vienen del archivo original: ploteo de 544 registros, sublimación de solo 3 proyectos, estampado de 1 observación.</t>
        </is>
      </c>
    </row>
  </sheetData>
  <dataValidations count="1">
    <dataValidation sqref="J21:J24" showDropDown="0" showInputMessage="0" showErrorMessage="0" allowBlank="0" type="list">
      <formula1>"Confirmado,Por confirmar,PENDIENTE"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4" customWidth="1" min="3" max="3"/>
    <col width="14" customWidth="1" min="4" max="4"/>
    <col width="14" customWidth="1" min="5" max="5"/>
    <col width="18" customWidth="1" min="6" max="6"/>
    <col width="70" customWidth="1" min="7" max="7"/>
  </cols>
  <sheetData>
    <row r="1">
      <c r="A1" s="1" t="inlineStr">
        <is>
          <t>GASTOS FIJOS Y VENTAS — últimos 3 meses</t>
        </is>
      </c>
    </row>
    <row r="2">
      <c r="A2" s="2" t="inlineStr">
        <is>
          <t>Cada trimestre: escribe los 3 meses más recientes (amarillo). El sistema promedia y recalcula el recargo solo.</t>
        </is>
      </c>
    </row>
    <row r="5">
      <c r="A5" s="8" t="inlineStr">
        <is>
          <t>Concepto</t>
        </is>
      </c>
      <c r="B5" s="8" t="inlineStr">
        <is>
          <t>Grupo</t>
        </is>
      </c>
      <c r="C5" s="25" t="inlineStr">
        <is>
          <t>Jun-2026</t>
        </is>
      </c>
      <c r="D5" s="25" t="inlineStr">
        <is>
          <t>Jul-2026</t>
        </is>
      </c>
      <c r="E5" s="25" t="inlineStr">
        <is>
          <t>Ago-2026</t>
        </is>
      </c>
      <c r="F5" s="8" t="inlineStr">
        <is>
          <t>Promedio 3 meses</t>
        </is>
      </c>
      <c r="G5" s="8" t="inlineStr">
        <is>
          <t>Nota</t>
        </is>
      </c>
    </row>
    <row r="6">
      <c r="A6" s="19" t="inlineStr">
        <is>
          <t>Ploteo</t>
        </is>
      </c>
      <c r="B6" s="9" t="inlineStr">
        <is>
          <t>Fábrica</t>
        </is>
      </c>
      <c r="C6" s="12" t="n">
        <v>2400000</v>
      </c>
      <c r="D6" s="12" t="n">
        <v>2400000</v>
      </c>
      <c r="E6" s="12" t="n">
        <v>2400000</v>
      </c>
      <c r="F6" s="14">
        <f>AVERAGE(C6:E6)</f>
        <v/>
      </c>
      <c r="G6" s="19" t="inlineStr">
        <is>
          <t>Sueldo del área (viene del archivo original)</t>
        </is>
      </c>
    </row>
    <row r="7">
      <c r="A7" s="19" t="inlineStr">
        <is>
          <t>Sublimación</t>
        </is>
      </c>
      <c r="B7" s="9" t="inlineStr">
        <is>
          <t>Fábrica</t>
        </is>
      </c>
      <c r="C7" s="12" t="n">
        <v>833000</v>
      </c>
      <c r="D7" s="12" t="n">
        <v>833000</v>
      </c>
      <c r="E7" s="12" t="n">
        <v>833000</v>
      </c>
      <c r="F7" s="14">
        <f>AVERAGE(C7:E7)</f>
        <v/>
      </c>
      <c r="G7" s="19" t="inlineStr">
        <is>
          <t>Sueldo del área (viene del archivo original)</t>
        </is>
      </c>
    </row>
    <row r="8">
      <c r="A8" s="19" t="inlineStr">
        <is>
          <t>Corte</t>
        </is>
      </c>
      <c r="B8" s="9" t="inlineStr">
        <is>
          <t>Fábrica</t>
        </is>
      </c>
      <c r="C8" s="12" t="n">
        <v>1666000</v>
      </c>
      <c r="D8" s="12" t="n">
        <v>1666000</v>
      </c>
      <c r="E8" s="12" t="n">
        <v>1666000</v>
      </c>
      <c r="F8" s="14">
        <f>AVERAGE(C8:E8)</f>
        <v/>
      </c>
      <c r="G8" s="19" t="inlineStr">
        <is>
          <t>Sueldo del área (viene del archivo original)</t>
        </is>
      </c>
    </row>
    <row r="9">
      <c r="A9" s="19" t="inlineStr">
        <is>
          <t>Confección interna</t>
        </is>
      </c>
      <c r="B9" s="9" t="inlineStr">
        <is>
          <t>Fábrica</t>
        </is>
      </c>
      <c r="C9" s="12" t="n">
        <v>1105374</v>
      </c>
      <c r="D9" s="12" t="n">
        <v>1105374</v>
      </c>
      <c r="E9" s="12" t="n">
        <v>1105374</v>
      </c>
      <c r="F9" s="14">
        <f>AVERAGE(C9:E9)</f>
        <v/>
      </c>
      <c r="G9" s="19" t="inlineStr">
        <is>
          <t>Sueldo del área (viene del archivo original)</t>
        </is>
      </c>
    </row>
    <row r="10">
      <c r="A10" s="19" t="inlineStr">
        <is>
          <t>Estampado</t>
        </is>
      </c>
      <c r="B10" s="9" t="inlineStr">
        <is>
          <t>Fábrica</t>
        </is>
      </c>
      <c r="C10" s="12" t="n">
        <v>720000</v>
      </c>
      <c r="D10" s="12" t="n">
        <v>720000</v>
      </c>
      <c r="E10" s="12" t="n">
        <v>720000</v>
      </c>
      <c r="F10" s="14">
        <f>AVERAGE(C10:E10)</f>
        <v/>
      </c>
      <c r="G10" s="19" t="inlineStr">
        <is>
          <t>Sueldo del área (viene del archivo original)</t>
        </is>
      </c>
    </row>
    <row r="11">
      <c r="A11" s="19" t="inlineStr">
        <is>
          <t>Luz</t>
        </is>
      </c>
      <c r="B11" s="9" t="inlineStr">
        <is>
          <t>Fábrica</t>
        </is>
      </c>
      <c r="C11" s="12" t="n">
        <v>638049</v>
      </c>
      <c r="D11" s="12" t="n">
        <v>638049</v>
      </c>
      <c r="E11" s="12" t="n">
        <v>638049</v>
      </c>
      <c r="F11" s="14">
        <f>AVERAGE(C11:E11)</f>
        <v/>
      </c>
      <c r="G11" s="19" t="inlineStr">
        <is>
          <t>Gasto de fábrica</t>
        </is>
      </c>
    </row>
    <row r="12">
      <c r="A12" s="19" t="inlineStr">
        <is>
          <t>Agua</t>
        </is>
      </c>
      <c r="B12" s="9" t="inlineStr">
        <is>
          <t>Fábrica</t>
        </is>
      </c>
      <c r="C12" s="12" t="n">
        <v>10630</v>
      </c>
      <c r="D12" s="12" t="n">
        <v>10630</v>
      </c>
      <c r="E12" s="12" t="n">
        <v>10630</v>
      </c>
      <c r="F12" s="14">
        <f>AVERAGE(C12:E12)</f>
        <v/>
      </c>
      <c r="G12" s="19" t="inlineStr">
        <is>
          <t>Gasto de fábrica</t>
        </is>
      </c>
    </row>
    <row r="13">
      <c r="A13" s="19" t="inlineStr">
        <is>
          <t>Telefonía</t>
        </is>
      </c>
      <c r="B13" s="9" t="inlineStr">
        <is>
          <t>Fábrica</t>
        </is>
      </c>
      <c r="C13" s="12" t="n">
        <v>95000</v>
      </c>
      <c r="D13" s="12" t="n">
        <v>95000</v>
      </c>
      <c r="E13" s="12" t="n">
        <v>95000</v>
      </c>
      <c r="F13" s="14">
        <f>AVERAGE(C13:E13)</f>
        <v/>
      </c>
      <c r="G13" s="19" t="inlineStr">
        <is>
          <t>Gasto de fábrica</t>
        </is>
      </c>
    </row>
    <row r="14">
      <c r="A14" s="19" t="inlineStr">
        <is>
          <t>Arriendo</t>
        </is>
      </c>
      <c r="B14" s="9" t="inlineStr">
        <is>
          <t>Fábrica</t>
        </is>
      </c>
      <c r="C14" s="12" t="n">
        <v>2163844</v>
      </c>
      <c r="D14" s="12" t="n">
        <v>2163844</v>
      </c>
      <c r="E14" s="12" t="n">
        <v>2163844</v>
      </c>
      <c r="F14" s="14">
        <f>AVERAGE(C14:E14)</f>
        <v/>
      </c>
      <c r="G14" s="19" t="inlineStr">
        <is>
          <t>Gasto de fábrica</t>
        </is>
      </c>
    </row>
    <row r="15">
      <c r="A15" s="19" t="inlineStr">
        <is>
          <t>Internet</t>
        </is>
      </c>
      <c r="B15" s="9" t="inlineStr">
        <is>
          <t>Fábrica</t>
        </is>
      </c>
      <c r="C15" s="12" t="n">
        <v>49000</v>
      </c>
      <c r="D15" s="12" t="n">
        <v>49000</v>
      </c>
      <c r="E15" s="12" t="n">
        <v>49000</v>
      </c>
      <c r="F15" s="14">
        <f>AVERAGE(C15:E15)</f>
        <v/>
      </c>
      <c r="G15" s="19" t="inlineStr">
        <is>
          <t>Gasto de fábrica</t>
        </is>
      </c>
    </row>
    <row r="16">
      <c r="A16" s="19" t="inlineStr">
        <is>
          <t>Mantención de máquinas</t>
        </is>
      </c>
      <c r="B16" s="9" t="inlineStr">
        <is>
          <t>Fábrica</t>
        </is>
      </c>
      <c r="C16" s="12" t="n">
        <v>300000</v>
      </c>
      <c r="D16" s="12" t="n">
        <v>300000</v>
      </c>
      <c r="E16" s="12" t="n">
        <v>300000</v>
      </c>
      <c r="F16" s="14">
        <f>AVERAGE(C16:E16)</f>
        <v/>
      </c>
      <c r="G16" s="19" t="inlineStr">
        <is>
          <t>Gasto de fábrica</t>
        </is>
      </c>
    </row>
    <row r="17">
      <c r="A17" s="19" t="inlineStr">
        <is>
          <t>Seguridad</t>
        </is>
      </c>
      <c r="B17" s="9" t="inlineStr">
        <is>
          <t>Fábrica</t>
        </is>
      </c>
      <c r="C17" s="12" t="n">
        <v>50000</v>
      </c>
      <c r="D17" s="12" t="n">
        <v>50000</v>
      </c>
      <c r="E17" s="12" t="n">
        <v>50000</v>
      </c>
      <c r="F17" s="14">
        <f>AVERAGE(C17:E17)</f>
        <v/>
      </c>
      <c r="G17" s="19" t="inlineStr">
        <is>
          <t>Gasto de fábrica</t>
        </is>
      </c>
    </row>
    <row r="18">
      <c r="A18" s="19" t="inlineStr">
        <is>
          <t>Insumos de limpieza (aseo)</t>
        </is>
      </c>
      <c r="B18" s="9" t="inlineStr">
        <is>
          <t>Fábrica</t>
        </is>
      </c>
      <c r="C18" s="12" t="n">
        <v>100000</v>
      </c>
      <c r="D18" s="12" t="n">
        <v>100000</v>
      </c>
      <c r="E18" s="12" t="n">
        <v>100000</v>
      </c>
      <c r="F18" s="14">
        <f>AVERAGE(C18:E18)</f>
        <v/>
      </c>
      <c r="G18" s="19" t="inlineStr">
        <is>
          <t>Gasto de fábrica</t>
        </is>
      </c>
    </row>
    <row r="19">
      <c r="A19" s="19" t="inlineStr">
        <is>
          <t>Insumos de oficina</t>
        </is>
      </c>
      <c r="B19" s="9" t="inlineStr">
        <is>
          <t>Fábrica</t>
        </is>
      </c>
      <c r="C19" s="12" t="n">
        <v>100000</v>
      </c>
      <c r="D19" s="12" t="n">
        <v>100000</v>
      </c>
      <c r="E19" s="12" t="n">
        <v>100000</v>
      </c>
      <c r="F19" s="14">
        <f>AVERAGE(C19:E19)</f>
        <v/>
      </c>
      <c r="G19" s="19" t="inlineStr">
        <is>
          <t>Gasto de fábrica</t>
        </is>
      </c>
    </row>
    <row r="20">
      <c r="A20" s="19" t="inlineStr">
        <is>
          <t>Bencina</t>
        </is>
      </c>
      <c r="B20" s="9" t="inlineStr">
        <is>
          <t>Fábrica</t>
        </is>
      </c>
      <c r="C20" s="12" t="n">
        <v>300000</v>
      </c>
      <c r="D20" s="12" t="n">
        <v>300000</v>
      </c>
      <c r="E20" s="12" t="n">
        <v>300000</v>
      </c>
      <c r="F20" s="14">
        <f>AVERAGE(C20:E20)</f>
        <v/>
      </c>
      <c r="G20" s="19" t="inlineStr">
        <is>
          <t>Gasto de fábrica</t>
        </is>
      </c>
    </row>
    <row r="21">
      <c r="A21" s="19" t="inlineStr">
        <is>
          <t>Jefe de producción (sueldo)</t>
        </is>
      </c>
      <c r="B21" s="9" t="inlineStr">
        <is>
          <t>Fábrica</t>
        </is>
      </c>
      <c r="C21" s="12" t="n">
        <v>1071000</v>
      </c>
      <c r="D21" s="12" t="n">
        <v>1071000</v>
      </c>
      <c r="E21" s="12" t="n">
        <v>1071000</v>
      </c>
      <c r="F21" s="14">
        <f>AVERAGE(C21:E21)</f>
        <v/>
      </c>
      <c r="G21" s="19" t="inlineStr">
        <is>
          <t>Gasto de fábrica</t>
        </is>
      </c>
    </row>
    <row r="22">
      <c r="A22" s="19" t="inlineStr">
        <is>
          <t>Fichas técnicas (sueldo)</t>
        </is>
      </c>
      <c r="B22" s="9" t="inlineStr">
        <is>
          <t>Fábrica</t>
        </is>
      </c>
      <c r="C22" s="12" t="n">
        <v>400000</v>
      </c>
      <c r="D22" s="12" t="n">
        <v>400000</v>
      </c>
      <c r="E22" s="12" t="n">
        <v>400000</v>
      </c>
      <c r="F22" s="14">
        <f>AVERAGE(C22:E22)</f>
        <v/>
      </c>
      <c r="G22" s="19" t="inlineStr">
        <is>
          <t>Gasto de fábrica</t>
        </is>
      </c>
    </row>
    <row r="23">
      <c r="A23" s="19" t="inlineStr">
        <is>
          <t>Apoyo producción (sueldo)</t>
        </is>
      </c>
      <c r="B23" s="9" t="inlineStr">
        <is>
          <t>Fábrica</t>
        </is>
      </c>
      <c r="C23" s="12" t="n">
        <v>120000</v>
      </c>
      <c r="D23" s="12" t="n">
        <v>120000</v>
      </c>
      <c r="E23" s="12" t="n">
        <v>120000</v>
      </c>
      <c r="F23" s="14">
        <f>AVERAGE(C23:E23)</f>
        <v/>
      </c>
      <c r="G23" s="19" t="inlineStr">
        <is>
          <t>Gasto de fábrica</t>
        </is>
      </c>
    </row>
    <row r="24">
      <c r="A24" s="19" t="inlineStr">
        <is>
          <t>Personal aseo (sueldo)</t>
        </is>
      </c>
      <c r="B24" s="9" t="inlineStr">
        <is>
          <t>Fábrica</t>
        </is>
      </c>
      <c r="C24" s="12" t="n">
        <v>300000</v>
      </c>
      <c r="D24" s="12" t="n">
        <v>300000</v>
      </c>
      <c r="E24" s="12" t="n">
        <v>300000</v>
      </c>
      <c r="F24" s="14">
        <f>AVERAGE(C24:E24)</f>
        <v/>
      </c>
      <c r="G24" s="19" t="inlineStr">
        <is>
          <t>Gasto de fábrica</t>
        </is>
      </c>
    </row>
    <row r="25">
      <c r="A25" s="19" t="inlineStr">
        <is>
          <t>CEO (sueldo)</t>
        </is>
      </c>
      <c r="B25" s="9" t="inlineStr">
        <is>
          <t>Comercial</t>
        </is>
      </c>
      <c r="C25" s="12" t="n">
        <v>0</v>
      </c>
      <c r="D25" s="12" t="n">
        <v>0</v>
      </c>
      <c r="E25" s="12" t="n">
        <v>0</v>
      </c>
      <c r="F25" s="14">
        <f>AVERAGE(C25:E25)</f>
        <v/>
      </c>
      <c r="G25" s="19" t="inlineStr">
        <is>
          <t>Gasto de ventas/administración</t>
        </is>
      </c>
    </row>
    <row r="26">
      <c r="A26" s="19" t="inlineStr">
        <is>
          <t>Administración (sueldo)</t>
        </is>
      </c>
      <c r="B26" s="9" t="inlineStr">
        <is>
          <t>Comercial</t>
        </is>
      </c>
      <c r="C26" s="12" t="n">
        <v>0</v>
      </c>
      <c r="D26" s="12" t="n">
        <v>0</v>
      </c>
      <c r="E26" s="12" t="n">
        <v>0</v>
      </c>
      <c r="F26" s="14">
        <f>AVERAGE(C26:E26)</f>
        <v/>
      </c>
      <c r="G26" s="19" t="inlineStr">
        <is>
          <t>Gasto de ventas/administración</t>
        </is>
      </c>
    </row>
    <row r="27">
      <c r="A27" s="19" t="inlineStr">
        <is>
          <t>Ventas (sueldo)</t>
        </is>
      </c>
      <c r="B27" s="9" t="inlineStr">
        <is>
          <t>Comercial</t>
        </is>
      </c>
      <c r="C27" s="12" t="n">
        <v>1680000</v>
      </c>
      <c r="D27" s="12" t="n">
        <v>1680000</v>
      </c>
      <c r="E27" s="12" t="n">
        <v>1680000</v>
      </c>
      <c r="F27" s="14">
        <f>AVERAGE(C27:E27)</f>
        <v/>
      </c>
      <c r="G27" s="19" t="inlineStr">
        <is>
          <t>Gasto de ventas/administración</t>
        </is>
      </c>
    </row>
    <row r="28">
      <c r="A28" s="19" t="inlineStr">
        <is>
          <t>Marketing (sueldo)</t>
        </is>
      </c>
      <c r="B28" s="9" t="inlineStr">
        <is>
          <t>Comercial</t>
        </is>
      </c>
      <c r="C28" s="12" t="n">
        <v>680000</v>
      </c>
      <c r="D28" s="12" t="n">
        <v>680000</v>
      </c>
      <c r="E28" s="12" t="n">
        <v>680000</v>
      </c>
      <c r="F28" s="14">
        <f>AVERAGE(C28:E28)</f>
        <v/>
      </c>
      <c r="G28" s="19" t="inlineStr">
        <is>
          <t>Gasto de ventas/administración</t>
        </is>
      </c>
    </row>
    <row r="29">
      <c r="A29" s="19" t="inlineStr">
        <is>
          <t>Audiovisual / contenido (sueldo)</t>
        </is>
      </c>
      <c r="B29" s="9" t="inlineStr">
        <is>
          <t>Comercial</t>
        </is>
      </c>
      <c r="C29" s="12" t="n">
        <v>397000</v>
      </c>
      <c r="D29" s="12" t="n">
        <v>397000</v>
      </c>
      <c r="E29" s="12" t="n">
        <v>397000</v>
      </c>
      <c r="F29" s="14">
        <f>AVERAGE(C29:E29)</f>
        <v/>
      </c>
      <c r="G29" s="19" t="inlineStr">
        <is>
          <t>Gasto de ventas/administración</t>
        </is>
      </c>
    </row>
    <row r="30">
      <c r="A30" s="19" t="inlineStr">
        <is>
          <t>Facebook / Instagram Ads</t>
        </is>
      </c>
      <c r="B30" s="9" t="inlineStr">
        <is>
          <t>Comercial</t>
        </is>
      </c>
      <c r="C30" s="12" t="n">
        <v>447861</v>
      </c>
      <c r="D30" s="12" t="n">
        <v>447861</v>
      </c>
      <c r="E30" s="12" t="n">
        <v>447861</v>
      </c>
      <c r="F30" s="14">
        <f>AVERAGE(C30:E30)</f>
        <v/>
      </c>
      <c r="G30" s="19" t="inlineStr">
        <is>
          <t>Gasto de ventas/administración</t>
        </is>
      </c>
    </row>
    <row r="31">
      <c r="A31" s="19" t="inlineStr">
        <is>
          <t>Google Ads</t>
        </is>
      </c>
      <c r="B31" s="9" t="inlineStr">
        <is>
          <t>Comercial</t>
        </is>
      </c>
      <c r="C31" s="12" t="n">
        <v>450000</v>
      </c>
      <c r="D31" s="12" t="n">
        <v>450000</v>
      </c>
      <c r="E31" s="12" t="n">
        <v>450000</v>
      </c>
      <c r="F31" s="14">
        <f>AVERAGE(C31:E31)</f>
        <v/>
      </c>
      <c r="G31" s="19" t="inlineStr">
        <is>
          <t>Gasto de ventas/administración</t>
        </is>
      </c>
    </row>
    <row r="32">
      <c r="A32" s="19" t="inlineStr">
        <is>
          <t>Agencia de marketing</t>
        </is>
      </c>
      <c r="B32" s="9" t="inlineStr">
        <is>
          <t>Comercial</t>
        </is>
      </c>
      <c r="C32" s="12" t="n">
        <v>214200</v>
      </c>
      <c r="D32" s="12" t="n">
        <v>214200</v>
      </c>
      <c r="E32" s="12" t="n">
        <v>214200</v>
      </c>
      <c r="F32" s="14">
        <f>AVERAGE(C32:E32)</f>
        <v/>
      </c>
      <c r="G32" s="19" t="inlineStr">
        <is>
          <t>Gasto de ventas/administración</t>
        </is>
      </c>
    </row>
    <row r="33">
      <c r="A33" s="19" t="inlineStr">
        <is>
          <t>Herramientas de IA</t>
        </is>
      </c>
      <c r="B33" s="9" t="inlineStr">
        <is>
          <t>Comercial</t>
        </is>
      </c>
      <c r="C33" s="12" t="n">
        <v>450000</v>
      </c>
      <c r="D33" s="12" t="n">
        <v>450000</v>
      </c>
      <c r="E33" s="12" t="n">
        <v>450000</v>
      </c>
      <c r="F33" s="14">
        <f>AVERAGE(C33:E33)</f>
        <v/>
      </c>
      <c r="G33" s="19" t="inlineStr">
        <is>
          <t>Gasto de ventas/administración</t>
        </is>
      </c>
    </row>
    <row r="34">
      <c r="A34" s="19" t="inlineStr">
        <is>
          <t>Software (Canva, Adobe, etc.)</t>
        </is>
      </c>
      <c r="B34" s="9" t="inlineStr">
        <is>
          <t>Comercial</t>
        </is>
      </c>
      <c r="C34" s="12" t="n">
        <v>60000</v>
      </c>
      <c r="D34" s="12" t="n">
        <v>60000</v>
      </c>
      <c r="E34" s="12" t="n">
        <v>60000</v>
      </c>
      <c r="F34" s="14">
        <f>AVERAGE(C34:E34)</f>
        <v/>
      </c>
      <c r="G34" s="19" t="inlineStr">
        <is>
          <t>Gasto de ventas/administración</t>
        </is>
      </c>
    </row>
    <row r="35">
      <c r="A35" s="19" t="inlineStr">
        <is>
          <t>Uber</t>
        </is>
      </c>
      <c r="B35" s="9" t="inlineStr">
        <is>
          <t>Comercial</t>
        </is>
      </c>
      <c r="C35" s="12" t="n">
        <v>80000</v>
      </c>
      <c r="D35" s="12" t="n">
        <v>80000</v>
      </c>
      <c r="E35" s="12" t="n">
        <v>80000</v>
      </c>
      <c r="F35" s="14">
        <f>AVERAGE(C35:E35)</f>
        <v/>
      </c>
      <c r="G35" s="19" t="inlineStr">
        <is>
          <t>Gasto de ventas/administración</t>
        </is>
      </c>
    </row>
    <row r="36">
      <c r="A36" s="19" t="inlineStr">
        <is>
          <t>Descuento: sueldos ya cobrados dentro de las recetas (ingresar en negativo)</t>
        </is>
      </c>
      <c r="B36" s="9" t="inlineStr">
        <is>
          <t>Fábrica</t>
        </is>
      </c>
      <c r="C36" s="12" t="n">
        <v>0</v>
      </c>
      <c r="D36" s="12" t="n">
        <v>0</v>
      </c>
      <c r="E36" s="12" t="n">
        <v>0</v>
      </c>
      <c r="F36" s="14">
        <f>AVERAGE(C36:E36)</f>
        <v/>
      </c>
      <c r="G36" s="19" t="inlineStr">
        <is>
          <t>Dejar en 0 salvo que quieras evitar contar dos veces parte del sueldo de ploteo/sublimación/corte</t>
        </is>
      </c>
    </row>
    <row r="38">
      <c r="A38" s="22" t="inlineStr">
        <is>
          <t>TOTAL GASTOS DE FÁBRICA</t>
        </is>
      </c>
      <c r="C38" s="14">
        <f>SUMIF($B$6:$B$36,"Fábrica",C$6:C$36)</f>
        <v/>
      </c>
      <c r="D38" s="14">
        <f>SUMIF($B$6:$B$36,"Fábrica",D$6:D$36)</f>
        <v/>
      </c>
      <c r="E38" s="14">
        <f>SUMIF($B$6:$B$36,"Fábrica",E$6:E$36)</f>
        <v/>
      </c>
      <c r="F38" s="14">
        <f>SUMIF($B$6:$B$36,"Fábrica",F$6:F$36)</f>
        <v/>
      </c>
    </row>
    <row r="39">
      <c r="A39" s="22" t="inlineStr">
        <is>
          <t>TOTAL GASTOS COMERCIALES</t>
        </is>
      </c>
      <c r="C39" s="14">
        <f>SUMIF($B$6:$B$36,"Comercial",C$6:C$36)</f>
        <v/>
      </c>
      <c r="D39" s="14">
        <f>SUMIF($B$6:$B$36,"Comercial",D$6:D$36)</f>
        <v/>
      </c>
      <c r="E39" s="14">
        <f>SUMIF($B$6:$B$36,"Comercial",E$6:E$36)</f>
        <v/>
      </c>
      <c r="F39" s="14">
        <f>SUMIF($B$6:$B$36,"Comercial",F$6:F$36)</f>
        <v/>
      </c>
    </row>
    <row r="40">
      <c r="A40" s="22" t="inlineStr">
        <is>
          <t>TOTAL GASTOS FIJOS</t>
        </is>
      </c>
      <c r="C40" s="14">
        <f>C38+C39</f>
        <v/>
      </c>
      <c r="D40" s="14">
        <f>D38+D39</f>
        <v/>
      </c>
      <c r="E40" s="14">
        <f>E38+E39</f>
        <v/>
      </c>
      <c r="F40" s="14">
        <f>F38+F39</f>
        <v/>
      </c>
    </row>
    <row r="42">
      <c r="A42" s="22" t="inlineStr">
        <is>
          <t>VENTAS NETAS DEL MES ($)</t>
        </is>
      </c>
      <c r="B42" s="19" t="inlineStr"/>
      <c r="C42" s="12" t="n">
        <v>32768213</v>
      </c>
      <c r="D42" s="12" t="n">
        <v>38874120</v>
      </c>
      <c r="E42" s="12" t="n">
        <v>33942186</v>
      </c>
      <c r="F42" s="14">
        <f>AVERAGE(C42:E42)</f>
        <v/>
      </c>
      <c r="G42" s="19" t="inlineStr">
        <is>
          <t>Fuente: hoja Proyectos_PMK del archivo original (suma Neto $ jun, jul, ago 2026)</t>
        </is>
      </c>
    </row>
    <row r="44">
      <c r="A44" s="2" t="inlineStr">
        <is>
          <t>POR CONFIRMAR: los 3 meses de gastos tienen el mismo monto (el archivo original solo trae un mes). Reemplazar con el gasto real de cada mes.</t>
        </is>
      </c>
    </row>
    <row r="45">
      <c r="A45" s="2" t="inlineStr">
        <is>
          <t>Grupo "Fábrica" = cuesta producir (arriendo, luz, sueldos de producción). Grupo "Comercial" = ventas y marketing. Puedes cambiar el grupo de cualquier línea.</t>
        </is>
      </c>
    </row>
    <row r="46">
      <c r="A46" s="2" t="inlineStr">
        <is>
          <t>Los sueldos de ploteo/sublimación/corte/estampado están en "Fábrica": las recetas cobran solo el tiempo usado, el resto del sueldo sigue siendo costo de la empresa.</t>
        </is>
      </c>
    </row>
  </sheetData>
  <dataValidations count="1">
    <dataValidation sqref="B6:B36" showDropDown="0" showInputMessage="0" showErrorMessage="0" allowBlank="0" type="list">
      <formula1>"Fábrica,Comercial"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16" customWidth="1" min="4" max="4"/>
    <col width="16" customWidth="1" min="5" max="5"/>
    <col width="55" customWidth="1" min="6" max="6"/>
  </cols>
  <sheetData>
    <row r="1">
      <c r="A1" s="1" t="inlineStr">
        <is>
          <t>INSUMOS — precios netos (sin IVA)</t>
        </is>
      </c>
    </row>
    <row r="2">
      <c r="A2" s="2" t="inlineStr">
        <is>
          <t>Cambiar un precio aquí actualiza todas las recetas. Cuando verifiques un precio, cambia el estado a "Confirmado".</t>
        </is>
      </c>
    </row>
    <row r="5">
      <c r="A5" s="8" t="inlineStr">
        <is>
          <t>Insumo</t>
        </is>
      </c>
      <c r="B5" s="8" t="inlineStr">
        <is>
          <t>Tipo</t>
        </is>
      </c>
      <c r="C5" s="8" t="inlineStr">
        <is>
          <t>Unidad</t>
        </is>
      </c>
      <c r="D5" s="8" t="inlineStr">
        <is>
          <t>Precio neto ($)</t>
        </is>
      </c>
      <c r="E5" s="8" t="inlineStr">
        <is>
          <t>Estado</t>
        </is>
      </c>
      <c r="F5" s="8" t="inlineStr">
        <is>
          <t>Nota</t>
        </is>
      </c>
    </row>
    <row r="6">
      <c r="A6" s="19" t="inlineStr">
        <is>
          <t>MONTESIMONE TRAINING (fut pro)</t>
        </is>
      </c>
      <c r="B6" s="19" t="inlineStr">
        <is>
          <t>Tela</t>
        </is>
      </c>
      <c r="C6" s="19" t="inlineStr">
        <is>
          <t>kg</t>
        </is>
      </c>
      <c r="D6" s="12" t="n">
        <v>3531</v>
      </c>
      <c r="E6" s="9" t="inlineStr">
        <is>
          <t>Por confirmar</t>
        </is>
      </c>
      <c r="F6" s="19" t="inlineStr"/>
    </row>
    <row r="7">
      <c r="A7" s="19" t="inlineStr">
        <is>
          <t>LONDRES BLANCO</t>
        </is>
      </c>
      <c r="B7" s="19" t="inlineStr">
        <is>
          <t>Tela</t>
        </is>
      </c>
      <c r="C7" s="19" t="inlineStr">
        <is>
          <t>kg</t>
        </is>
      </c>
      <c r="D7" s="12" t="n">
        <v>5600</v>
      </c>
      <c r="E7" s="9" t="inlineStr">
        <is>
          <t>Por confirmar</t>
        </is>
      </c>
      <c r="F7" s="19" t="inlineStr"/>
    </row>
    <row r="8">
      <c r="A8" s="19" t="inlineStr">
        <is>
          <t>CIRE BLANCO</t>
        </is>
      </c>
      <c r="B8" s="19" t="inlineStr">
        <is>
          <t>Tela</t>
        </is>
      </c>
      <c r="C8" s="19" t="inlineStr">
        <is>
          <t>kg</t>
        </is>
      </c>
      <c r="D8" s="12" t="n">
        <v>5600</v>
      </c>
      <c r="E8" s="9" t="inlineStr">
        <is>
          <t>Por confirmar</t>
        </is>
      </c>
      <c r="F8" s="19" t="inlineStr"/>
    </row>
    <row r="9">
      <c r="A9" s="19" t="inlineStr">
        <is>
          <t>CIRE AZUL</t>
        </is>
      </c>
      <c r="B9" s="19" t="inlineStr">
        <is>
          <t>Tela</t>
        </is>
      </c>
      <c r="C9" s="19" t="inlineStr">
        <is>
          <t>kg</t>
        </is>
      </c>
      <c r="D9" s="12" t="n">
        <v>7500</v>
      </c>
      <c r="E9" s="9" t="inlineStr">
        <is>
          <t>Por confirmar</t>
        </is>
      </c>
      <c r="F9" s="19" t="inlineStr"/>
    </row>
    <row r="10">
      <c r="A10" s="19" t="inlineStr">
        <is>
          <t>MESH</t>
        </is>
      </c>
      <c r="B10" s="19" t="inlineStr">
        <is>
          <t>Tela</t>
        </is>
      </c>
      <c r="C10" s="19" t="inlineStr">
        <is>
          <t>kg</t>
        </is>
      </c>
      <c r="D10" s="12" t="n">
        <v>7700</v>
      </c>
      <c r="E10" s="9" t="inlineStr">
        <is>
          <t>Por confirmar</t>
        </is>
      </c>
      <c r="F10" s="19" t="inlineStr"/>
    </row>
    <row r="11">
      <c r="A11" s="19" t="inlineStr">
        <is>
          <t>FRANELA</t>
        </is>
      </c>
      <c r="B11" s="19" t="inlineStr">
        <is>
          <t>Tela</t>
        </is>
      </c>
      <c r="C11" s="19" t="inlineStr">
        <is>
          <t>kg</t>
        </is>
      </c>
      <c r="D11" s="12" t="n">
        <v>8000</v>
      </c>
      <c r="E11" s="9" t="inlineStr">
        <is>
          <t>Por confirmar</t>
        </is>
      </c>
      <c r="F11" s="19" t="inlineStr"/>
    </row>
    <row r="12">
      <c r="A12" s="19" t="inlineStr">
        <is>
          <t>PIQUE SELECCION</t>
        </is>
      </c>
      <c r="B12" s="19" t="inlineStr">
        <is>
          <t>Tela</t>
        </is>
      </c>
      <c r="C12" s="19" t="inlineStr">
        <is>
          <t>kg</t>
        </is>
      </c>
      <c r="D12" s="12" t="n">
        <v>7800</v>
      </c>
      <c r="E12" s="9" t="inlineStr">
        <is>
          <t>Por confirmar</t>
        </is>
      </c>
      <c r="F12" s="19" t="inlineStr"/>
    </row>
    <row r="13">
      <c r="A13" s="19" t="inlineStr">
        <is>
          <t>MICROFIBRA</t>
        </is>
      </c>
      <c r="B13" s="19" t="inlineStr">
        <is>
          <t>Tela</t>
        </is>
      </c>
      <c r="C13" s="19" t="inlineStr">
        <is>
          <t>kg</t>
        </is>
      </c>
      <c r="D13" s="12" t="n">
        <v>6900</v>
      </c>
      <c r="E13" s="9" t="inlineStr">
        <is>
          <t>Por confirmar</t>
        </is>
      </c>
      <c r="F13" s="19" t="inlineStr"/>
    </row>
    <row r="14">
      <c r="A14" s="19" t="inlineStr">
        <is>
          <t>CIRE MICROFIBRA AZUL REY</t>
        </is>
      </c>
      <c r="B14" s="19" t="inlineStr">
        <is>
          <t>Tela</t>
        </is>
      </c>
      <c r="C14" s="19" t="inlineStr">
        <is>
          <t>kg</t>
        </is>
      </c>
      <c r="D14" s="12" t="n">
        <v>7200</v>
      </c>
      <c r="E14" s="9" t="inlineStr">
        <is>
          <t>Por confirmar</t>
        </is>
      </c>
      <c r="F14" s="19" t="inlineStr"/>
    </row>
    <row r="15">
      <c r="A15" s="19" t="inlineStr">
        <is>
          <t>SCUBA</t>
        </is>
      </c>
      <c r="B15" s="19" t="inlineStr">
        <is>
          <t>Tela</t>
        </is>
      </c>
      <c r="C15" s="19" t="inlineStr">
        <is>
          <t>kg</t>
        </is>
      </c>
      <c r="D15" s="12" t="n">
        <v>7900</v>
      </c>
      <c r="E15" s="9" t="inlineStr">
        <is>
          <t>Por confirmar</t>
        </is>
      </c>
      <c r="F15" s="19" t="inlineStr"/>
    </row>
    <row r="16">
      <c r="A16" s="19" t="inlineStr">
        <is>
          <t>GLOBAL</t>
        </is>
      </c>
      <c r="B16" s="19" t="inlineStr">
        <is>
          <t>Tela</t>
        </is>
      </c>
      <c r="C16" s="19" t="inlineStr">
        <is>
          <t>kg</t>
        </is>
      </c>
      <c r="D16" s="12" t="n">
        <v>6800</v>
      </c>
      <c r="E16" s="9" t="inlineStr">
        <is>
          <t>Por confirmar</t>
        </is>
      </c>
      <c r="F16" s="19" t="inlineStr"/>
    </row>
    <row r="17">
      <c r="A17" s="19" t="inlineStr">
        <is>
          <t>PIQUE RUGBY</t>
        </is>
      </c>
      <c r="B17" s="19" t="inlineStr">
        <is>
          <t>Tela</t>
        </is>
      </c>
      <c r="C17" s="19" t="inlineStr">
        <is>
          <t>kg</t>
        </is>
      </c>
      <c r="D17" s="12" t="n">
        <v>5600</v>
      </c>
      <c r="E17" s="9" t="inlineStr">
        <is>
          <t>Por confirmar</t>
        </is>
      </c>
      <c r="F17" s="19" t="inlineStr"/>
    </row>
    <row r="18">
      <c r="A18" s="19" t="inlineStr">
        <is>
          <t>CORDERITO</t>
        </is>
      </c>
      <c r="B18" s="19" t="inlineStr">
        <is>
          <t>Tela</t>
        </is>
      </c>
      <c r="C18" s="19" t="inlineStr">
        <is>
          <t>kg</t>
        </is>
      </c>
      <c r="D18" s="12" t="n">
        <v>5800</v>
      </c>
      <c r="E18" s="9" t="inlineStr">
        <is>
          <t>Por confirmar</t>
        </is>
      </c>
      <c r="F18" s="19" t="inlineStr"/>
    </row>
    <row r="19">
      <c r="A19" s="19" t="inlineStr">
        <is>
          <t>MICROFIBRA CIRE COLORES</t>
        </is>
      </c>
      <c r="B19" s="19" t="inlineStr">
        <is>
          <t>Tela</t>
        </is>
      </c>
      <c r="C19" s="19" t="inlineStr">
        <is>
          <t>kg</t>
        </is>
      </c>
      <c r="D19" s="12" t="n">
        <v>7800</v>
      </c>
      <c r="E19" s="9" t="inlineStr">
        <is>
          <t>Por confirmar</t>
        </is>
      </c>
      <c r="F19" s="19" t="inlineStr"/>
    </row>
    <row r="20">
      <c r="A20" s="19" t="inlineStr">
        <is>
          <t>BASQUET BLANCO</t>
        </is>
      </c>
      <c r="B20" s="19" t="inlineStr">
        <is>
          <t>Tela</t>
        </is>
      </c>
      <c r="C20" s="19" t="inlineStr">
        <is>
          <t>kg</t>
        </is>
      </c>
      <c r="D20" s="12" t="n">
        <v>5600</v>
      </c>
      <c r="E20" s="9" t="inlineStr">
        <is>
          <t>Por confirmar</t>
        </is>
      </c>
      <c r="F20" s="19" t="inlineStr"/>
    </row>
    <row r="21">
      <c r="A21" s="19" t="inlineStr">
        <is>
          <t>PIQUE TENIS BLANCO</t>
        </is>
      </c>
      <c r="B21" s="19" t="inlineStr">
        <is>
          <t>Tela</t>
        </is>
      </c>
      <c r="C21" s="19" t="inlineStr">
        <is>
          <t>kg</t>
        </is>
      </c>
      <c r="D21" s="12" t="n">
        <v>5600</v>
      </c>
      <c r="E21" s="9" t="inlineStr">
        <is>
          <t>Por confirmar</t>
        </is>
      </c>
      <c r="F21" s="19" t="inlineStr"/>
    </row>
    <row r="22">
      <c r="A22" s="19" t="inlineStr">
        <is>
          <t>DEPORTIVO COLOR</t>
        </is>
      </c>
      <c r="B22" s="19" t="inlineStr">
        <is>
          <t>Tela</t>
        </is>
      </c>
      <c r="C22" s="19" t="inlineStr">
        <is>
          <t>kg</t>
        </is>
      </c>
      <c r="D22" s="12" t="n">
        <v>6200</v>
      </c>
      <c r="E22" s="9" t="inlineStr">
        <is>
          <t>Por confirmar</t>
        </is>
      </c>
      <c r="F22" s="19" t="inlineStr"/>
    </row>
    <row r="23">
      <c r="A23" s="19" t="inlineStr">
        <is>
          <t>GABARDINA 8Z</t>
        </is>
      </c>
      <c r="B23" s="19" t="inlineStr">
        <is>
          <t>Tela</t>
        </is>
      </c>
      <c r="C23" s="19" t="inlineStr">
        <is>
          <t>kg</t>
        </is>
      </c>
      <c r="D23" s="12" t="n">
        <v>2630</v>
      </c>
      <c r="E23" s="9" t="inlineStr">
        <is>
          <t>Por confirmar</t>
        </is>
      </c>
      <c r="F23" s="19" t="inlineStr"/>
    </row>
    <row r="24">
      <c r="A24" s="19" t="inlineStr">
        <is>
          <t>GABARDINA</t>
        </is>
      </c>
      <c r="B24" s="19" t="inlineStr">
        <is>
          <t>Tela</t>
        </is>
      </c>
      <c r="C24" s="19" t="inlineStr">
        <is>
          <t>kg</t>
        </is>
      </c>
      <c r="D24" s="12" t="n">
        <v>2750</v>
      </c>
      <c r="E24" s="9" t="inlineStr">
        <is>
          <t>Por confirmar</t>
        </is>
      </c>
      <c r="F24" s="19" t="inlineStr"/>
    </row>
    <row r="25">
      <c r="A25" s="19" t="inlineStr">
        <is>
          <t>FRANELA POLIESTER</t>
        </is>
      </c>
      <c r="B25" s="19" t="inlineStr">
        <is>
          <t>Tela</t>
        </is>
      </c>
      <c r="C25" s="19" t="inlineStr">
        <is>
          <t>kg</t>
        </is>
      </c>
      <c r="D25" s="12" t="n">
        <v>2790</v>
      </c>
      <c r="E25" s="9" t="inlineStr">
        <is>
          <t>Por confirmar</t>
        </is>
      </c>
      <c r="F25" s="19" t="inlineStr"/>
    </row>
    <row r="26">
      <c r="A26" s="19" t="inlineStr">
        <is>
          <t>GABARDINA 7Z</t>
        </is>
      </c>
      <c r="B26" s="19" t="inlineStr">
        <is>
          <t>Tela</t>
        </is>
      </c>
      <c r="C26" s="19" t="inlineStr">
        <is>
          <t>kg</t>
        </is>
      </c>
      <c r="D26" s="12" t="n">
        <v>2390</v>
      </c>
      <c r="E26" s="9" t="inlineStr">
        <is>
          <t>Por confirmar</t>
        </is>
      </c>
      <c r="F26" s="19" t="inlineStr"/>
    </row>
    <row r="27">
      <c r="A27" s="19" t="inlineStr">
        <is>
          <t>FALCAO</t>
        </is>
      </c>
      <c r="B27" s="19" t="inlineStr">
        <is>
          <t>Tela</t>
        </is>
      </c>
      <c r="C27" s="19" t="inlineStr">
        <is>
          <t>kg</t>
        </is>
      </c>
      <c r="D27" s="12" t="n">
        <v>2380</v>
      </c>
      <c r="E27" s="9" t="inlineStr">
        <is>
          <t>Por confirmar</t>
        </is>
      </c>
      <c r="F27" s="19" t="inlineStr"/>
    </row>
    <row r="28">
      <c r="A28" s="19" t="inlineStr">
        <is>
          <t>RUGBY IRLANDA</t>
        </is>
      </c>
      <c r="B28" s="19" t="inlineStr">
        <is>
          <t>Tela</t>
        </is>
      </c>
      <c r="C28" s="19" t="inlineStr">
        <is>
          <t>kg</t>
        </is>
      </c>
      <c r="D28" s="12" t="n">
        <v>5900</v>
      </c>
      <c r="E28" s="9" t="inlineStr">
        <is>
          <t>Por confirmar</t>
        </is>
      </c>
      <c r="F28" s="19" t="inlineStr"/>
    </row>
    <row r="29">
      <c r="A29" s="19" t="inlineStr">
        <is>
          <t>LYCRA GRIS OSCURA</t>
        </is>
      </c>
      <c r="B29" s="19" t="inlineStr">
        <is>
          <t>Tela</t>
        </is>
      </c>
      <c r="C29" s="19" t="inlineStr">
        <is>
          <t>kg</t>
        </is>
      </c>
      <c r="D29" s="12" t="n">
        <v>4300</v>
      </c>
      <c r="E29" s="9" t="inlineStr">
        <is>
          <t>Por confirmar</t>
        </is>
      </c>
      <c r="F29" s="19" t="inlineStr"/>
    </row>
    <row r="30">
      <c r="A30" s="19" t="inlineStr">
        <is>
          <t>QUICKDRY</t>
        </is>
      </c>
      <c r="B30" s="19" t="inlineStr">
        <is>
          <t>Tela</t>
        </is>
      </c>
      <c r="C30" s="19" t="inlineStr">
        <is>
          <t>kg</t>
        </is>
      </c>
      <c r="D30" s="12" t="n">
        <v>6996</v>
      </c>
      <c r="E30" s="9" t="inlineStr">
        <is>
          <t>Por confirmar</t>
        </is>
      </c>
      <c r="F30" s="19" t="inlineStr"/>
    </row>
    <row r="31">
      <c r="A31" s="19" t="inlineStr">
        <is>
          <t>COTTON</t>
        </is>
      </c>
      <c r="B31" s="19" t="inlineStr">
        <is>
          <t>Tela</t>
        </is>
      </c>
      <c r="C31" s="19" t="inlineStr">
        <is>
          <t>kg</t>
        </is>
      </c>
      <c r="D31" s="12" t="n">
        <v>2302</v>
      </c>
      <c r="E31" s="9" t="inlineStr">
        <is>
          <t>Por confirmar</t>
        </is>
      </c>
      <c r="F31" s="19" t="inlineStr"/>
    </row>
    <row r="32">
      <c r="A32" s="19" t="inlineStr">
        <is>
          <t>5K NACIONAL (running pro)</t>
        </is>
      </c>
      <c r="B32" s="19" t="inlineStr">
        <is>
          <t>Tela</t>
        </is>
      </c>
      <c r="C32" s="19" t="inlineStr">
        <is>
          <t>kg</t>
        </is>
      </c>
      <c r="D32" s="12" t="n">
        <v>4244</v>
      </c>
      <c r="E32" s="9" t="inlineStr">
        <is>
          <t>Por confirmar</t>
        </is>
      </c>
      <c r="F32" s="19" t="inlineStr"/>
    </row>
    <row r="33">
      <c r="A33" s="19" t="inlineStr">
        <is>
          <t>JACQUARD TECH</t>
        </is>
      </c>
      <c r="B33" s="19" t="inlineStr">
        <is>
          <t>Tela</t>
        </is>
      </c>
      <c r="C33" s="19" t="inlineStr">
        <is>
          <t>kg</t>
        </is>
      </c>
      <c r="D33" s="12" t="n">
        <v>4408</v>
      </c>
      <c r="E33" s="9" t="inlineStr">
        <is>
          <t>Por confirmar</t>
        </is>
      </c>
      <c r="F33" s="19" t="inlineStr"/>
    </row>
    <row r="34">
      <c r="A34" s="19" t="inlineStr">
        <is>
          <t>JACQUARD BYTES</t>
        </is>
      </c>
      <c r="B34" s="19" t="inlineStr">
        <is>
          <t>Tela</t>
        </is>
      </c>
      <c r="C34" s="19" t="inlineStr">
        <is>
          <t>kg</t>
        </is>
      </c>
      <c r="D34" s="12" t="n">
        <v>4408</v>
      </c>
      <c r="E34" s="9" t="inlineStr">
        <is>
          <t>Por confirmar</t>
        </is>
      </c>
      <c r="F34" s="19" t="inlineStr"/>
    </row>
    <row r="35">
      <c r="A35" s="19" t="inlineStr">
        <is>
          <t>LYCRA</t>
        </is>
      </c>
      <c r="B35" s="19" t="inlineStr">
        <is>
          <t>Tela</t>
        </is>
      </c>
      <c r="C35" s="19" t="inlineStr">
        <is>
          <t>kg</t>
        </is>
      </c>
      <c r="D35" s="12" t="n"/>
      <c r="E35" s="9" t="inlineStr">
        <is>
          <t>PENDIENTE</t>
        </is>
      </c>
      <c r="F35" s="19" t="inlineStr"/>
    </row>
    <row r="36">
      <c r="A36" s="19" t="inlineStr">
        <is>
          <t>Insumo</t>
        </is>
      </c>
      <c r="B36" s="19" t="inlineStr">
        <is>
          <t>Consumible</t>
        </is>
      </c>
      <c r="C36" s="19" t="inlineStr">
        <is>
          <t>Unidad</t>
        </is>
      </c>
      <c r="D36" s="12" t="n"/>
      <c r="E36" s="9" t="inlineStr">
        <is>
          <t>PENDIENTE</t>
        </is>
      </c>
      <c r="F36" s="19" t="inlineStr"/>
    </row>
    <row r="37">
      <c r="A37" s="19" t="inlineStr">
        <is>
          <t>ETIQUETAS</t>
        </is>
      </c>
      <c r="B37" s="19" t="inlineStr">
        <is>
          <t>Consumible</t>
        </is>
      </c>
      <c r="C37" s="19" t="inlineStr">
        <is>
          <t>kg</t>
        </is>
      </c>
      <c r="D37" s="12" t="n">
        <v>63.343669250646</v>
      </c>
      <c r="E37" s="9" t="inlineStr">
        <is>
          <t>Por confirmar</t>
        </is>
      </c>
      <c r="F37" s="19" t="inlineStr">
        <is>
          <t>Unidad dudosa (kg): confirmar si es por kg o por unidad</t>
        </is>
      </c>
    </row>
    <row r="38">
      <c r="A38" s="19" t="inlineStr">
        <is>
          <t>PUÑO ELASTICO</t>
        </is>
      </c>
      <c r="B38" s="19" t="inlineStr">
        <is>
          <t>Consumible</t>
        </is>
      </c>
      <c r="C38" s="19" t="inlineStr">
        <is>
          <t>kg</t>
        </is>
      </c>
      <c r="D38" s="12" t="n">
        <v>8500</v>
      </c>
      <c r="E38" s="9" t="inlineStr">
        <is>
          <t>Por confirmar</t>
        </is>
      </c>
      <c r="F38" s="19" t="inlineStr">
        <is>
          <t>Unidad dudosa (kg): confirmar si es por kg o por unidad</t>
        </is>
      </c>
    </row>
    <row r="39">
      <c r="A39" s="19" t="inlineStr">
        <is>
          <t>MEDIAS PERSONALIZADAS</t>
        </is>
      </c>
      <c r="B39" s="19" t="inlineStr">
        <is>
          <t>Consumible</t>
        </is>
      </c>
      <c r="C39" s="19" t="inlineStr">
        <is>
          <t>kg</t>
        </is>
      </c>
      <c r="D39" s="12" t="n">
        <v>4000</v>
      </c>
      <c r="E39" s="9" t="inlineStr">
        <is>
          <t>Por confirmar</t>
        </is>
      </c>
      <c r="F39" s="19" t="inlineStr">
        <is>
          <t>Unidad dudosa (kg): confirmar si es por kg o por unidad</t>
        </is>
      </c>
    </row>
    <row r="40">
      <c r="A40" s="19" t="inlineStr">
        <is>
          <t>MEDIAS BASICAS</t>
        </is>
      </c>
      <c r="B40" s="19" t="inlineStr">
        <is>
          <t>Consumible</t>
        </is>
      </c>
      <c r="C40" s="19" t="inlineStr">
        <is>
          <t>kg</t>
        </is>
      </c>
      <c r="D40" s="12" t="n">
        <v>2500</v>
      </c>
      <c r="E40" s="9" t="inlineStr">
        <is>
          <t>Por confirmar</t>
        </is>
      </c>
      <c r="F40" s="19" t="inlineStr">
        <is>
          <t>Unidad dudosa (kg): confirmar si es por kg o por unidad</t>
        </is>
      </c>
    </row>
    <row r="41">
      <c r="A41" s="19" t="inlineStr">
        <is>
          <t>MALLA DEPORTIVA BLANCO</t>
        </is>
      </c>
      <c r="B41" s="19" t="inlineStr">
        <is>
          <t>Consumible</t>
        </is>
      </c>
      <c r="C41" s="19" t="inlineStr">
        <is>
          <t>kg</t>
        </is>
      </c>
      <c r="D41" s="12" t="n">
        <v>6400</v>
      </c>
      <c r="E41" s="9" t="inlineStr">
        <is>
          <t>Por confirmar</t>
        </is>
      </c>
      <c r="F41" s="19" t="inlineStr"/>
    </row>
    <row r="42">
      <c r="A42" s="19" t="inlineStr">
        <is>
          <t>NOVAK</t>
        </is>
      </c>
      <c r="B42" s="19" t="inlineStr">
        <is>
          <t>Consumible</t>
        </is>
      </c>
      <c r="C42" s="19" t="inlineStr">
        <is>
          <t>kg</t>
        </is>
      </c>
      <c r="D42" s="12" t="n">
        <v>2975</v>
      </c>
      <c r="E42" s="9" t="inlineStr">
        <is>
          <t>Por confirmar</t>
        </is>
      </c>
      <c r="F42" s="19" t="inlineStr"/>
    </row>
    <row r="43">
      <c r="A43" s="19" t="inlineStr">
        <is>
          <t>THERMAFLEECE</t>
        </is>
      </c>
      <c r="B43" s="19" t="inlineStr">
        <is>
          <t>Consumible</t>
        </is>
      </c>
      <c r="C43" s="19" t="inlineStr">
        <is>
          <t>kg</t>
        </is>
      </c>
      <c r="D43" s="12" t="n">
        <v>8590</v>
      </c>
      <c r="E43" s="9" t="inlineStr">
        <is>
          <t>Por confirmar</t>
        </is>
      </c>
      <c r="F43" s="19" t="inlineStr"/>
    </row>
    <row r="44">
      <c r="A44" s="19" t="inlineStr">
        <is>
          <t>TINTAS MAGENTA</t>
        </is>
      </c>
      <c r="B44" s="19" t="inlineStr">
        <is>
          <t>Consumible</t>
        </is>
      </c>
      <c r="C44" s="19" t="inlineStr">
        <is>
          <t>litro</t>
        </is>
      </c>
      <c r="D44" s="12" t="n">
        <v>72119</v>
      </c>
      <c r="E44" s="9" t="inlineStr">
        <is>
          <t>Por confirmar</t>
        </is>
      </c>
      <c r="F44" s="19" t="inlineStr"/>
    </row>
    <row r="45">
      <c r="A45" s="19" t="inlineStr">
        <is>
          <t>FLUSHING LIQUID</t>
        </is>
      </c>
      <c r="B45" s="19" t="inlineStr">
        <is>
          <t>Consumible</t>
        </is>
      </c>
      <c r="C45" s="19" t="inlineStr">
        <is>
          <t>kg</t>
        </is>
      </c>
      <c r="D45" s="12" t="n">
        <v>45000</v>
      </c>
      <c r="E45" s="9" t="inlineStr">
        <is>
          <t>Por confirmar</t>
        </is>
      </c>
      <c r="F45" s="19" t="inlineStr"/>
    </row>
    <row r="46">
      <c r="A46" s="19" t="inlineStr">
        <is>
          <t>PAPEL PROTECT KRAFT</t>
        </is>
      </c>
      <c r="B46" s="19" t="inlineStr">
        <is>
          <t>Consumible</t>
        </is>
      </c>
      <c r="C46" s="19" t="inlineStr">
        <is>
          <t>kg</t>
        </is>
      </c>
      <c r="D46" s="12" t="n">
        <v>100840</v>
      </c>
      <c r="E46" s="9" t="inlineStr">
        <is>
          <t>Por confirmar</t>
        </is>
      </c>
      <c r="F46" s="19" t="inlineStr"/>
    </row>
    <row r="47">
      <c r="A47" s="19" t="inlineStr">
        <is>
          <t>PAPEL SUBLIMACION</t>
        </is>
      </c>
      <c r="B47" s="19" t="inlineStr">
        <is>
          <t>Consumible</t>
        </is>
      </c>
      <c r="C47" s="19" t="inlineStr">
        <is>
          <t>kg</t>
        </is>
      </c>
      <c r="D47" s="12" t="n">
        <v>50420</v>
      </c>
      <c r="E47" s="9" t="inlineStr">
        <is>
          <t>Por confirmar</t>
        </is>
      </c>
      <c r="F47" s="19" t="inlineStr"/>
    </row>
    <row r="48">
      <c r="A48" s="19" t="inlineStr">
        <is>
          <t>PAPEL DE PROTECCION KRAFT</t>
        </is>
      </c>
      <c r="B48" s="19" t="inlineStr">
        <is>
          <t>Consumible</t>
        </is>
      </c>
      <c r="C48" s="19" t="inlineStr">
        <is>
          <t>kg</t>
        </is>
      </c>
      <c r="D48" s="12" t="n">
        <v>94500</v>
      </c>
      <c r="E48" s="9" t="inlineStr">
        <is>
          <t>Por confirmar</t>
        </is>
      </c>
      <c r="F48" s="19" t="inlineStr"/>
    </row>
    <row r="49">
      <c r="A49" s="19" t="inlineStr">
        <is>
          <t>Cuello</t>
        </is>
      </c>
      <c r="B49" s="19" t="inlineStr">
        <is>
          <t>Avío</t>
        </is>
      </c>
      <c r="C49" s="19" t="inlineStr">
        <is>
          <t>unidad</t>
        </is>
      </c>
      <c r="D49" s="12" t="n">
        <v>350</v>
      </c>
      <c r="E49" s="9" t="inlineStr">
        <is>
          <t>Por confirmar</t>
        </is>
      </c>
      <c r="F49" s="19" t="inlineStr">
        <is>
          <t>Era "estimado" en el archivo original</t>
        </is>
      </c>
    </row>
    <row r="50">
      <c r="A50" s="19" t="inlineStr">
        <is>
          <t>Puño</t>
        </is>
      </c>
      <c r="B50" s="19" t="inlineStr">
        <is>
          <t>Avío</t>
        </is>
      </c>
      <c r="C50" s="19" t="inlineStr">
        <is>
          <t>unidad</t>
        </is>
      </c>
      <c r="D50" s="12" t="n">
        <v>8500</v>
      </c>
      <c r="E50" s="9" t="inlineStr">
        <is>
          <t>Por confirmar</t>
        </is>
      </c>
      <c r="F50" s="19" t="inlineStr"/>
    </row>
    <row r="51">
      <c r="A51" s="19" t="inlineStr">
        <is>
          <t>Tapacuello</t>
        </is>
      </c>
      <c r="B51" s="19" t="inlineStr">
        <is>
          <t>Avío</t>
        </is>
      </c>
      <c r="C51" s="19" t="inlineStr">
        <is>
          <t>unidad</t>
        </is>
      </c>
      <c r="D51" s="12" t="n">
        <v>150</v>
      </c>
      <c r="E51" s="9" t="inlineStr">
        <is>
          <t>Por confirmar</t>
        </is>
      </c>
      <c r="F51" s="19" t="inlineStr">
        <is>
          <t>Era "estimado" en el archivo original</t>
        </is>
      </c>
    </row>
    <row r="52">
      <c r="A52" s="19" t="inlineStr">
        <is>
          <t>Hilo</t>
        </is>
      </c>
      <c r="B52" s="19" t="inlineStr">
        <is>
          <t>Avío</t>
        </is>
      </c>
      <c r="C52" s="19" t="inlineStr">
        <is>
          <t>unidad</t>
        </is>
      </c>
      <c r="D52" s="12" t="n">
        <v>80</v>
      </c>
      <c r="E52" s="9" t="inlineStr">
        <is>
          <t>Por confirmar</t>
        </is>
      </c>
      <c r="F52" s="19" t="inlineStr">
        <is>
          <t>Era "estimado" en el archivo original</t>
        </is>
      </c>
    </row>
    <row r="53">
      <c r="A53" s="19" t="inlineStr">
        <is>
          <t>Etiqueta</t>
        </is>
      </c>
      <c r="B53" s="19" t="inlineStr">
        <is>
          <t>Avío</t>
        </is>
      </c>
      <c r="C53" s="19" t="inlineStr">
        <is>
          <t>unidad</t>
        </is>
      </c>
      <c r="D53" s="12" t="n">
        <v>65</v>
      </c>
      <c r="E53" s="9" t="inlineStr">
        <is>
          <t>Por confirmar</t>
        </is>
      </c>
      <c r="F53" s="19" t="inlineStr"/>
    </row>
    <row r="54">
      <c r="A54" s="19" t="inlineStr">
        <is>
          <t>Cierre</t>
        </is>
      </c>
      <c r="B54" s="19" t="inlineStr">
        <is>
          <t>Avío</t>
        </is>
      </c>
      <c r="C54" s="19" t="inlineStr">
        <is>
          <t>unidad</t>
        </is>
      </c>
      <c r="D54" s="12" t="n">
        <v>600</v>
      </c>
      <c r="E54" s="9" t="inlineStr">
        <is>
          <t>Por confirmar</t>
        </is>
      </c>
      <c r="F54" s="19" t="inlineStr">
        <is>
          <t>Era "estimado" en el archivo original</t>
        </is>
      </c>
    </row>
    <row r="55">
      <c r="A55" s="19" t="inlineStr">
        <is>
          <t>Cordón</t>
        </is>
      </c>
      <c r="B55" s="19" t="inlineStr">
        <is>
          <t>Avío</t>
        </is>
      </c>
      <c r="C55" s="19" t="inlineStr">
        <is>
          <t>unidad</t>
        </is>
      </c>
      <c r="D55" s="12" t="n">
        <v>200</v>
      </c>
      <c r="E55" s="9" t="inlineStr">
        <is>
          <t>Por confirmar</t>
        </is>
      </c>
      <c r="F55" s="19" t="inlineStr">
        <is>
          <t>Era "estimado" en el archivo original</t>
        </is>
      </c>
    </row>
    <row r="56">
      <c r="A56" s="19" t="inlineStr">
        <is>
          <t>Elástico</t>
        </is>
      </c>
      <c r="B56" s="19" t="inlineStr">
        <is>
          <t>Avío</t>
        </is>
      </c>
      <c r="C56" s="19" t="inlineStr">
        <is>
          <t>unidad</t>
        </is>
      </c>
      <c r="D56" s="12" t="n">
        <v>5454</v>
      </c>
      <c r="E56" s="9" t="inlineStr">
        <is>
          <t>Por confirmar</t>
        </is>
      </c>
      <c r="F56" s="19" t="inlineStr"/>
    </row>
    <row r="57">
      <c r="A57" s="19" t="inlineStr">
        <is>
          <t>Forro</t>
        </is>
      </c>
      <c r="B57" s="19" t="inlineStr">
        <is>
          <t>Avío</t>
        </is>
      </c>
      <c r="C57" s="19" t="inlineStr">
        <is>
          <t>unidad</t>
        </is>
      </c>
      <c r="D57" s="12" t="n">
        <v>900</v>
      </c>
      <c r="E57" s="9" t="inlineStr">
        <is>
          <t>Por confirmar</t>
        </is>
      </c>
      <c r="F57" s="19" t="inlineStr">
        <is>
          <t>Era "estimado" en el archivo original</t>
        </is>
      </c>
    </row>
    <row r="58">
      <c r="A58" s="19" t="inlineStr">
        <is>
          <t>Cremallera bolsillo</t>
        </is>
      </c>
      <c r="B58" s="19" t="inlineStr">
        <is>
          <t>Avío</t>
        </is>
      </c>
      <c r="C58" s="19" t="inlineStr">
        <is>
          <t>unidad</t>
        </is>
      </c>
      <c r="D58" s="12" t="n">
        <v>400</v>
      </c>
      <c r="E58" s="9" t="inlineStr">
        <is>
          <t>Por confirmar</t>
        </is>
      </c>
      <c r="F58" s="19" t="inlineStr">
        <is>
          <t>Era "estimado" en el archivo original</t>
        </is>
      </c>
    </row>
  </sheetData>
  <dataValidations count="1">
    <dataValidation sqref="E6:E98" showDropDown="0" showInputMessage="0" showErrorMessage="0" allowBlank="0" type="list">
      <formula1>"Confirmado,Por confirmar,PENDIENTE"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22" customWidth="1" min="2" max="2"/>
    <col width="20" customWidth="1" min="3" max="3"/>
    <col width="16" customWidth="1" min="4" max="4"/>
  </cols>
  <sheetData>
    <row r="1">
      <c r="A1" s="1" t="inlineStr">
        <is>
          <t>CONFECCIÓN — valor por prenda pagado a taller (neto, con planchado)</t>
        </is>
      </c>
    </row>
    <row r="2">
      <c r="A2" s="2" t="inlineStr">
        <is>
          <t>Se paga por prenda terminada. Agrega nuevos tipos de prenda al final de la lista.</t>
        </is>
      </c>
    </row>
    <row r="4">
      <c r="A4" s="8" t="inlineStr">
        <is>
          <t>Tipo de prenda</t>
        </is>
      </c>
      <c r="B4" s="8" t="inlineStr">
        <is>
          <t>Valor con planchado ($)</t>
        </is>
      </c>
      <c r="C4" s="8" t="inlineStr">
        <is>
          <t>Sin planchado (ref.)</t>
        </is>
      </c>
      <c r="D4" s="8" t="inlineStr">
        <is>
          <t>Estado</t>
        </is>
      </c>
    </row>
    <row r="5">
      <c r="A5" s="19" t="inlineStr">
        <is>
          <t>Short De Futbol</t>
        </is>
      </c>
      <c r="B5" s="12" t="n">
        <v>1700</v>
      </c>
      <c r="C5" s="12" t="n">
        <v>1500</v>
      </c>
      <c r="D5" s="9" t="inlineStr">
        <is>
          <t>Por confirmar</t>
        </is>
      </c>
    </row>
    <row r="6">
      <c r="A6" s="19" t="inlineStr">
        <is>
          <t>Camiseta De Futbol</t>
        </is>
      </c>
      <c r="B6" s="12" t="n">
        <v>2000</v>
      </c>
      <c r="C6" s="12" t="n">
        <v>1800</v>
      </c>
      <c r="D6" s="9" t="inlineStr">
        <is>
          <t>Por confirmar</t>
        </is>
      </c>
    </row>
    <row r="7">
      <c r="A7" s="19" t="inlineStr">
        <is>
          <t>Camiseta De Futbol Retro</t>
        </is>
      </c>
      <c r="B7" s="12" t="n">
        <v>2200</v>
      </c>
      <c r="C7" s="12" t="n">
        <v>1900</v>
      </c>
      <c r="D7" s="9" t="inlineStr">
        <is>
          <t>Por confirmar</t>
        </is>
      </c>
    </row>
    <row r="8">
      <c r="A8" s="19" t="inlineStr">
        <is>
          <t>Camiseta De Basket</t>
        </is>
      </c>
      <c r="B8" s="12" t="n">
        <v>1900</v>
      </c>
      <c r="C8" s="12" t="n">
        <v>1700</v>
      </c>
      <c r="D8" s="9" t="inlineStr">
        <is>
          <t>Por confirmar</t>
        </is>
      </c>
    </row>
    <row r="9">
      <c r="A9" s="19" t="inlineStr">
        <is>
          <t>Camiseta De Basket Pro</t>
        </is>
      </c>
      <c r="B9" s="12" t="n">
        <v>2000</v>
      </c>
      <c r="C9" s="12" t="n">
        <v>1800</v>
      </c>
      <c r="D9" s="9" t="inlineStr">
        <is>
          <t>Por confirmar</t>
        </is>
      </c>
    </row>
    <row r="10">
      <c r="A10" s="19" t="inlineStr">
        <is>
          <t>Short De Basket Pro</t>
        </is>
      </c>
      <c r="B10" s="12" t="n">
        <v>2200</v>
      </c>
      <c r="C10" s="12" t="n">
        <v>1700</v>
      </c>
      <c r="D10" s="9" t="inlineStr">
        <is>
          <t>Por confirmar</t>
        </is>
      </c>
    </row>
    <row r="11">
      <c r="A11" s="19" t="inlineStr">
        <is>
          <t>Short De Basket</t>
        </is>
      </c>
      <c r="B11" s="12" t="n">
        <v>1900</v>
      </c>
      <c r="C11" s="12" t="n">
        <v>1700</v>
      </c>
      <c r="D11" s="9" t="inlineStr">
        <is>
          <t>Por confirmar</t>
        </is>
      </c>
    </row>
    <row r="12">
      <c r="A12" s="19" t="inlineStr">
        <is>
          <t>Short De Basket Reversible</t>
        </is>
      </c>
      <c r="B12" s="12" t="n">
        <v>2400</v>
      </c>
      <c r="C12" s="12" t="n">
        <v>2000</v>
      </c>
      <c r="D12" s="9" t="inlineStr">
        <is>
          <t>Por confirmar</t>
        </is>
      </c>
    </row>
    <row r="13">
      <c r="A13" s="19" t="inlineStr">
        <is>
          <t>Camiseta De Basket Reversible</t>
        </is>
      </c>
      <c r="B13" s="12" t="n">
        <v>2400</v>
      </c>
      <c r="C13" s="12" t="n">
        <v>2200</v>
      </c>
      <c r="D13" s="9" t="inlineStr">
        <is>
          <t>Por confirmar</t>
        </is>
      </c>
    </row>
    <row r="14">
      <c r="A14" s="19" t="inlineStr">
        <is>
          <t>Camiseta De Rugby Básica</t>
        </is>
      </c>
      <c r="B14" s="12" t="n">
        <v>2200</v>
      </c>
      <c r="C14" s="12" t="n">
        <v>2000</v>
      </c>
      <c r="D14" s="9" t="inlineStr">
        <is>
          <t>Por confirmar</t>
        </is>
      </c>
    </row>
    <row r="15">
      <c r="A15" s="19" t="inlineStr">
        <is>
          <t>Camiseta De Rugby Lycra</t>
        </is>
      </c>
      <c r="B15" s="12" t="n">
        <v>2600</v>
      </c>
      <c r="C15" s="12" t="n">
        <v>2300</v>
      </c>
      <c r="D15" s="9" t="inlineStr">
        <is>
          <t>Por confirmar</t>
        </is>
      </c>
    </row>
    <row r="16">
      <c r="A16" s="19" t="inlineStr">
        <is>
          <t>Short De Rugby</t>
        </is>
      </c>
      <c r="B16" s="12" t="n">
        <v>2200</v>
      </c>
      <c r="C16" s="12" t="n">
        <v>2300</v>
      </c>
      <c r="D16" s="9" t="inlineStr">
        <is>
          <t>Por confirmar</t>
        </is>
      </c>
    </row>
    <row r="17">
      <c r="A17" s="19" t="inlineStr">
        <is>
          <t>Camiseta Futbol Molde 2026 (Raglan)</t>
        </is>
      </c>
      <c r="B17" s="12" t="n">
        <v>2300</v>
      </c>
      <c r="C17" s="12" t="n">
        <v>2000</v>
      </c>
      <c r="D17" s="9" t="inlineStr">
        <is>
          <t>Por confirmar</t>
        </is>
      </c>
    </row>
    <row r="18">
      <c r="A18" s="19" t="inlineStr">
        <is>
          <t>Camiseta Futbol Fem Santiago Morning</t>
        </is>
      </c>
      <c r="B18" s="12" t="n">
        <v>2400</v>
      </c>
      <c r="C18" s="12" t="n">
        <v>2100</v>
      </c>
      <c r="D18" s="9" t="inlineStr">
        <is>
          <t>Por confirmar</t>
        </is>
      </c>
    </row>
    <row r="19">
      <c r="A19" s="19" t="inlineStr">
        <is>
          <t>Short Fem Con Tajali</t>
        </is>
      </c>
      <c r="B19" s="12" t="n">
        <v>1800</v>
      </c>
      <c r="C19" s="12" t="n">
        <v>1700</v>
      </c>
      <c r="D19" s="9" t="inlineStr">
        <is>
          <t>Por confirmar</t>
        </is>
      </c>
    </row>
    <row r="20">
      <c r="A20" s="19" t="inlineStr">
        <is>
          <t>Camiseta De Hockey</t>
        </is>
      </c>
      <c r="B20" s="12" t="n">
        <v>1800</v>
      </c>
      <c r="C20" s="12" t="n">
        <v>1600</v>
      </c>
      <c r="D20" s="9" t="inlineStr">
        <is>
          <t>Por confirmar</t>
        </is>
      </c>
    </row>
    <row r="21">
      <c r="A21" s="19" t="inlineStr">
        <is>
          <t>Camiseta De Hockey Franja</t>
        </is>
      </c>
      <c r="B21" s="12" t="n">
        <v>2000</v>
      </c>
      <c r="C21" s="12" t="n">
        <v>1800</v>
      </c>
      <c r="D21" s="9" t="inlineStr">
        <is>
          <t>Por confirmar</t>
        </is>
      </c>
    </row>
    <row r="22">
      <c r="A22" s="19" t="inlineStr">
        <is>
          <t>Calza-Falda</t>
        </is>
      </c>
      <c r="B22" s="12" t="n">
        <v>2600</v>
      </c>
      <c r="C22" s="12" t="n">
        <v>2300</v>
      </c>
      <c r="D22" s="9" t="inlineStr">
        <is>
          <t>Por confirmar</t>
        </is>
      </c>
    </row>
    <row r="23">
      <c r="A23" s="19" t="inlineStr">
        <is>
          <t>Calza</t>
        </is>
      </c>
      <c r="B23" s="12" t="n">
        <v>1200</v>
      </c>
      <c r="C23" s="12" t="n">
        <v>1000</v>
      </c>
      <c r="D23" s="9" t="inlineStr">
        <is>
          <t>Por confirmar</t>
        </is>
      </c>
    </row>
    <row r="24">
      <c r="A24" s="19" t="inlineStr">
        <is>
          <t>Pantalon Pitillo</t>
        </is>
      </c>
      <c r="B24" s="12" t="n">
        <v>3500</v>
      </c>
      <c r="C24" s="12" t="n">
        <v>3200</v>
      </c>
      <c r="D24" s="9" t="inlineStr">
        <is>
          <t>Por confirmar</t>
        </is>
      </c>
    </row>
    <row r="25">
      <c r="A25" s="19" t="inlineStr">
        <is>
          <t>Poleron Entrenamiento Raglan</t>
        </is>
      </c>
      <c r="B25" s="12" t="n">
        <v>3200</v>
      </c>
      <c r="C25" s="12" t="n">
        <v>3000</v>
      </c>
      <c r="D25" s="9" t="inlineStr">
        <is>
          <t>Por confirmar</t>
        </is>
      </c>
    </row>
    <row r="26">
      <c r="A26" s="19" t="inlineStr">
        <is>
          <t>Short De Salida</t>
        </is>
      </c>
      <c r="B26" s="12" t="n">
        <v>2200</v>
      </c>
      <c r="C26" s="12" t="n">
        <v>2000</v>
      </c>
      <c r="D26" s="9" t="inlineStr">
        <is>
          <t>Por confirmar</t>
        </is>
      </c>
    </row>
    <row r="27">
      <c r="A27" s="19" t="inlineStr">
        <is>
          <t>Peto Entrenamiento</t>
        </is>
      </c>
      <c r="B27" s="12" t="n">
        <v>1000</v>
      </c>
      <c r="C27" s="12" t="n">
        <v>1000</v>
      </c>
      <c r="D27" s="9" t="inlineStr">
        <is>
          <t>Por confirmar</t>
        </is>
      </c>
    </row>
    <row r="28">
      <c r="A28" s="19" t="inlineStr">
        <is>
          <t>Pantalon No Pitillo</t>
        </is>
      </c>
      <c r="B28" s="12" t="n">
        <v>3200</v>
      </c>
      <c r="C28" s="12" t="n">
        <v>3000</v>
      </c>
      <c r="D28" s="9" t="inlineStr">
        <is>
          <t>Por confirmar</t>
        </is>
      </c>
    </row>
    <row r="29">
      <c r="A29" s="19" t="inlineStr">
        <is>
          <t>Camiseta De Running</t>
        </is>
      </c>
      <c r="B29" s="12" t="n">
        <v>1800</v>
      </c>
      <c r="C29" s="12" t="n">
        <v>1600</v>
      </c>
      <c r="D29" s="9" t="inlineStr">
        <is>
          <t>Por confirmar</t>
        </is>
      </c>
    </row>
    <row r="30">
      <c r="A30" s="19" t="inlineStr">
        <is>
          <t>Camiseta Running Con Manga</t>
        </is>
      </c>
      <c r="B30" s="12" t="n">
        <v>2000</v>
      </c>
      <c r="C30" s="12" t="n">
        <v>1900</v>
      </c>
      <c r="D30" s="9" t="inlineStr">
        <is>
          <t>Por confirmar</t>
        </is>
      </c>
    </row>
    <row r="31">
      <c r="A31" s="19" t="inlineStr">
        <is>
          <t>Camiseta De Salida Con Hojal Y Boton</t>
        </is>
      </c>
      <c r="B31" s="12" t="n">
        <v>2500</v>
      </c>
      <c r="C31" s="12" t="n">
        <v>2300</v>
      </c>
      <c r="D31" s="9" t="inlineStr">
        <is>
          <t>Por confirmar</t>
        </is>
      </c>
    </row>
    <row r="32">
      <c r="A32" s="19" t="inlineStr">
        <is>
          <t>Camiseta De Salida Sin Hojal Ni Boton</t>
        </is>
      </c>
      <c r="B32" s="12" t="n">
        <v>2200</v>
      </c>
      <c r="C32" s="12" t="n">
        <v>2000</v>
      </c>
      <c r="D32" s="9" t="inlineStr">
        <is>
          <t>Por confirmar</t>
        </is>
      </c>
    </row>
    <row r="33">
      <c r="A33" s="19" t="inlineStr">
        <is>
          <t>Camiseta De Salida Con Cuello Y Puño Tejido Con Boton</t>
        </is>
      </c>
      <c r="B33" s="12" t="n">
        <v>2200</v>
      </c>
      <c r="C33" s="12" t="n">
        <v>2000</v>
      </c>
      <c r="D33" s="9" t="inlineStr">
        <is>
          <t>Por confirmar</t>
        </is>
      </c>
    </row>
    <row r="34">
      <c r="A34" s="19" t="inlineStr">
        <is>
          <t>Camiseta De Salida Con Cuello Y Puño Tejido Sin Boton</t>
        </is>
      </c>
      <c r="B34" s="12" t="n">
        <v>1900</v>
      </c>
      <c r="C34" s="12" t="n">
        <v>1900</v>
      </c>
      <c r="D34" s="9" t="inlineStr">
        <is>
          <t>Por confirmar</t>
        </is>
      </c>
    </row>
    <row r="35">
      <c r="A35" s="19" t="inlineStr">
        <is>
          <t>Camiseta Kimono</t>
        </is>
      </c>
      <c r="B35" s="12" t="n">
        <v>2400</v>
      </c>
      <c r="C35" s="12" t="n">
        <v>2100</v>
      </c>
      <c r="D35" s="9" t="inlineStr">
        <is>
          <t>Por confirmar</t>
        </is>
      </c>
    </row>
    <row r="36">
      <c r="A36" s="19" t="inlineStr">
        <is>
          <t>Camiseta Voley</t>
        </is>
      </c>
      <c r="B36" s="12" t="n">
        <v>1700</v>
      </c>
      <c r="C36" s="12" t="n">
        <v>1700</v>
      </c>
      <c r="D36" s="9" t="inlineStr">
        <is>
          <t>Por confirmar</t>
        </is>
      </c>
    </row>
    <row r="37">
      <c r="A37" s="19" t="inlineStr">
        <is>
          <t>Calza Larga</t>
        </is>
      </c>
      <c r="B37" s="12" t="n">
        <v>1800</v>
      </c>
      <c r="C37" s="12" t="n">
        <v>1700</v>
      </c>
      <c r="D37" s="9" t="inlineStr">
        <is>
          <t>Por confirmar</t>
        </is>
      </c>
    </row>
    <row r="38">
      <c r="A38" s="19" t="inlineStr">
        <is>
          <t>Lienzo</t>
        </is>
      </c>
      <c r="B38" s="12" t="n">
        <v>650</v>
      </c>
      <c r="C38" s="12" t="n">
        <v>650</v>
      </c>
      <c r="D38" s="9" t="inlineStr">
        <is>
          <t>Por confirmar</t>
        </is>
      </c>
    </row>
    <row r="39">
      <c r="A39" s="19" t="inlineStr">
        <is>
          <t>Camiseta Retro</t>
        </is>
      </c>
      <c r="B39" s="12" t="n">
        <v>2400</v>
      </c>
      <c r="C39" s="12" t="n">
        <v>2400</v>
      </c>
      <c r="D39" s="9" t="inlineStr">
        <is>
          <t>Por confirmar</t>
        </is>
      </c>
    </row>
    <row r="40">
      <c r="A40" s="19" t="inlineStr">
        <is>
          <t>Multideporte</t>
        </is>
      </c>
      <c r="B40" s="12" t="n">
        <v>1700</v>
      </c>
      <c r="C40" s="12" t="n">
        <v>1600</v>
      </c>
      <c r="D40" s="9" t="inlineStr">
        <is>
          <t>Por confirmar</t>
        </is>
      </c>
    </row>
    <row r="41">
      <c r="A41" s="19" t="inlineStr">
        <is>
          <t>Poleron Polo</t>
        </is>
      </c>
      <c r="B41" s="12" t="n">
        <v>2000</v>
      </c>
      <c r="C41" s="12" t="n">
        <v>2000</v>
      </c>
      <c r="D41" s="9" t="inlineStr">
        <is>
          <t>Por confirmar</t>
        </is>
      </c>
    </row>
    <row r="42">
      <c r="A42" s="19" t="inlineStr">
        <is>
          <t>Parka Larga 2025</t>
        </is>
      </c>
      <c r="B42" s="12" t="n">
        <v>8000</v>
      </c>
      <c r="C42" s="12" t="n">
        <v>8000</v>
      </c>
      <c r="D42" s="9" t="inlineStr">
        <is>
          <t>Por confirmar</t>
        </is>
      </c>
    </row>
    <row r="43">
      <c r="A43" s="19" t="inlineStr">
        <is>
          <t>Camiseta Rugby Con Cuello</t>
        </is>
      </c>
      <c r="B43" s="12" t="n">
        <v>2500</v>
      </c>
      <c r="C43" s="12" t="n">
        <v>2400</v>
      </c>
      <c r="D43" s="9" t="inlineStr">
        <is>
          <t>Por confirmar</t>
        </is>
      </c>
    </row>
    <row r="44">
      <c r="A44" s="19" t="inlineStr">
        <is>
          <t>Poleron Oversize 3C</t>
        </is>
      </c>
      <c r="B44" s="12" t="n">
        <v>5500</v>
      </c>
      <c r="C44" s="12" t="n">
        <v>5000</v>
      </c>
      <c r="D44" s="9" t="inlineStr">
        <is>
          <t>Por confirmar</t>
        </is>
      </c>
    </row>
    <row r="45">
      <c r="A45" s="19" t="inlineStr">
        <is>
          <t>Cortaviento Con Capucha</t>
        </is>
      </c>
      <c r="B45" s="12" t="n">
        <v>6000</v>
      </c>
      <c r="C45" s="12" t="n">
        <v>6000</v>
      </c>
      <c r="D45" s="9" t="inlineStr">
        <is>
          <t>Por confirmar</t>
        </is>
      </c>
    </row>
    <row r="46">
      <c r="A46" s="19" t="inlineStr">
        <is>
          <t>Cortaviento Sin Capucha</t>
        </is>
      </c>
      <c r="B46" s="12" t="n">
        <v>5500</v>
      </c>
      <c r="C46" s="12" t="n">
        <v>5500</v>
      </c>
      <c r="D46" s="9" t="inlineStr">
        <is>
          <t>Por confirmar</t>
        </is>
      </c>
    </row>
    <row r="47">
      <c r="A47" s="19" t="inlineStr">
        <is>
          <t>Poleron Hoodie</t>
        </is>
      </c>
      <c r="B47" s="12" t="n">
        <v>3000</v>
      </c>
      <c r="C47" s="12" t="n">
        <v>2900</v>
      </c>
      <c r="D47" s="9" t="inlineStr">
        <is>
          <t>Por confirmar</t>
        </is>
      </c>
    </row>
    <row r="48">
      <c r="A48" s="19" t="inlineStr">
        <is>
          <t>Poleron Hoodie Corte Mangas</t>
        </is>
      </c>
      <c r="B48" s="12" t="n">
        <v>3300</v>
      </c>
      <c r="C48" s="12" t="n">
        <v>3300</v>
      </c>
      <c r="D48" s="9" t="inlineStr">
        <is>
          <t>Por confirmar</t>
        </is>
      </c>
    </row>
    <row r="49">
      <c r="A49" s="19" t="inlineStr">
        <is>
          <t>Bolso</t>
        </is>
      </c>
      <c r="B49" s="12" t="n">
        <v>1000</v>
      </c>
      <c r="C49" s="12" t="n">
        <v>1000</v>
      </c>
      <c r="D49" s="9" t="inlineStr">
        <is>
          <t>Por confirmar</t>
        </is>
      </c>
    </row>
    <row r="50">
      <c r="A50" s="19" t="inlineStr">
        <is>
          <t>Colett</t>
        </is>
      </c>
      <c r="B50" s="12" t="n">
        <v>500</v>
      </c>
      <c r="C50" s="12" t="n">
        <v>500</v>
      </c>
      <c r="D50" s="9" t="inlineStr">
        <is>
          <t>Por confirmar</t>
        </is>
      </c>
    </row>
  </sheetData>
  <dataValidations count="1">
    <dataValidation sqref="D5:D80" showDropDown="0" showInputMessage="0" showErrorMessage="0" allowBlank="0" type="list">
      <formula1>"Confirmado,Por confirmar,PENDIENTE"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24" customWidth="1" min="2" max="2"/>
    <col width="18" customWidth="1" min="3" max="3"/>
    <col width="16" customWidth="1" min="4" max="4"/>
    <col width="22" customWidth="1" min="5" max="5"/>
    <col width="15" customWidth="1" min="6" max="6"/>
  </cols>
  <sheetData>
    <row r="1">
      <c r="A1" s="1" t="inlineStr">
        <is>
          <t>CATÁLOGO — qué productos ya tienen receta</t>
        </is>
      </c>
    </row>
    <row r="2">
      <c r="A2" s="2" t="inlineStr">
        <is>
          <t>Ordenado por unidades vendidas (jun–sep 2026). Haz las recetas de arriba hacia abajo.</t>
        </is>
      </c>
    </row>
    <row r="3">
      <c r="A3" s="3">
        <f>"Con receta: "&amp;COUNTIF(F5:F142,"Sí")&amp;" de "&amp;COUNTA(A5:A142)&amp;" productos  ·  "&amp;TEXT(SUMIF(F5:F142,"Sí",C5:C142)/SUM(C5:C142),"0%")&amp;" de las unidades vendidas"</f>
        <v/>
      </c>
    </row>
    <row r="4">
      <c r="A4" s="8" t="inlineStr">
        <is>
          <t>Producto</t>
        </is>
      </c>
      <c r="B4" s="8" t="inlineStr">
        <is>
          <t>Tipo</t>
        </is>
      </c>
      <c r="C4" s="8" t="inlineStr">
        <is>
          <t>Unidades vendidas</t>
        </is>
      </c>
      <c r="D4" s="8" t="inlineStr">
        <is>
          <t>Venta neta ($)</t>
        </is>
      </c>
      <c r="E4" s="8" t="inlineStr">
        <is>
          <t>Precio real promedio ($)</t>
        </is>
      </c>
      <c r="F4" s="8" t="inlineStr">
        <is>
          <t>¿Tiene receta?</t>
        </is>
      </c>
    </row>
    <row r="5">
      <c r="A5" s="19" t="inlineStr">
        <is>
          <t>Dúo Pack Diamante Fútbol</t>
        </is>
      </c>
      <c r="B5" s="19" t="inlineStr">
        <is>
          <t>KIT/DÚO</t>
        </is>
      </c>
      <c r="C5" s="26" t="n">
        <v>496</v>
      </c>
      <c r="D5" s="27" t="n">
        <v>12634203</v>
      </c>
      <c r="E5" s="27" t="n">
        <v>26379</v>
      </c>
      <c r="F5" s="18">
        <f>IF(COUNTIF(Recetas!$A$6:$A$205,A5)&gt;0,"Sí","falta")</f>
        <v/>
      </c>
    </row>
    <row r="6">
      <c r="A6" s="19" t="inlineStr">
        <is>
          <t>Escudo en DTF10cm</t>
        </is>
      </c>
      <c r="B6" s="19" t="inlineStr">
        <is>
          <t>ADICIONAL</t>
        </is>
      </c>
      <c r="C6" s="26" t="n">
        <v>387</v>
      </c>
      <c r="D6" s="27" t="n">
        <v>810449</v>
      </c>
      <c r="E6" s="27" t="n">
        <v>2094</v>
      </c>
      <c r="F6" s="18">
        <f>IF(COUNTIF(Recetas!$A$6:$A$205,A6)&gt;0,"Sí","falta")</f>
        <v/>
      </c>
    </row>
    <row r="7">
      <c r="A7" s="19" t="inlineStr">
        <is>
          <t>Kit Oro Fútbol</t>
        </is>
      </c>
      <c r="B7" s="19" t="inlineStr">
        <is>
          <t>KIT/DÚO</t>
        </is>
      </c>
      <c r="C7" s="26" t="n">
        <v>214</v>
      </c>
      <c r="D7" s="27" t="n">
        <v>6158556</v>
      </c>
      <c r="E7" s="27" t="n">
        <v>29580</v>
      </c>
      <c r="F7" s="18">
        <f>IF(COUNTIF(Recetas!$A$6:$A$205,A7)&gt;0,"Sí","falta")</f>
        <v/>
      </c>
    </row>
    <row r="8">
      <c r="A8" s="19" t="inlineStr">
        <is>
          <t>Escudo Texturizado10cm</t>
        </is>
      </c>
      <c r="B8" s="19" t="inlineStr">
        <is>
          <t>ADICIONAL</t>
        </is>
      </c>
      <c r="C8" s="26" t="n">
        <v>214</v>
      </c>
      <c r="D8" s="27" t="n">
        <v>570554</v>
      </c>
      <c r="E8" s="27" t="n">
        <v>2941</v>
      </c>
      <c r="F8" s="18">
        <f>IF(COUNTIF(Recetas!$A$6:$A$205,A8)&gt;0,"Sí","falta")</f>
        <v/>
      </c>
    </row>
    <row r="9">
      <c r="A9" s="19" t="inlineStr">
        <is>
          <t>Medias Pro Personalizadas PMK</t>
        </is>
      </c>
      <c r="B9" s="19" t="inlineStr">
        <is>
          <t>EXTERNO/REVENTA</t>
        </is>
      </c>
      <c r="C9" s="26" t="n">
        <v>209</v>
      </c>
      <c r="D9" s="27" t="n">
        <v>1903429</v>
      </c>
      <c r="E9" s="27" t="n">
        <v>9734</v>
      </c>
      <c r="F9" s="18">
        <f>IF(COUNTIF(Recetas!$A$6:$A$205,A9)&gt;0,"Sí","falta")</f>
        <v/>
      </c>
    </row>
    <row r="10">
      <c r="A10" s="19" t="inlineStr">
        <is>
          <t>ESCUDO PRO 10CM</t>
        </is>
      </c>
      <c r="B10" s="19" t="inlineStr">
        <is>
          <t>ADICIONAL</t>
        </is>
      </c>
      <c r="C10" s="26" t="n">
        <v>207</v>
      </c>
      <c r="D10" s="27" t="n">
        <v>608787</v>
      </c>
      <c r="E10" s="27" t="n">
        <v>2941</v>
      </c>
      <c r="F10" s="18">
        <f>IF(COUNTIF(Recetas!$A$6:$A$205,A10)&gt;0,"Sí","falta")</f>
        <v/>
      </c>
    </row>
    <row r="11">
      <c r="A11" s="19" t="inlineStr">
        <is>
          <t>Camiseta Fútbol Playmaker, m/c</t>
        </is>
      </c>
      <c r="B11" s="19" t="inlineStr">
        <is>
          <t>JUEGO/COMPETENCIA</t>
        </is>
      </c>
      <c r="C11" s="26" t="n">
        <v>198</v>
      </c>
      <c r="D11" s="27" t="n">
        <v>3166996</v>
      </c>
      <c r="E11" s="27" t="n">
        <v>15994</v>
      </c>
      <c r="F11" s="18">
        <f>IF(COUNTIF(Recetas!$A$6:$A$205,A11)&gt;0,"Sí","falta")</f>
        <v/>
      </c>
    </row>
    <row r="12">
      <c r="A12" s="19" t="inlineStr">
        <is>
          <t>Camiseta Fútbol Playmaker Cuello Redondo m/c</t>
        </is>
      </c>
      <c r="B12" s="19" t="inlineStr">
        <is>
          <t>JUEGO/COMPETENCIA</t>
        </is>
      </c>
      <c r="C12" s="26" t="n">
        <v>190</v>
      </c>
      <c r="D12" s="27" t="n">
        <v>3023801</v>
      </c>
      <c r="E12" s="27" t="n">
        <v>16073</v>
      </c>
      <c r="F12" s="18">
        <f>IF(COUNTIF(Recetas!$A$6:$A$205,A12)&gt;0,"Sí","falta")</f>
        <v/>
      </c>
    </row>
    <row r="13">
      <c r="A13" s="19" t="inlineStr">
        <is>
          <t>EXTRA CUELLO PIQUÉ</t>
        </is>
      </c>
      <c r="B13" s="19" t="inlineStr">
        <is>
          <t>ADICIONAL</t>
        </is>
      </c>
      <c r="C13" s="26" t="n">
        <v>161</v>
      </c>
      <c r="D13" s="27" t="n">
        <v>357100</v>
      </c>
      <c r="E13" s="27" t="n">
        <v>2521</v>
      </c>
      <c r="F13" s="18">
        <f>IF(COUNTIF(Recetas!$A$6:$A$205,A13)&gt;0,"Sí","falta")</f>
        <v/>
      </c>
    </row>
    <row r="14">
      <c r="A14" s="19" t="inlineStr">
        <is>
          <t>Camiseta Fútbol Pro Playmaker Cuello Redondo m/c</t>
        </is>
      </c>
      <c r="B14" s="19" t="inlineStr">
        <is>
          <t>JUEGO/COMPETENCIA</t>
        </is>
      </c>
      <c r="C14" s="26" t="n">
        <v>160</v>
      </c>
      <c r="D14" s="27" t="n">
        <v>2907674</v>
      </c>
      <c r="E14" s="27" t="n">
        <v>18403</v>
      </c>
      <c r="F14" s="18">
        <f>IF(COUNTIF(Recetas!$A$6:$A$205,A14)&gt;0,"Sí","falta")</f>
        <v/>
      </c>
    </row>
    <row r="15">
      <c r="A15" s="19" t="inlineStr">
        <is>
          <t>Kit Diamante Fútbol</t>
        </is>
      </c>
      <c r="B15" s="19" t="inlineStr">
        <is>
          <t>KIT/DÚO</t>
        </is>
      </c>
      <c r="C15" s="26" t="n">
        <v>148</v>
      </c>
      <c r="D15" s="27" t="n">
        <v>4786004</v>
      </c>
      <c r="E15" s="27" t="n">
        <v>38898</v>
      </c>
      <c r="F15" s="18">
        <f>IF(COUNTIF(Recetas!$A$6:$A$205,A15)&gt;0,"Sí","falta")</f>
        <v/>
      </c>
    </row>
    <row r="16">
      <c r="A16" s="19" t="inlineStr">
        <is>
          <t>Camiseta Voley fem Playmaker, V m/c</t>
        </is>
      </c>
      <c r="B16" s="19" t="inlineStr">
        <is>
          <t>JUEGO/COMPETENCIA</t>
        </is>
      </c>
      <c r="C16" s="26" t="n">
        <v>139</v>
      </c>
      <c r="D16" s="27" t="n">
        <v>2336461</v>
      </c>
      <c r="E16" s="27" t="n">
        <v>17563</v>
      </c>
      <c r="F16" s="18">
        <f>IF(COUNTIF(Recetas!$A$6:$A$205,A16)&gt;0,"Sí","falta")</f>
        <v/>
      </c>
    </row>
    <row r="17">
      <c r="A17" s="19" t="inlineStr">
        <is>
          <t>Extra Cuello V</t>
        </is>
      </c>
      <c r="B17" s="19" t="inlineStr">
        <is>
          <t>ADICIONAL</t>
        </is>
      </c>
      <c r="C17" s="26" t="n">
        <v>130</v>
      </c>
      <c r="D17" s="27" t="n">
        <v>109200</v>
      </c>
      <c r="E17" s="27" t="n">
        <v>840</v>
      </c>
      <c r="F17" s="18">
        <f>IF(COUNTIF(Recetas!$A$6:$A$205,A17)&gt;0,"Sí","falta")</f>
        <v/>
      </c>
    </row>
    <row r="18">
      <c r="A18" s="19" t="inlineStr">
        <is>
          <t>Priorizado</t>
        </is>
      </c>
      <c r="B18" s="19" t="inlineStr">
        <is>
          <t>ADICIONAL</t>
        </is>
      </c>
      <c r="C18" s="26" t="n">
        <v>126</v>
      </c>
      <c r="D18" s="27" t="n">
        <v>529452</v>
      </c>
      <c r="E18" s="27" t="n">
        <v>4202</v>
      </c>
      <c r="F18" s="18">
        <f>IF(COUNTIF(Recetas!$A$6:$A$205,A18)&gt;0,"Sí","falta")</f>
        <v/>
      </c>
    </row>
    <row r="19">
      <c r="A19" s="19" t="inlineStr">
        <is>
          <t>Camiseta Fútbol Pro Playmaker, m/c</t>
        </is>
      </c>
      <c r="B19" s="19" t="inlineStr">
        <is>
          <t>JUEGO/COMPETENCIA</t>
        </is>
      </c>
      <c r="C19" s="26" t="n">
        <v>109</v>
      </c>
      <c r="D19" s="27" t="n">
        <v>2005927</v>
      </c>
      <c r="E19" s="27" t="n">
        <v>18403</v>
      </c>
      <c r="F19" s="18">
        <f>IF(COUNTIF(Recetas!$A$6:$A$205,A19)&gt;0,"Sí","falta")</f>
        <v/>
      </c>
    </row>
    <row r="20">
      <c r="A20" s="19" t="inlineStr">
        <is>
          <t>Camiseta Fútbol Playmaker, V m/c</t>
        </is>
      </c>
      <c r="B20" s="19" t="inlineStr">
        <is>
          <t>JUEGO/COMPETENCIA</t>
        </is>
      </c>
      <c r="C20" s="26" t="n">
        <v>109</v>
      </c>
      <c r="D20" s="27" t="n">
        <v>1797887</v>
      </c>
      <c r="E20" s="27" t="n">
        <v>16589</v>
      </c>
      <c r="F20" s="18">
        <f>IF(COUNTIF(Recetas!$A$6:$A$205,A20)&gt;0,"Sí","falta")</f>
        <v/>
      </c>
    </row>
    <row r="21">
      <c r="A21" s="19" t="inlineStr">
        <is>
          <t>Polera de Presentación Lisa</t>
        </is>
      </c>
      <c r="B21" s="19" t="inlineStr">
        <is>
          <t>SALIDA/PRESENTACIÓN</t>
        </is>
      </c>
      <c r="C21" s="26" t="n">
        <v>109</v>
      </c>
      <c r="D21" s="27" t="n">
        <v>1799740</v>
      </c>
      <c r="E21" s="27" t="n">
        <v>17004</v>
      </c>
      <c r="F21" s="18">
        <f>IF(COUNTIF(Recetas!$A$6:$A$205,A21)&gt;0,"Sí","falta")</f>
        <v/>
      </c>
    </row>
    <row r="22">
      <c r="A22" s="19" t="inlineStr">
        <is>
          <t>Dúo Pack Oro Fútbol</t>
        </is>
      </c>
      <c r="B22" s="19" t="inlineStr">
        <is>
          <t>KIT/DÚO</t>
        </is>
      </c>
      <c r="C22" s="26" t="n">
        <v>105</v>
      </c>
      <c r="D22" s="27" t="n">
        <v>2486408</v>
      </c>
      <c r="E22" s="27" t="n">
        <v>23697</v>
      </c>
      <c r="F22" s="18">
        <f>IF(COUNTIF(Recetas!$A$6:$A$205,A22)&gt;0,"Sí","falta")</f>
        <v/>
      </c>
    </row>
    <row r="23">
      <c r="A23" s="19" t="inlineStr">
        <is>
          <t>CAMISETA DE RUGBY STADE FRANCAIS ANIVERSARIO (ROSADA)</t>
        </is>
      </c>
      <c r="B23" s="19" t="inlineStr">
        <is>
          <t>JUEGO/COMPETENCIA</t>
        </is>
      </c>
      <c r="C23" s="26" t="n">
        <v>100</v>
      </c>
      <c r="D23" s="27" t="n">
        <v>2011760</v>
      </c>
      <c r="E23" s="27" t="n">
        <v>25714</v>
      </c>
      <c r="F23" s="18">
        <f>IF(COUNTIF(Recetas!$A$6:$A$205,A23)&gt;0,"Sí","falta")</f>
        <v/>
      </c>
    </row>
    <row r="24">
      <c r="A24" s="19" t="inlineStr">
        <is>
          <t>Polera de presentación Sublim m/c</t>
        </is>
      </c>
      <c r="B24" s="19" t="inlineStr">
        <is>
          <t>SALIDA/PRESENTACIÓN</t>
        </is>
      </c>
      <c r="C24" s="26" t="n">
        <v>99</v>
      </c>
      <c r="D24" s="27" t="n">
        <v>1770058</v>
      </c>
      <c r="E24" s="27" t="n">
        <v>18729</v>
      </c>
      <c r="F24" s="18">
        <f>IF(COUNTIF(Recetas!$A$6:$A$205,A24)&gt;0,"Sí","falta")</f>
        <v/>
      </c>
    </row>
    <row r="25">
      <c r="A25" s="19" t="inlineStr">
        <is>
          <t>Polera Playmaker, Cuello Redondo m/c</t>
        </is>
      </c>
      <c r="B25" s="19" t="inlineStr">
        <is>
          <t>JUEGO/COMPETENCIA</t>
        </is>
      </c>
      <c r="C25" s="26" t="n">
        <v>96</v>
      </c>
      <c r="D25" s="27" t="n">
        <v>1513264</v>
      </c>
      <c r="E25" s="27" t="n">
        <v>15588</v>
      </c>
      <c r="F25" s="18">
        <f>IF(COUNTIF(Recetas!$A$6:$A$205,A25)&gt;0,"Sí","falta")</f>
        <v/>
      </c>
    </row>
    <row r="26">
      <c r="A26" s="19" t="inlineStr">
        <is>
          <t>Camiseta Rugby Pro Pmk</t>
        </is>
      </c>
      <c r="B26" s="19" t="inlineStr">
        <is>
          <t>JUEGO/COMPETENCIA</t>
        </is>
      </c>
      <c r="C26" s="26" t="n">
        <v>93</v>
      </c>
      <c r="D26" s="27" t="n">
        <v>1991498</v>
      </c>
      <c r="E26" s="27" t="n">
        <v>21765</v>
      </c>
      <c r="F26" s="18">
        <f>IF(COUNTIF(Recetas!$A$6:$A$205,A26)&gt;0,"Sí","falta")</f>
        <v/>
      </c>
    </row>
    <row r="27">
      <c r="A27" s="19" t="inlineStr">
        <is>
          <t>Dúo Pack Oro Básket</t>
        </is>
      </c>
      <c r="B27" s="19" t="inlineStr">
        <is>
          <t>KIT/DÚO</t>
        </is>
      </c>
      <c r="C27" s="26" t="n">
        <v>91</v>
      </c>
      <c r="D27" s="27" t="n">
        <v>2239005</v>
      </c>
      <c r="E27" s="27" t="n">
        <v>26263</v>
      </c>
      <c r="F27" s="18">
        <f>IF(COUNTIF(Recetas!$A$6:$A$205,A27)&gt;0,"Sí","falta")</f>
        <v/>
      </c>
    </row>
    <row r="28">
      <c r="A28" s="19" t="inlineStr">
        <is>
          <t>Conjunto Polerón de Entrenamiento + Buzo Pitillo Subl</t>
        </is>
      </c>
      <c r="B28" s="19" t="inlineStr">
        <is>
          <t>SALIDA/PRESENTACIÓN</t>
        </is>
      </c>
      <c r="C28" s="26" t="n">
        <v>76</v>
      </c>
      <c r="D28" s="27" t="n">
        <v>3181592</v>
      </c>
      <c r="E28" s="27" t="n">
        <v>44010</v>
      </c>
      <c r="F28" s="18">
        <f>IF(COUNTIF(Recetas!$A$6:$A$205,A28)&gt;0,"Sí","falta")</f>
        <v/>
      </c>
    </row>
    <row r="29">
      <c r="A29" s="19" t="inlineStr">
        <is>
          <t>Extra Cuello Piqué</t>
        </is>
      </c>
      <c r="B29" s="19" t="inlineStr">
        <is>
          <t>ADICIONAL</t>
        </is>
      </c>
      <c r="C29" s="26" t="n">
        <v>72</v>
      </c>
      <c r="D29" s="27" t="n">
        <v>181512</v>
      </c>
      <c r="E29" s="27" t="n">
        <v>2521</v>
      </c>
      <c r="F29" s="18">
        <f>IF(COUNTIF(Recetas!$A$6:$A$205,A29)&gt;0,"Sí","falta")</f>
        <v/>
      </c>
    </row>
    <row r="30">
      <c r="A30" s="19" t="inlineStr">
        <is>
          <t>ESCUDO COLORES 10CM</t>
        </is>
      </c>
      <c r="B30" s="19" t="inlineStr">
        <is>
          <t>ADICIONAL</t>
        </is>
      </c>
      <c r="C30" s="26" t="n">
        <v>67</v>
      </c>
      <c r="D30" s="27" t="n">
        <v>121858</v>
      </c>
      <c r="E30" s="27" t="n">
        <v>2101</v>
      </c>
      <c r="F30" s="18">
        <f>IF(COUNTIF(Recetas!$A$6:$A$205,A30)&gt;0,"Sí","falta")</f>
        <v/>
      </c>
    </row>
    <row r="31">
      <c r="A31" s="19" t="inlineStr">
        <is>
          <t>Camiseta Fútbol Pro Playmaker, Piqué m/c</t>
        </is>
      </c>
      <c r="B31" s="19" t="inlineStr">
        <is>
          <t>JUEGO/COMPETENCIA</t>
        </is>
      </c>
      <c r="C31" s="26" t="n">
        <v>66</v>
      </c>
      <c r="D31" s="27" t="n">
        <v>1421371</v>
      </c>
      <c r="E31" s="27" t="n">
        <v>21554</v>
      </c>
      <c r="F31" s="18">
        <f>IF(COUNTIF(Recetas!$A$6:$A$205,A31)&gt;0,"Sí","falta")</f>
        <v/>
      </c>
    </row>
    <row r="32">
      <c r="A32" s="19" t="inlineStr">
        <is>
          <t>Camiseta Running Pro s/m</t>
        </is>
      </c>
      <c r="B32" s="19" t="inlineStr">
        <is>
          <t>JUEGO/COMPETENCIA</t>
        </is>
      </c>
      <c r="C32" s="26" t="n">
        <v>65</v>
      </c>
      <c r="D32" s="27" t="n">
        <v>1250860</v>
      </c>
      <c r="E32" s="27" t="n">
        <v>19244</v>
      </c>
      <c r="F32" s="18">
        <f>IF(COUNTIF(Recetas!$A$6:$A$205,A32)&gt;0,"Sí","falta")</f>
        <v/>
      </c>
    </row>
    <row r="33">
      <c r="A33" s="19" t="inlineStr">
        <is>
          <t>EXTRA MANGA LARGA</t>
        </is>
      </c>
      <c r="B33" s="19" t="inlineStr">
        <is>
          <t>ADICIONAL</t>
        </is>
      </c>
      <c r="C33" s="26" t="n">
        <v>65</v>
      </c>
      <c r="D33" s="27" t="n">
        <v>109265</v>
      </c>
      <c r="E33" s="27" t="n">
        <v>1681</v>
      </c>
      <c r="F33" s="18">
        <f>IF(COUNTIF(Recetas!$A$6:$A$205,A33)&gt;0,"Sí","falta")</f>
        <v/>
      </c>
    </row>
    <row r="34">
      <c r="A34" s="19" t="inlineStr">
        <is>
          <t>CORTAVIENTO SUBLIMADO</t>
        </is>
      </c>
      <c r="B34" s="19" t="inlineStr">
        <is>
          <t>SALIDA/PRESENTACIÓN</t>
        </is>
      </c>
      <c r="C34" s="26" t="n">
        <v>62</v>
      </c>
      <c r="D34" s="27" t="n">
        <v>2235100</v>
      </c>
      <c r="E34" s="27" t="n">
        <v>36050</v>
      </c>
      <c r="F34" s="18">
        <f>IF(COUNTIF(Recetas!$A$6:$A$205,A34)&gt;0,"Sí","falta")</f>
        <v/>
      </c>
    </row>
    <row r="35">
      <c r="A35" s="19" t="inlineStr">
        <is>
          <t>Short Rugby Basic</t>
        </is>
      </c>
      <c r="B35" s="19" t="inlineStr">
        <is>
          <t>JUEGO/COMPETENCIA</t>
        </is>
      </c>
      <c r="C35" s="26" t="n">
        <v>61</v>
      </c>
      <c r="D35" s="27" t="n">
        <v>712402</v>
      </c>
      <c r="E35" s="27" t="n">
        <v>12507</v>
      </c>
      <c r="F35" s="18">
        <f>IF(COUNTIF(Recetas!$A$6:$A$205,A35)&gt;0,"Sí","falta")</f>
        <v/>
      </c>
    </row>
    <row r="36">
      <c r="A36" s="19" t="inlineStr">
        <is>
          <t>Dúo Pack Plata Fútbol</t>
        </is>
      </c>
      <c r="B36" s="19" t="inlineStr">
        <is>
          <t>KIT/DÚO</t>
        </is>
      </c>
      <c r="C36" s="26" t="n">
        <v>61</v>
      </c>
      <c r="D36" s="27" t="n">
        <v>1134730</v>
      </c>
      <c r="E36" s="27" t="n">
        <v>17935</v>
      </c>
      <c r="F36" s="18">
        <f>IF(COUNTIF(Recetas!$A$6:$A$205,A36)&gt;0,"Sí","falta")</f>
        <v/>
      </c>
    </row>
    <row r="37">
      <c r="A37" s="19" t="inlineStr">
        <is>
          <t>Conjunto Polerón de Entrenamiento + Pitillo</t>
        </is>
      </c>
      <c r="B37" s="19" t="inlineStr">
        <is>
          <t>SALIDA/PRESENTACIÓN</t>
        </is>
      </c>
      <c r="C37" s="26" t="n">
        <v>60</v>
      </c>
      <c r="D37" s="27" t="n">
        <v>2515980</v>
      </c>
      <c r="E37" s="27" t="n">
        <v>41933</v>
      </c>
      <c r="F37" s="18">
        <f>IF(COUNTIF(Recetas!$A$6:$A$205,A37)&gt;0,"Sí","falta")</f>
        <v/>
      </c>
    </row>
    <row r="38">
      <c r="A38" s="19" t="inlineStr">
        <is>
          <t>Short Fútbol Playmaker Liso</t>
        </is>
      </c>
      <c r="B38" s="19" t="inlineStr">
        <is>
          <t>JUEGO/COMPETENCIA</t>
        </is>
      </c>
      <c r="C38" s="26" t="n">
        <v>55</v>
      </c>
      <c r="D38" s="27" t="n">
        <v>421165</v>
      </c>
      <c r="E38" s="27" t="n">
        <v>8059</v>
      </c>
      <c r="F38" s="18">
        <f>IF(COUNTIF(Recetas!$A$6:$A$205,A38)&gt;0,"Sí","falta")</f>
        <v/>
      </c>
    </row>
    <row r="39">
      <c r="A39" s="19" t="inlineStr">
        <is>
          <t>Escudo en DTF 20cm</t>
        </is>
      </c>
      <c r="B39" s="19" t="inlineStr">
        <is>
          <t>ADICIONAL</t>
        </is>
      </c>
      <c r="C39" s="26" t="n">
        <v>53</v>
      </c>
      <c r="D39" s="27" t="n">
        <v>228703</v>
      </c>
      <c r="E39" s="27" t="n">
        <v>4640</v>
      </c>
      <c r="F39" s="18">
        <f>IF(COUNTIF(Recetas!$A$6:$A$205,A39)&gt;0,"Sí","falta")</f>
        <v/>
      </c>
    </row>
    <row r="40">
      <c r="A40" s="19" t="inlineStr">
        <is>
          <t>Camiseta Voley fem Pro Playmaker, V</t>
        </is>
      </c>
      <c r="B40" s="19" t="inlineStr">
        <is>
          <t>JUEGO/COMPETENCIA</t>
        </is>
      </c>
      <c r="C40" s="26" t="n">
        <v>50</v>
      </c>
      <c r="D40" s="27" t="n">
        <v>962200</v>
      </c>
      <c r="E40" s="27" t="n">
        <v>19244</v>
      </c>
      <c r="F40" s="18">
        <f>IF(COUNTIF(Recetas!$A$6:$A$205,A40)&gt;0,"Sí","falta")</f>
        <v/>
      </c>
    </row>
    <row r="41">
      <c r="A41" s="19" t="inlineStr">
        <is>
          <t>DÚO PACK PLATA BASKET REVERSIBLE</t>
        </is>
      </c>
      <c r="B41" s="19" t="inlineStr">
        <is>
          <t>KIT/DÚO</t>
        </is>
      </c>
      <c r="C41" s="26" t="n">
        <v>50</v>
      </c>
      <c r="D41" s="27" t="n">
        <v>1508805</v>
      </c>
      <c r="E41" s="27" t="n">
        <v>33529</v>
      </c>
      <c r="F41" s="18">
        <f>IF(COUNTIF(Recetas!$A$6:$A$205,A41)&gt;0,"Sí","falta")</f>
        <v/>
      </c>
    </row>
    <row r="42">
      <c r="A42" s="19" t="inlineStr">
        <is>
          <t>PETO ENTRENAMIENTO SUB</t>
        </is>
      </c>
      <c r="B42" s="19" t="inlineStr">
        <is>
          <t>JUEGO/COMPETENCIA</t>
        </is>
      </c>
      <c r="C42" s="26" t="n">
        <v>48</v>
      </c>
      <c r="D42" s="27" t="n">
        <v>399312</v>
      </c>
      <c r="E42" s="27" t="n">
        <v>8319</v>
      </c>
      <c r="F42" s="18">
        <f>IF(COUNTIF(Recetas!$A$6:$A$205,A42)&gt;0,"Sí","falta")</f>
        <v/>
      </c>
    </row>
    <row r="43">
      <c r="A43" s="19" t="inlineStr">
        <is>
          <t>Polera Playmaker, Cuello Oval s/mangas</t>
        </is>
      </c>
      <c r="B43" s="19" t="inlineStr">
        <is>
          <t>JUEGO/COMPETENCIA</t>
        </is>
      </c>
      <c r="C43" s="26" t="n">
        <v>48</v>
      </c>
      <c r="D43" s="27" t="n">
        <v>802704</v>
      </c>
      <c r="E43" s="27" t="n">
        <v>16723</v>
      </c>
      <c r="F43" s="18">
        <f>IF(COUNTIF(Recetas!$A$6:$A$205,A43)&gt;0,"Sí","falta")</f>
        <v/>
      </c>
    </row>
    <row r="44">
      <c r="A44" s="19" t="inlineStr">
        <is>
          <t>Polerón Hoodie Playmaker liso</t>
        </is>
      </c>
      <c r="B44" s="19" t="inlineStr">
        <is>
          <t>SALIDA/PRESENTACIÓN</t>
        </is>
      </c>
      <c r="C44" s="26" t="n">
        <v>47</v>
      </c>
      <c r="D44" s="27" t="n">
        <v>1193189</v>
      </c>
      <c r="E44" s="27" t="n">
        <v>26134</v>
      </c>
      <c r="F44" s="18">
        <f>IF(COUNTIF(Recetas!$A$6:$A$205,A44)&gt;0,"Sí","falta")</f>
        <v/>
      </c>
    </row>
    <row r="45">
      <c r="A45" s="19" t="inlineStr">
        <is>
          <t>Dúo Pack Diamante Hockey Fem</t>
        </is>
      </c>
      <c r="B45" s="19" t="inlineStr">
        <is>
          <t>KIT/DÚO</t>
        </is>
      </c>
      <c r="C45" s="26" t="n">
        <v>47</v>
      </c>
      <c r="D45" s="27" t="n">
        <v>1343250</v>
      </c>
      <c r="E45" s="27" t="n">
        <v>30084</v>
      </c>
      <c r="F45" s="18">
        <f>IF(COUNTIF(Recetas!$A$6:$A$205,A45)&gt;0,"Sí","falta")</f>
        <v/>
      </c>
    </row>
    <row r="46">
      <c r="A46" s="19" t="inlineStr">
        <is>
          <t>CAMISETA DE RUGBY STADE FRANCAIS ANIVERSARIO (BLANCA)</t>
        </is>
      </c>
      <c r="B46" s="19" t="inlineStr">
        <is>
          <t>JUEGO/COMPETENCIA</t>
        </is>
      </c>
      <c r="C46" s="26" t="n">
        <v>44</v>
      </c>
      <c r="D46" s="27" t="n">
        <v>973108</v>
      </c>
      <c r="E46" s="27" t="n">
        <v>27605</v>
      </c>
      <c r="F46" s="18">
        <f>IF(COUNTIF(Recetas!$A$6:$A$205,A46)&gt;0,"Sí","falta")</f>
        <v/>
      </c>
    </row>
    <row r="47">
      <c r="A47" s="19" t="inlineStr">
        <is>
          <t>Polerón 3C Playmaker Algodón Cierre</t>
        </is>
      </c>
      <c r="B47" s="19" t="inlineStr">
        <is>
          <t>SALIDA/PRESENTACIÓN</t>
        </is>
      </c>
      <c r="C47" s="26" t="n">
        <v>40</v>
      </c>
      <c r="D47" s="27" t="n">
        <v>1307560</v>
      </c>
      <c r="E47" s="27" t="n">
        <v>32689</v>
      </c>
      <c r="F47" s="18">
        <f>IF(COUNTIF(Recetas!$A$6:$A$205,A47)&gt;0,"Sí","falta")</f>
        <v/>
      </c>
    </row>
    <row r="48">
      <c r="A48" s="19" t="inlineStr">
        <is>
          <t>Camiseta Voley masc Playmaker, Polo m/cero</t>
        </is>
      </c>
      <c r="B48" s="19" t="inlineStr">
        <is>
          <t>JUEGO/COMPETENCIA</t>
        </is>
      </c>
      <c r="C48" s="26" t="n">
        <v>37</v>
      </c>
      <c r="D48" s="27" t="n">
        <v>626303</v>
      </c>
      <c r="E48" s="27" t="n">
        <v>17563</v>
      </c>
      <c r="F48" s="18">
        <f>IF(COUNTIF(Recetas!$A$6:$A$205,A48)&gt;0,"Sí","falta")</f>
        <v/>
      </c>
    </row>
    <row r="49">
      <c r="A49" s="19" t="inlineStr">
        <is>
          <t>Parka Lisa Playmaker</t>
        </is>
      </c>
      <c r="B49" s="19" t="inlineStr">
        <is>
          <t>SALIDA/PRESENTACIÓN</t>
        </is>
      </c>
      <c r="C49" s="26" t="n">
        <v>37</v>
      </c>
      <c r="D49" s="27" t="n">
        <v>1642651</v>
      </c>
      <c r="E49" s="27" t="n">
        <v>54022</v>
      </c>
      <c r="F49" s="18">
        <f>IF(COUNTIF(Recetas!$A$6:$A$205,A49)&gt;0,"Sí","falta")</f>
        <v/>
      </c>
    </row>
    <row r="50">
      <c r="A50" s="19" t="inlineStr">
        <is>
          <t>Short Rugby Pro</t>
        </is>
      </c>
      <c r="B50" s="19" t="inlineStr">
        <is>
          <t>JUEGO/COMPETENCIA</t>
        </is>
      </c>
      <c r="C50" s="26" t="n">
        <v>35</v>
      </c>
      <c r="D50" s="27" t="n">
        <v>482868</v>
      </c>
      <c r="E50" s="27" t="n">
        <v>14202</v>
      </c>
      <c r="F50" s="18">
        <f>IF(COUNTIF(Recetas!$A$6:$A$205,A50)&gt;0,"Sí","falta")</f>
        <v/>
      </c>
    </row>
    <row r="51">
      <c r="A51" s="19" t="inlineStr">
        <is>
          <t>Polerón Entrenamiento Sublim</t>
        </is>
      </c>
      <c r="B51" s="19" t="inlineStr">
        <is>
          <t>SALIDA/PRESENTACIÓN</t>
        </is>
      </c>
      <c r="C51" s="26" t="n">
        <v>35</v>
      </c>
      <c r="D51" s="27" t="n">
        <v>919263</v>
      </c>
      <c r="E51" s="27" t="n">
        <v>27647</v>
      </c>
      <c r="F51" s="18">
        <f>IF(COUNTIF(Recetas!$A$6:$A$205,A51)&gt;0,"Sí","falta")</f>
        <v/>
      </c>
    </row>
    <row r="52">
      <c r="A52" s="19" t="inlineStr">
        <is>
          <t>Dúo Pack Oro Rugby Mas</t>
        </is>
      </c>
      <c r="B52" s="19" t="inlineStr">
        <is>
          <t>KIT/DÚO</t>
        </is>
      </c>
      <c r="C52" s="26" t="n">
        <v>35</v>
      </c>
      <c r="D52" s="27" t="n">
        <v>1055880</v>
      </c>
      <c r="E52" s="27" t="n">
        <v>30168</v>
      </c>
      <c r="F52" s="18">
        <f>IF(COUNTIF(Recetas!$A$6:$A$205,A52)&gt;0,"Sí","falta")</f>
        <v/>
      </c>
    </row>
    <row r="53">
      <c r="A53" s="19" t="inlineStr">
        <is>
          <t>Camiseta Rugby Performance Pmk</t>
        </is>
      </c>
      <c r="B53" s="19" t="inlineStr">
        <is>
          <t>JUEGO/COMPETENCIA</t>
        </is>
      </c>
      <c r="C53" s="26" t="n">
        <v>34</v>
      </c>
      <c r="D53" s="27" t="n">
        <v>683685</v>
      </c>
      <c r="E53" s="27" t="n">
        <v>19664</v>
      </c>
      <c r="F53" s="18">
        <f>IF(COUNTIF(Recetas!$A$6:$A$205,A53)&gt;0,"Sí","falta")</f>
        <v/>
      </c>
    </row>
    <row r="54">
      <c r="A54" s="19" t="inlineStr">
        <is>
          <t>Camiseta Fútbol Playmaker, m/l</t>
        </is>
      </c>
      <c r="B54" s="19" t="inlineStr">
        <is>
          <t>JUEGO/COMPETENCIA</t>
        </is>
      </c>
      <c r="C54" s="26" t="n">
        <v>34</v>
      </c>
      <c r="D54" s="27" t="n">
        <v>597142</v>
      </c>
      <c r="E54" s="27" t="n">
        <v>17563</v>
      </c>
      <c r="F54" s="18">
        <f>IF(COUNTIF(Recetas!$A$6:$A$205,A54)&gt;0,"Sí","falta")</f>
        <v/>
      </c>
    </row>
    <row r="55">
      <c r="A55" s="19" t="inlineStr">
        <is>
          <t>Dúo Pack Oro Voley Fem</t>
        </is>
      </c>
      <c r="B55" s="19" t="inlineStr">
        <is>
          <t>KIT/DÚO</t>
        </is>
      </c>
      <c r="C55" s="26" t="n">
        <v>33</v>
      </c>
      <c r="D55" s="27" t="n">
        <v>724882</v>
      </c>
      <c r="E55" s="27" t="n">
        <v>26555</v>
      </c>
      <c r="F55" s="18">
        <f>IF(COUNTIF(Recetas!$A$6:$A$205,A55)&gt;0,"Sí","falta")</f>
        <v/>
      </c>
    </row>
    <row r="56">
      <c r="A56" s="19" t="inlineStr">
        <is>
          <t>Escudo Vinilo 1 color 10cm</t>
        </is>
      </c>
      <c r="B56" s="19" t="inlineStr">
        <is>
          <t>ADICIONAL</t>
        </is>
      </c>
      <c r="C56" s="26" t="n">
        <v>32</v>
      </c>
      <c r="D56" s="27" t="n">
        <v>53792</v>
      </c>
      <c r="E56" s="27" t="n">
        <v>1681</v>
      </c>
      <c r="F56" s="18">
        <f>IF(COUNTIF(Recetas!$A$6:$A$205,A56)&gt;0,"Sí","falta")</f>
        <v/>
      </c>
    </row>
    <row r="57">
      <c r="A57" s="19" t="inlineStr">
        <is>
          <t>Camiseta Algodón Manga Larga Lisa</t>
        </is>
      </c>
      <c r="B57" s="19" t="inlineStr">
        <is>
          <t>JUEGO/COMPETENCIA</t>
        </is>
      </c>
      <c r="C57" s="26" t="n">
        <v>31</v>
      </c>
      <c r="D57" s="27" t="n">
        <v>388151</v>
      </c>
      <c r="E57" s="27" t="n">
        <v>12521</v>
      </c>
      <c r="F57" s="18">
        <f>IF(COUNTIF(Recetas!$A$6:$A$205,A57)&gt;0,"Sí","falta")</f>
        <v/>
      </c>
    </row>
    <row r="58">
      <c r="A58" s="19" t="inlineStr">
        <is>
          <t>Kit Plata Fútbol</t>
        </is>
      </c>
      <c r="B58" s="19" t="inlineStr">
        <is>
          <t>KIT/DÚO</t>
        </is>
      </c>
      <c r="C58" s="26" t="n">
        <v>30</v>
      </c>
      <c r="D58" s="27" t="n">
        <v>760143</v>
      </c>
      <c r="E58" s="27" t="n">
        <v>28782</v>
      </c>
      <c r="F58" s="18">
        <f>IF(COUNTIF(Recetas!$A$6:$A$205,A58)&gt;0,"Sí","falta")</f>
        <v/>
      </c>
    </row>
    <row r="59">
      <c r="A59" s="19" t="inlineStr">
        <is>
          <t>Camiseta Rugby Playmaker, Vintage</t>
        </is>
      </c>
      <c r="B59" s="19" t="inlineStr">
        <is>
          <t>JUEGO/COMPETENCIA</t>
        </is>
      </c>
      <c r="C59" s="26" t="n">
        <v>29</v>
      </c>
      <c r="D59" s="27" t="n">
        <v>587554</v>
      </c>
      <c r="E59" s="27" t="n">
        <v>21204</v>
      </c>
      <c r="F59" s="18">
        <f>IF(COUNTIF(Recetas!$A$6:$A$205,A59)&gt;0,"Sí","falta")</f>
        <v/>
      </c>
    </row>
    <row r="60">
      <c r="A60" s="19" t="inlineStr">
        <is>
          <t>Dúo Pack Plata Básket</t>
        </is>
      </c>
      <c r="B60" s="19" t="inlineStr">
        <is>
          <t>KIT/DÚO</t>
        </is>
      </c>
      <c r="C60" s="26" t="n">
        <v>29</v>
      </c>
      <c r="D60" s="27" t="n">
        <v>569870</v>
      </c>
      <c r="E60" s="27" t="n">
        <v>22941</v>
      </c>
      <c r="F60" s="18">
        <f>IF(COUNTIF(Recetas!$A$6:$A$205,A60)&gt;0,"Sí","falta")</f>
        <v/>
      </c>
    </row>
    <row r="61">
      <c r="A61" s="19" t="inlineStr">
        <is>
          <t>Camiseta Salida de Cancha Voley m/c</t>
        </is>
      </c>
      <c r="B61" s="19" t="inlineStr">
        <is>
          <t>SALIDA/PRESENTACIÓN</t>
        </is>
      </c>
      <c r="C61" s="26" t="n">
        <v>29</v>
      </c>
      <c r="D61" s="27" t="n">
        <v>655545</v>
      </c>
      <c r="E61" s="27" t="n">
        <v>22605</v>
      </c>
      <c r="F61" s="18">
        <f>IF(COUNTIF(Recetas!$A$6:$A$205,A61)&gt;0,"Sí","falta")</f>
        <v/>
      </c>
    </row>
    <row r="62">
      <c r="A62" s="19" t="inlineStr">
        <is>
          <t>CAMISETA VOLEY FEM V  S/M PLAYMAKER</t>
        </is>
      </c>
      <c r="B62" s="19" t="inlineStr">
        <is>
          <t>JUEGO/COMPETENCIA</t>
        </is>
      </c>
      <c r="C62" s="26" t="n">
        <v>29</v>
      </c>
      <c r="D62" s="27" t="n">
        <v>484967</v>
      </c>
      <c r="E62" s="27" t="n">
        <v>16723</v>
      </c>
      <c r="F62" s="18">
        <f>IF(COUNTIF(Recetas!$A$6:$A$205,A62)&gt;0,"Sí","falta")</f>
        <v/>
      </c>
    </row>
    <row r="63">
      <c r="A63" s="19" t="inlineStr">
        <is>
          <t>Medias Playmaker Lisas c/p</t>
        </is>
      </c>
      <c r="B63" s="19" t="inlineStr">
        <is>
          <t>EXTERNO/REVENTA</t>
        </is>
      </c>
      <c r="C63" s="26" t="n">
        <v>26</v>
      </c>
      <c r="D63" s="27" t="n">
        <v>148731</v>
      </c>
      <c r="E63" s="27" t="n">
        <v>6442</v>
      </c>
      <c r="F63" s="18">
        <f>IF(COUNTIF(Recetas!$A$6:$A$205,A63)&gt;0,"Sí","falta")</f>
        <v/>
      </c>
    </row>
    <row r="64">
      <c r="A64" s="19" t="inlineStr">
        <is>
          <t>Camiseta Rugby Playmaker, Low Profile</t>
        </is>
      </c>
      <c r="B64" s="19" t="inlineStr">
        <is>
          <t>JUEGO/COMPETENCIA</t>
        </is>
      </c>
      <c r="C64" s="26" t="n">
        <v>26</v>
      </c>
      <c r="D64" s="27" t="n">
        <v>576225</v>
      </c>
      <c r="E64" s="27" t="n">
        <v>23488</v>
      </c>
      <c r="F64" s="18">
        <f>IF(COUNTIF(Recetas!$A$6:$A$205,A64)&gt;0,"Sí","falta")</f>
        <v/>
      </c>
    </row>
    <row r="65">
      <c r="A65" s="19" t="inlineStr">
        <is>
          <t>Kit Oro Fútbol Mas</t>
        </is>
      </c>
      <c r="B65" s="19" t="inlineStr">
        <is>
          <t>KIT/DÚO</t>
        </is>
      </c>
      <c r="C65" s="26" t="n">
        <v>26</v>
      </c>
      <c r="D65" s="27" t="n">
        <v>769080</v>
      </c>
      <c r="E65" s="27" t="n">
        <v>29580</v>
      </c>
      <c r="F65" s="18">
        <f>IF(COUNTIF(Recetas!$A$6:$A$205,A65)&gt;0,"Sí","falta")</f>
        <v/>
      </c>
    </row>
    <row r="66">
      <c r="A66" s="19" t="inlineStr">
        <is>
          <t>Camiseta Running Pro m/c</t>
        </is>
      </c>
      <c r="B66" s="19" t="inlineStr">
        <is>
          <t>JUEGO/COMPETENCIA</t>
        </is>
      </c>
      <c r="C66" s="26" t="n">
        <v>25</v>
      </c>
      <c r="D66" s="27" t="n">
        <v>481100</v>
      </c>
      <c r="E66" s="27" t="n">
        <v>19244</v>
      </c>
      <c r="F66" s="18">
        <f>IF(COUNTIF(Recetas!$A$6:$A$205,A66)&gt;0,"Sí","falta")</f>
        <v/>
      </c>
    </row>
    <row r="67">
      <c r="A67" s="19" t="inlineStr">
        <is>
          <t>Kit Oro Fútbol Fem</t>
        </is>
      </c>
      <c r="B67" s="19" t="inlineStr">
        <is>
          <t>KIT/DÚO</t>
        </is>
      </c>
      <c r="C67" s="26" t="n">
        <v>25</v>
      </c>
      <c r="D67" s="27" t="n">
        <v>723231</v>
      </c>
      <c r="E67" s="27" t="n">
        <v>29580</v>
      </c>
      <c r="F67" s="18">
        <f>IF(COUNTIF(Recetas!$A$6:$A$205,A67)&gt;0,"Sí","falta")</f>
        <v/>
      </c>
    </row>
    <row r="68">
      <c r="A68" s="19" t="inlineStr">
        <is>
          <t>SHORT SALIDA SUB</t>
        </is>
      </c>
      <c r="B68" s="19" t="inlineStr">
        <is>
          <t>SALIDA/PRESENTACIÓN</t>
        </is>
      </c>
      <c r="C68" s="26" t="n">
        <v>25</v>
      </c>
      <c r="D68" s="27" t="n">
        <v>357345</v>
      </c>
      <c r="E68" s="27" t="n">
        <v>15882</v>
      </c>
      <c r="F68" s="18">
        <f>IF(COUNTIF(Recetas!$A$6:$A$205,A68)&gt;0,"Sí","falta")</f>
        <v/>
      </c>
    </row>
    <row r="69">
      <c r="A69" s="19" t="inlineStr">
        <is>
          <t>Camiseta Fútbol Playmaker, Piqué m/c</t>
        </is>
      </c>
      <c r="B69" s="19" t="inlineStr">
        <is>
          <t>JUEGO/COMPETENCIA</t>
        </is>
      </c>
      <c r="C69" s="26" t="n">
        <v>24</v>
      </c>
      <c r="D69" s="27" t="n">
        <v>441672</v>
      </c>
      <c r="E69" s="27" t="n">
        <v>18403</v>
      </c>
      <c r="F69" s="18">
        <f>IF(COUNTIF(Recetas!$A$6:$A$205,A69)&gt;0,"Sí","falta")</f>
        <v/>
      </c>
    </row>
    <row r="70">
      <c r="A70" s="19" t="inlineStr">
        <is>
          <t>Dúo Pack Oro Voley Mas</t>
        </is>
      </c>
      <c r="B70" s="19" t="inlineStr">
        <is>
          <t>KIT/DÚO</t>
        </is>
      </c>
      <c r="C70" s="26" t="n">
        <v>24</v>
      </c>
      <c r="D70" s="27" t="n">
        <v>568728</v>
      </c>
      <c r="E70" s="27" t="n">
        <v>23697</v>
      </c>
      <c r="F70" s="18">
        <f>IF(COUNTIF(Recetas!$A$6:$A$205,A70)&gt;0,"Sí","falta")</f>
        <v/>
      </c>
    </row>
    <row r="71">
      <c r="A71" s="19" t="inlineStr">
        <is>
          <t>Camiseta Fútbol Pro Playmaker, V m/c</t>
        </is>
      </c>
      <c r="B71" s="19" t="inlineStr">
        <is>
          <t>JUEGO/COMPETENCIA</t>
        </is>
      </c>
      <c r="C71" s="26" t="n">
        <v>23</v>
      </c>
      <c r="D71" s="27" t="n">
        <v>442612</v>
      </c>
      <c r="E71" s="27" t="n">
        <v>19244</v>
      </c>
      <c r="F71" s="18">
        <f>IF(COUNTIF(Recetas!$A$6:$A$205,A71)&gt;0,"Sí","falta")</f>
        <v/>
      </c>
    </row>
    <row r="72">
      <c r="A72" s="19" t="inlineStr">
        <is>
          <t>Dúo Pack plata</t>
        </is>
      </c>
      <c r="B72" s="19" t="inlineStr">
        <is>
          <t>KIT/DÚO</t>
        </is>
      </c>
      <c r="C72" s="26" t="n">
        <v>22</v>
      </c>
      <c r="D72" s="27" t="n">
        <v>425194</v>
      </c>
      <c r="E72" s="27" t="n">
        <v>19327</v>
      </c>
      <c r="F72" s="18">
        <f>IF(COUNTIF(Recetas!$A$6:$A$205,A72)&gt;0,"Sí","falta")</f>
        <v/>
      </c>
    </row>
    <row r="73">
      <c r="A73" s="19" t="inlineStr">
        <is>
          <t>Medias Fútbol Playmaker Lisas c/p</t>
        </is>
      </c>
      <c r="B73" s="19" t="inlineStr">
        <is>
          <t>EXTERNO/REVENTA</t>
        </is>
      </c>
      <c r="C73" s="26" t="n">
        <v>22</v>
      </c>
      <c r="D73" s="27" t="n">
        <v>129404</v>
      </c>
      <c r="E73" s="27" t="n">
        <v>5882</v>
      </c>
      <c r="F73" s="18">
        <f>IF(COUNTIF(Recetas!$A$6:$A$205,A73)&gt;0,"Sí","falta")</f>
        <v/>
      </c>
    </row>
    <row r="74">
      <c r="A74" s="19" t="inlineStr">
        <is>
          <t>Camiseta Básquetbol Performance</t>
        </is>
      </c>
      <c r="B74" s="19" t="inlineStr">
        <is>
          <t>JUEGO/COMPETENCIA</t>
        </is>
      </c>
      <c r="C74" s="26" t="n">
        <v>21</v>
      </c>
      <c r="D74" s="27" t="n">
        <v>319417</v>
      </c>
      <c r="E74" s="27" t="n">
        <v>17563</v>
      </c>
      <c r="F74" s="18">
        <f>IF(COUNTIF(Recetas!$A$6:$A$205,A74)&gt;0,"Sí","falta")</f>
        <v/>
      </c>
    </row>
    <row r="75">
      <c r="A75" s="19" t="inlineStr">
        <is>
          <t>Short Fútbol Playmaker Sublimado</t>
        </is>
      </c>
      <c r="B75" s="19" t="inlineStr">
        <is>
          <t>JUEGO/COMPETENCIA</t>
        </is>
      </c>
      <c r="C75" s="26" t="n">
        <v>20</v>
      </c>
      <c r="D75" s="27" t="n">
        <v>250420</v>
      </c>
      <c r="E75" s="27" t="n">
        <v>12521</v>
      </c>
      <c r="F75" s="18">
        <f>IF(COUNTIF(Recetas!$A$6:$A$205,A75)&gt;0,"Sí","falta")</f>
        <v/>
      </c>
    </row>
    <row r="76">
      <c r="A76" s="19" t="inlineStr">
        <is>
          <t>Camiseta Voley fem Pro Playmaker, Polo</t>
        </is>
      </c>
      <c r="B76" s="19" t="inlineStr">
        <is>
          <t>JUEGO/COMPETENCIA</t>
        </is>
      </c>
      <c r="C76" s="26" t="n">
        <v>20</v>
      </c>
      <c r="D76" s="27" t="n">
        <v>368060</v>
      </c>
      <c r="E76" s="27" t="n">
        <v>18403</v>
      </c>
      <c r="F76" s="18">
        <f>IF(COUNTIF(Recetas!$A$6:$A$205,A76)&gt;0,"Sí","falta")</f>
        <v/>
      </c>
    </row>
    <row r="77">
      <c r="A77" s="19" t="inlineStr">
        <is>
          <t>CAMISETA DE RUGBY STADE FRANCAIS ANIVERSARIO (AZUL)</t>
        </is>
      </c>
      <c r="B77" s="19" t="inlineStr">
        <is>
          <t>JUEGO/COMPETENCIA</t>
        </is>
      </c>
      <c r="C77" s="26" t="n">
        <v>20</v>
      </c>
      <c r="D77" s="27" t="n">
        <v>600000</v>
      </c>
      <c r="E77" s="27" t="n">
        <v>30000</v>
      </c>
      <c r="F77" s="18">
        <f>IF(COUNTIF(Recetas!$A$6:$A$205,A77)&gt;0,"Sí","falta")</f>
        <v/>
      </c>
    </row>
    <row r="78">
      <c r="A78" s="19" t="inlineStr">
        <is>
          <t>PETO ENTRENAMIENTO LISO</t>
        </is>
      </c>
      <c r="B78" s="19" t="inlineStr">
        <is>
          <t>JUEGO/COMPETENCIA</t>
        </is>
      </c>
      <c r="C78" s="26" t="n">
        <v>20</v>
      </c>
      <c r="D78" s="27" t="n">
        <v>120000</v>
      </c>
      <c r="E78" s="27" t="n">
        <v>6000</v>
      </c>
      <c r="F78" s="18">
        <f>IF(COUNTIF(Recetas!$A$6:$A$205,A78)&gt;0,"Sí","falta")</f>
        <v/>
      </c>
    </row>
    <row r="79">
      <c r="A79" s="19" t="inlineStr">
        <is>
          <t>Medias Fútbol Playmaker Lisas s/p</t>
        </is>
      </c>
      <c r="B79" s="19" t="inlineStr">
        <is>
          <t>EXTERNO/REVENTA</t>
        </is>
      </c>
      <c r="C79" s="26" t="n">
        <v>20</v>
      </c>
      <c r="D79" s="27" t="n">
        <v>110000</v>
      </c>
      <c r="E79" s="27" t="n">
        <v>5500</v>
      </c>
      <c r="F79" s="18">
        <f>IF(COUNTIF(Recetas!$A$6:$A$205,A79)&gt;0,"Sí","falta")</f>
        <v/>
      </c>
    </row>
    <row r="80">
      <c r="A80" s="19" t="inlineStr">
        <is>
          <t>Camiseta Running Performance s/m</t>
        </is>
      </c>
      <c r="B80" s="19" t="inlineStr">
        <is>
          <t>JUEGO/COMPETENCIA</t>
        </is>
      </c>
      <c r="C80" s="26" t="n">
        <v>19</v>
      </c>
      <c r="D80" s="27" t="n">
        <v>293023</v>
      </c>
      <c r="E80" s="27" t="n">
        <v>15882</v>
      </c>
      <c r="F80" s="18">
        <f>IF(COUNTIF(Recetas!$A$6:$A$205,A80)&gt;0,"Sí","falta")</f>
        <v/>
      </c>
    </row>
    <row r="81">
      <c r="A81" s="19" t="inlineStr">
        <is>
          <t>Kit Oro Rugby</t>
        </is>
      </c>
      <c r="B81" s="19" t="inlineStr">
        <is>
          <t>KIT/DÚO</t>
        </is>
      </c>
      <c r="C81" s="26" t="n">
        <v>19</v>
      </c>
      <c r="D81" s="27" t="n">
        <v>653030</v>
      </c>
      <c r="E81" s="27" t="n">
        <v>34370</v>
      </c>
      <c r="F81" s="18">
        <f>IF(COUNTIF(Recetas!$A$6:$A$205,A81)&gt;0,"Sí","falta")</f>
        <v/>
      </c>
    </row>
    <row r="82">
      <c r="A82" s="19" t="inlineStr">
        <is>
          <t>Pantalón Buzo Playmaker Liso Recto</t>
        </is>
      </c>
      <c r="B82" s="19" t="inlineStr">
        <is>
          <t>SALIDA/PRESENTACIÓN</t>
        </is>
      </c>
      <c r="C82" s="26" t="n">
        <v>19</v>
      </c>
      <c r="D82" s="27" t="n">
        <v>285798</v>
      </c>
      <c r="E82" s="27" t="n">
        <v>15042</v>
      </c>
      <c r="F82" s="18">
        <f>IF(COUNTIF(Recetas!$A$6:$A$205,A82)&gt;0,"Sí","falta")</f>
        <v/>
      </c>
    </row>
    <row r="83">
      <c r="A83" s="19" t="inlineStr">
        <is>
          <t>Dúo Pack Oro Básket Fem</t>
        </is>
      </c>
      <c r="B83" s="19" t="inlineStr">
        <is>
          <t>KIT/DÚO</t>
        </is>
      </c>
      <c r="C83" s="26" t="n">
        <v>19</v>
      </c>
      <c r="D83" s="27" t="n">
        <v>429655</v>
      </c>
      <c r="E83" s="27" t="n">
        <v>25126</v>
      </c>
      <c r="F83" s="18">
        <f>IF(COUNTIF(Recetas!$A$6:$A$205,A83)&gt;0,"Sí","falta")</f>
        <v/>
      </c>
    </row>
    <row r="84">
      <c r="A84" s="19" t="inlineStr">
        <is>
          <t>Dúo Pack Diamante Fútbol Mas</t>
        </is>
      </c>
      <c r="B84" s="19" t="inlineStr">
        <is>
          <t>KIT/DÚO</t>
        </is>
      </c>
      <c r="C84" s="26" t="n">
        <v>18</v>
      </c>
      <c r="D84" s="27" t="n">
        <v>471924</v>
      </c>
      <c r="E84" s="27" t="n">
        <v>26218</v>
      </c>
      <c r="F84" s="18">
        <f>IF(COUNTIF(Recetas!$A$6:$A$205,A84)&gt;0,"Sí","falta")</f>
        <v/>
      </c>
    </row>
    <row r="85">
      <c r="A85" s="19" t="inlineStr">
        <is>
          <t>Dúo Pack Diamante Voley Mas</t>
        </is>
      </c>
      <c r="B85" s="19" t="inlineStr">
        <is>
          <t>KIT/DÚO</t>
        </is>
      </c>
      <c r="C85" s="26" t="n">
        <v>17</v>
      </c>
      <c r="D85" s="27" t="n">
        <v>460003</v>
      </c>
      <c r="E85" s="27" t="n">
        <v>27059</v>
      </c>
      <c r="F85" s="18">
        <f>IF(COUNTIF(Recetas!$A$6:$A$205,A85)&gt;0,"Sí","falta")</f>
        <v/>
      </c>
    </row>
    <row r="86">
      <c r="A86" s="19" t="inlineStr">
        <is>
          <t>Pantalón Buzo Playmaker Liso Pitillo</t>
        </is>
      </c>
      <c r="B86" s="19" t="inlineStr">
        <is>
          <t>SALIDA/PRESENTACIÓN</t>
        </is>
      </c>
      <c r="C86" s="26" t="n">
        <v>17</v>
      </c>
      <c r="D86" s="27" t="n">
        <v>413195</v>
      </c>
      <c r="E86" s="27" t="n">
        <v>24328</v>
      </c>
      <c r="F86" s="18">
        <f>IF(COUNTIF(Recetas!$A$6:$A$205,A86)&gt;0,"Sí","falta")</f>
        <v/>
      </c>
    </row>
    <row r="87">
      <c r="A87" s="19" t="inlineStr">
        <is>
          <t>ESTAMPADO COLORES 20cm</t>
        </is>
      </c>
      <c r="B87" s="19" t="inlineStr">
        <is>
          <t>ADICIONAL</t>
        </is>
      </c>
      <c r="C87" s="26" t="n">
        <v>16</v>
      </c>
      <c r="D87" s="27" t="n">
        <v>87392</v>
      </c>
      <c r="E87" s="27" t="n">
        <v>5042</v>
      </c>
      <c r="F87" s="18">
        <f>IF(COUNTIF(Recetas!$A$6:$A$205,A87)&gt;0,"Sí","falta")</f>
        <v/>
      </c>
    </row>
    <row r="88">
      <c r="A88" s="19" t="inlineStr">
        <is>
          <t>Camiseta Running Performance m/c</t>
        </is>
      </c>
      <c r="B88" s="19" t="inlineStr">
        <is>
          <t>JUEGO/COMPETENCIA</t>
        </is>
      </c>
      <c r="C88" s="26" t="n">
        <v>16</v>
      </c>
      <c r="D88" s="27" t="n">
        <v>254112</v>
      </c>
      <c r="E88" s="27" t="n">
        <v>15882</v>
      </c>
      <c r="F88" s="18">
        <f>IF(COUNTIF(Recetas!$A$6:$A$205,A88)&gt;0,"Sí","falta")</f>
        <v/>
      </c>
    </row>
    <row r="89">
      <c r="A89" s="19" t="inlineStr">
        <is>
          <t>Dúo Pack Oro Fútbol Mas</t>
        </is>
      </c>
      <c r="B89" s="19" t="inlineStr">
        <is>
          <t>KIT/DÚO</t>
        </is>
      </c>
      <c r="C89" s="26" t="n">
        <v>15</v>
      </c>
      <c r="D89" s="27" t="n">
        <v>355455</v>
      </c>
      <c r="E89" s="27" t="n">
        <v>23697</v>
      </c>
      <c r="F89" s="18">
        <f>IF(COUNTIF(Recetas!$A$6:$A$205,A89)&gt;0,"Sí","falta")</f>
        <v/>
      </c>
    </row>
    <row r="90">
      <c r="A90" s="19" t="inlineStr">
        <is>
          <t>DÚO PACK ORO  BASKET REVERSIBLE</t>
        </is>
      </c>
      <c r="B90" s="19" t="inlineStr">
        <is>
          <t>KIT/DÚO</t>
        </is>
      </c>
      <c r="C90" s="26" t="n">
        <v>15</v>
      </c>
      <c r="D90" s="27" t="n">
        <v>398495</v>
      </c>
      <c r="E90" s="27" t="n">
        <v>40252</v>
      </c>
      <c r="F90" s="18">
        <f>IF(COUNTIF(Recetas!$A$6:$A$205,A90)&gt;0,"Sí","falta")</f>
        <v/>
      </c>
    </row>
    <row r="91">
      <c r="A91" s="19" t="inlineStr">
        <is>
          <t>Camiseta Hockey Playmaker, Cuello Ova s/mangas</t>
        </is>
      </c>
      <c r="B91" s="19" t="inlineStr">
        <is>
          <t>JUEGO/COMPETENCIA</t>
        </is>
      </c>
      <c r="C91" s="26" t="n">
        <v>15</v>
      </c>
      <c r="D91" s="27" t="n">
        <v>263445</v>
      </c>
      <c r="E91" s="27" t="n">
        <v>17563</v>
      </c>
      <c r="F91" s="18">
        <f>IF(COUNTIF(Recetas!$A$6:$A$205,A91)&gt;0,"Sí","falta")</f>
        <v/>
      </c>
    </row>
    <row r="92">
      <c r="A92" s="19" t="inlineStr">
        <is>
          <t>Falda Short Hockey Playmaker lisa</t>
        </is>
      </c>
      <c r="B92" s="19" t="inlineStr">
        <is>
          <t>JUEGO/COMPETENCIA</t>
        </is>
      </c>
      <c r="C92" s="26" t="n">
        <v>15</v>
      </c>
      <c r="D92" s="27" t="n">
        <v>213030</v>
      </c>
      <c r="E92" s="27" t="n">
        <v>14202</v>
      </c>
      <c r="F92" s="18">
        <f>IF(COUNTIF(Recetas!$A$6:$A$205,A92)&gt;0,"Sí","falta")</f>
        <v/>
      </c>
    </row>
    <row r="93">
      <c r="A93" s="19" t="inlineStr">
        <is>
          <t>Calza larga fem Playmaker</t>
        </is>
      </c>
      <c r="B93" s="19" t="inlineStr">
        <is>
          <t>JUEGO/COMPETENCIA</t>
        </is>
      </c>
      <c r="C93" s="26" t="n">
        <v>14</v>
      </c>
      <c r="D93" s="27" t="n">
        <v>163534</v>
      </c>
      <c r="E93" s="27" t="n">
        <v>11681</v>
      </c>
      <c r="F93" s="18">
        <f>IF(COUNTIF(Recetas!$A$6:$A$205,A93)&gt;0,"Sí","falta")</f>
        <v/>
      </c>
    </row>
    <row r="94">
      <c r="A94" s="19" t="inlineStr">
        <is>
          <t>Polerón Hoodie Aplicación Sublim</t>
        </is>
      </c>
      <c r="B94" s="19" t="inlineStr">
        <is>
          <t>SALIDA/PRESENTACIÓN</t>
        </is>
      </c>
      <c r="C94" s="26" t="n">
        <v>14</v>
      </c>
      <c r="D94" s="27" t="n">
        <v>399406</v>
      </c>
      <c r="E94" s="27" t="n">
        <v>31092</v>
      </c>
      <c r="F94" s="18">
        <f>IF(COUNTIF(Recetas!$A$6:$A$205,A94)&gt;0,"Sí","falta")</f>
        <v/>
      </c>
    </row>
    <row r="95">
      <c r="A95" s="19" t="inlineStr">
        <is>
          <t>POLERON BASIC</t>
        </is>
      </c>
      <c r="B95" s="19" t="inlineStr">
        <is>
          <t>SALIDA/PRESENTACIÓN</t>
        </is>
      </c>
      <c r="C95" s="26" t="n">
        <v>13</v>
      </c>
      <c r="D95" s="27" t="n">
        <v>229406</v>
      </c>
      <c r="E95" s="27" t="n">
        <v>17646</v>
      </c>
      <c r="F95" s="18">
        <f>IF(COUNTIF(Recetas!$A$6:$A$205,A95)&gt;0,"Sí","falta")</f>
        <v/>
      </c>
    </row>
    <row r="96">
      <c r="A96" s="19" t="inlineStr">
        <is>
          <t>Dúo Pack Diamante Voley Fem</t>
        </is>
      </c>
      <c r="B96" s="19" t="inlineStr">
        <is>
          <t>KIT/DÚO</t>
        </is>
      </c>
      <c r="C96" s="26" t="n">
        <v>13</v>
      </c>
      <c r="D96" s="27" t="n">
        <v>359411</v>
      </c>
      <c r="E96" s="27" t="n">
        <v>27647</v>
      </c>
      <c r="F96" s="18">
        <f>IF(COUNTIF(Recetas!$A$6:$A$205,A96)&gt;0,"Sí","falta")</f>
        <v/>
      </c>
    </row>
    <row r="97">
      <c r="A97" s="19" t="inlineStr">
        <is>
          <t>Polera Playmaker, Subl V m/c</t>
        </is>
      </c>
      <c r="B97" s="19" t="inlineStr">
        <is>
          <t>JUEGO/COMPETENCIA</t>
        </is>
      </c>
      <c r="C97" s="26" t="n">
        <v>13</v>
      </c>
      <c r="D97" s="27" t="n">
        <v>217399</v>
      </c>
      <c r="E97" s="27" t="n">
        <v>16723</v>
      </c>
      <c r="F97" s="18">
        <f>IF(COUNTIF(Recetas!$A$6:$A$205,A97)&gt;0,"Sí","falta")</f>
        <v/>
      </c>
    </row>
    <row r="98">
      <c r="A98" s="19" t="inlineStr">
        <is>
          <t>Camiseta Salida de Cancha Básquetbol m/l</t>
        </is>
      </c>
      <c r="B98" s="19" t="inlineStr">
        <is>
          <t>SALIDA/PRESENTACIÓN</t>
        </is>
      </c>
      <c r="C98" s="26" t="n">
        <v>13</v>
      </c>
      <c r="D98" s="27" t="n">
        <v>228319</v>
      </c>
      <c r="E98" s="27" t="n">
        <v>17563</v>
      </c>
      <c r="F98" s="18">
        <f>IF(COUNTIF(Recetas!$A$6:$A$205,A98)&gt;0,"Sí","falta")</f>
        <v/>
      </c>
    </row>
    <row r="99">
      <c r="A99" s="19" t="inlineStr">
        <is>
          <t>ZAPATILLA DE BÁSQUETBOL NIKE 120</t>
        </is>
      </c>
      <c r="B99" s="19" t="inlineStr">
        <is>
          <t>JUEGO/COMPETENCIA</t>
        </is>
      </c>
      <c r="C99" s="26" t="n">
        <v>13</v>
      </c>
      <c r="D99" s="27" t="n">
        <v>1690000</v>
      </c>
      <c r="E99" s="27" t="n">
        <v>130000</v>
      </c>
      <c r="F99" s="18">
        <f>IF(COUNTIF(Recetas!$A$6:$A$205,A99)&gt;0,"Sí","falta")</f>
        <v/>
      </c>
    </row>
    <row r="100">
      <c r="A100" s="19" t="inlineStr">
        <is>
          <t>CHAQUETA ACOLCHADA CON CAPUCHA</t>
        </is>
      </c>
      <c r="B100" s="19" t="inlineStr">
        <is>
          <t>SALIDA/PRESENTACIÓN</t>
        </is>
      </c>
      <c r="C100" s="26" t="n">
        <v>13</v>
      </c>
      <c r="D100" s="27" t="n">
        <v>780000</v>
      </c>
      <c r="E100" s="27" t="n">
        <v>60000</v>
      </c>
      <c r="F100" s="18">
        <f>IF(COUNTIF(Recetas!$A$6:$A$205,A100)&gt;0,"Sí","falta")</f>
        <v/>
      </c>
    </row>
    <row r="101">
      <c r="A101" s="19" t="inlineStr">
        <is>
          <t>Kit Plata Voley Mas</t>
        </is>
      </c>
      <c r="B101" s="19" t="inlineStr">
        <is>
          <t>KIT/DÚO</t>
        </is>
      </c>
      <c r="C101" s="26" t="n">
        <v>12</v>
      </c>
      <c r="D101" s="27" t="n">
        <v>311592</v>
      </c>
      <c r="E101" s="27" t="n">
        <v>25966</v>
      </c>
      <c r="F101" s="18">
        <f>IF(COUNTIF(Recetas!$A$6:$A$205,A101)&gt;0,"Sí","falta")</f>
        <v/>
      </c>
    </row>
    <row r="102">
      <c r="A102" s="19" t="inlineStr">
        <is>
          <t>Camiseta Voley masc Playmaker, Polo m/c</t>
        </is>
      </c>
      <c r="B102" s="19" t="inlineStr">
        <is>
          <t>JUEGO/COMPETENCIA</t>
        </is>
      </c>
      <c r="C102" s="26" t="n">
        <v>12</v>
      </c>
      <c r="D102" s="27" t="n">
        <v>193946</v>
      </c>
      <c r="E102" s="27" t="n">
        <v>16554</v>
      </c>
      <c r="F102" s="18">
        <f>IF(COUNTIF(Recetas!$A$6:$A$205,A102)&gt;0,"Sí","falta")</f>
        <v/>
      </c>
    </row>
    <row r="103">
      <c r="A103" s="19" t="inlineStr">
        <is>
          <t>Kit Diamante Rugby</t>
        </is>
      </c>
      <c r="B103" s="19" t="inlineStr">
        <is>
          <t>KIT/DÚO</t>
        </is>
      </c>
      <c r="C103" s="26" t="n">
        <v>12</v>
      </c>
      <c r="D103" s="27" t="n">
        <v>432600</v>
      </c>
      <c r="E103" s="27" t="n">
        <v>36050</v>
      </c>
      <c r="F103" s="18">
        <f>IF(COUNTIF(Recetas!$A$6:$A$205,A103)&gt;0,"Sí","falta")</f>
        <v/>
      </c>
    </row>
    <row r="104">
      <c r="A104" s="19" t="inlineStr">
        <is>
          <t>Dúo Pack Plata Básket Fem</t>
        </is>
      </c>
      <c r="B104" s="19" t="inlineStr">
        <is>
          <t>KIT/DÚO</t>
        </is>
      </c>
      <c r="C104" s="26" t="n">
        <v>12</v>
      </c>
      <c r="D104" s="27" t="n">
        <v>281340</v>
      </c>
      <c r="E104" s="27" t="n">
        <v>23445</v>
      </c>
      <c r="F104" s="18">
        <f>IF(COUNTIF(Recetas!$A$6:$A$205,A104)&gt;0,"Sí","falta")</f>
        <v/>
      </c>
    </row>
    <row r="105">
      <c r="A105" s="19" t="inlineStr">
        <is>
          <t>Dúo Pack Plata Básket Mas</t>
        </is>
      </c>
      <c r="B105" s="19" t="inlineStr">
        <is>
          <t>KIT/DÚO</t>
        </is>
      </c>
      <c r="C105" s="26" t="n">
        <v>12</v>
      </c>
      <c r="D105" s="27" t="n">
        <v>281340</v>
      </c>
      <c r="E105" s="27" t="n">
        <v>23445</v>
      </c>
      <c r="F105" s="18">
        <f>IF(COUNTIF(Recetas!$A$6:$A$205,A105)&gt;0,"Sí","falta")</f>
        <v/>
      </c>
    </row>
    <row r="106">
      <c r="A106" s="19" t="inlineStr">
        <is>
          <t>Polerón de Entrenamiento Mangas Sublimadas</t>
        </is>
      </c>
      <c r="B106" s="19" t="inlineStr">
        <is>
          <t>SALIDA/PRESENTACIÓN</t>
        </is>
      </c>
      <c r="C106" s="26" t="n">
        <v>12</v>
      </c>
      <c r="D106" s="27" t="n">
        <v>362016</v>
      </c>
      <c r="E106" s="27" t="n">
        <v>30168</v>
      </c>
      <c r="F106" s="18">
        <f>IF(COUNTIF(Recetas!$A$6:$A$205,A106)&gt;0,"Sí","falta")</f>
        <v/>
      </c>
    </row>
    <row r="107">
      <c r="A107" s="19" t="inlineStr">
        <is>
          <t>Escudo en DTF 10cm-20cm</t>
        </is>
      </c>
      <c r="B107" s="19" t="inlineStr">
        <is>
          <t>ADICIONAL</t>
        </is>
      </c>
      <c r="C107" s="26" t="n">
        <v>12</v>
      </c>
      <c r="D107" s="27" t="n">
        <v>49416</v>
      </c>
      <c r="E107" s="27" t="n">
        <v>4118</v>
      </c>
      <c r="F107" s="18">
        <f>IF(COUNTIF(Recetas!$A$6:$A$205,A107)&gt;0,"Sí","falta")</f>
        <v/>
      </c>
    </row>
    <row r="108">
      <c r="A108" s="19" t="inlineStr">
        <is>
          <t>Dúo Pack Oro Hockey Fem</t>
        </is>
      </c>
      <c r="B108" s="19" t="inlineStr">
        <is>
          <t>KIT/DÚO</t>
        </is>
      </c>
      <c r="C108" s="26" t="n">
        <v>12</v>
      </c>
      <c r="D108" s="27" t="n">
        <v>291432</v>
      </c>
      <c r="E108" s="27" t="n">
        <v>24286</v>
      </c>
      <c r="F108" s="18">
        <f>IF(COUNTIF(Recetas!$A$6:$A$205,A108)&gt;0,"Sí","falta")</f>
        <v/>
      </c>
    </row>
    <row r="109">
      <c r="A109" s="19" t="inlineStr">
        <is>
          <t>Polera Playmaker, Cuello Redondo m/l</t>
        </is>
      </c>
      <c r="B109" s="19" t="inlineStr">
        <is>
          <t>JUEGO/COMPETENCIA</t>
        </is>
      </c>
      <c r="C109" s="26" t="n">
        <v>12</v>
      </c>
      <c r="D109" s="27" t="n">
        <v>210756</v>
      </c>
      <c r="E109" s="27" t="n">
        <v>17563</v>
      </c>
      <c r="F109" s="18">
        <f>IF(COUNTIF(Recetas!$A$6:$A$205,A109)&gt;0,"Sí","falta")</f>
        <v/>
      </c>
    </row>
    <row r="110">
      <c r="A110" s="19" t="inlineStr">
        <is>
          <t>Camiseta Rugby Silver Pmk</t>
        </is>
      </c>
      <c r="B110" s="19" t="inlineStr">
        <is>
          <t>JUEGO/COMPETENCIA</t>
        </is>
      </c>
      <c r="C110" s="26" t="n">
        <v>12</v>
      </c>
      <c r="D110" s="27" t="n">
        <v>230928</v>
      </c>
      <c r="E110" s="27" t="n">
        <v>19244</v>
      </c>
      <c r="F110" s="18">
        <f>IF(COUNTIF(Recetas!$A$6:$A$205,A110)&gt;0,"Sí","falta")</f>
        <v/>
      </c>
    </row>
    <row r="111">
      <c r="A111" s="19" t="inlineStr">
        <is>
          <t>Kit Oro Voley Fem</t>
        </is>
      </c>
      <c r="B111" s="19" t="inlineStr">
        <is>
          <t>KIT/DÚO</t>
        </is>
      </c>
      <c r="C111" s="26" t="n">
        <v>11</v>
      </c>
      <c r="D111" s="27" t="n">
        <v>268910</v>
      </c>
      <c r="E111" s="27" t="n">
        <v>26891</v>
      </c>
      <c r="F111" s="18">
        <f>IF(COUNTIF(Recetas!$A$6:$A$205,A111)&gt;0,"Sí","falta")</f>
        <v/>
      </c>
    </row>
    <row r="112">
      <c r="A112" s="19" t="inlineStr">
        <is>
          <t>Polera de Presentación Sublim m/l</t>
        </is>
      </c>
      <c r="B112" s="19" t="inlineStr">
        <is>
          <t>SALIDA/PRESENTACIÓN</t>
        </is>
      </c>
      <c r="C112" s="26" t="n">
        <v>11</v>
      </c>
      <c r="D112" s="27" t="n">
        <v>220924</v>
      </c>
      <c r="E112" s="27" t="n">
        <v>20084</v>
      </c>
      <c r="F112" s="18">
        <f>IF(COUNTIF(Recetas!$A$6:$A$205,A112)&gt;0,"Sí","falta")</f>
        <v/>
      </c>
    </row>
    <row r="113">
      <c r="A113" s="19" t="inlineStr">
        <is>
          <t>Dúo Pack Plata Rugby</t>
        </is>
      </c>
      <c r="B113" s="19" t="inlineStr">
        <is>
          <t>KIT/DÚO</t>
        </is>
      </c>
      <c r="C113" s="26" t="n">
        <v>10</v>
      </c>
      <c r="D113" s="27" t="n">
        <v>300868</v>
      </c>
      <c r="E113" s="27" t="n">
        <v>29266</v>
      </c>
      <c r="F113" s="18">
        <f>IF(COUNTIF(Recetas!$A$6:$A$205,A113)&gt;0,"Sí","falta")</f>
        <v/>
      </c>
    </row>
    <row r="114">
      <c r="A114" s="19" t="inlineStr">
        <is>
          <t>Camiseta Voley fem Playmaker, Polo</t>
        </is>
      </c>
      <c r="B114" s="19" t="inlineStr">
        <is>
          <t>JUEGO/COMPETENCIA</t>
        </is>
      </c>
      <c r="C114" s="26" t="n">
        <v>9</v>
      </c>
      <c r="D114" s="27" t="n">
        <v>153023</v>
      </c>
      <c r="E114" s="27" t="n">
        <v>17143</v>
      </c>
      <c r="F114" s="18">
        <f>IF(COUNTIF(Recetas!$A$6:$A$205,A114)&gt;0,"Sí","falta")</f>
        <v/>
      </c>
    </row>
    <row r="115">
      <c r="A115" s="19" t="inlineStr">
        <is>
          <t>Bolso Sublimado Personalizado PMK de Regalo</t>
        </is>
      </c>
      <c r="B115" s="19" t="inlineStr">
        <is>
          <t>EXTERNO/REVENTA</t>
        </is>
      </c>
      <c r="C115" s="26" t="n">
        <v>8</v>
      </c>
      <c r="D115" s="27" t="n">
        <v>0</v>
      </c>
      <c r="E115" s="27" t="n"/>
      <c r="F115" s="18">
        <f>IF(COUNTIF(Recetas!$A$6:$A$205,A115)&gt;0,"Sí","falta")</f>
        <v/>
      </c>
    </row>
    <row r="116">
      <c r="A116" s="19" t="inlineStr">
        <is>
          <t>EXTRA TALLA ESPECIAL</t>
        </is>
      </c>
      <c r="B116" s="19" t="inlineStr">
        <is>
          <t>ADICIONAL</t>
        </is>
      </c>
      <c r="C116" s="26" t="n">
        <v>8</v>
      </c>
      <c r="D116" s="27" t="n">
        <v>9242</v>
      </c>
      <c r="E116" s="27" t="n">
        <v>1260</v>
      </c>
      <c r="F116" s="18">
        <f>IF(COUNTIF(Recetas!$A$6:$A$205,A116)&gt;0,"Sí","falta")</f>
        <v/>
      </c>
    </row>
    <row r="117">
      <c r="A117" s="19" t="inlineStr">
        <is>
          <t>POLERON  DE ENTRENAMIENTO SUBLIMADO MEDIO CIERRE</t>
        </is>
      </c>
      <c r="B117" s="19" t="inlineStr">
        <is>
          <t>SALIDA/PRESENTACIÓN</t>
        </is>
      </c>
      <c r="C117" s="26" t="n">
        <v>6</v>
      </c>
      <c r="D117" s="27" t="n">
        <v>196302</v>
      </c>
      <c r="E117" s="27" t="n">
        <v>32731</v>
      </c>
      <c r="F117" s="18">
        <f>IF(COUNTIF(Recetas!$A$6:$A$205,A117)&gt;0,"Sí","falta")</f>
        <v/>
      </c>
    </row>
    <row r="118">
      <c r="A118" s="19" t="inlineStr">
        <is>
          <t>Polera Playmaker, V m/c</t>
        </is>
      </c>
      <c r="B118" s="19" t="inlineStr">
        <is>
          <t>JUEGO/COMPETENCIA</t>
        </is>
      </c>
      <c r="C118" s="26" t="n">
        <v>6</v>
      </c>
      <c r="D118" s="27" t="n">
        <v>100338</v>
      </c>
      <c r="E118" s="27" t="n">
        <v>16723</v>
      </c>
      <c r="F118" s="18">
        <f>IF(COUNTIF(Recetas!$A$6:$A$205,A118)&gt;0,"Sí","falta")</f>
        <v/>
      </c>
    </row>
    <row r="119">
      <c r="A119" s="19" t="inlineStr">
        <is>
          <t>Camiseta de entrenamiento Rugby,m/c</t>
        </is>
      </c>
      <c r="B119" s="19" t="inlineStr">
        <is>
          <t>JUEGO/COMPETENCIA</t>
        </is>
      </c>
      <c r="C119" s="26" t="n">
        <v>5</v>
      </c>
      <c r="D119" s="27" t="n">
        <v>79410</v>
      </c>
      <c r="E119" s="27" t="n">
        <v>15882</v>
      </c>
      <c r="F119" s="18">
        <f>IF(COUNTIF(Recetas!$A$6:$A$205,A119)&gt;0,"Sí","falta")</f>
        <v/>
      </c>
    </row>
    <row r="120">
      <c r="A120" s="19" t="inlineStr">
        <is>
          <t>DESPACHO</t>
        </is>
      </c>
      <c r="B120" s="19" t="inlineStr">
        <is>
          <t>JUEGO/COMPETENCIA</t>
        </is>
      </c>
      <c r="C120" s="26" t="n">
        <v>5</v>
      </c>
      <c r="D120" s="27" t="n">
        <v>89679</v>
      </c>
      <c r="E120" s="27" t="n">
        <v>13622</v>
      </c>
      <c r="F120" s="18">
        <f>IF(COUNTIF(Recetas!$A$6:$A$205,A120)&gt;0,"Sí","falta")</f>
        <v/>
      </c>
    </row>
    <row r="121">
      <c r="A121" s="19" t="inlineStr">
        <is>
          <t>BALON DE FUTBOL</t>
        </is>
      </c>
      <c r="B121" s="19" t="inlineStr">
        <is>
          <t>EXTERNO/REVENTA</t>
        </is>
      </c>
      <c r="C121" s="26" t="n">
        <v>5</v>
      </c>
      <c r="D121" s="27" t="n">
        <v>147060</v>
      </c>
      <c r="E121" s="27" t="n">
        <v>29412</v>
      </c>
      <c r="F121" s="18">
        <f>IF(COUNTIF(Recetas!$A$6:$A$205,A121)&gt;0,"Sí","falta")</f>
        <v/>
      </c>
    </row>
    <row r="122">
      <c r="A122" s="19" t="inlineStr">
        <is>
          <t>Camiseta Playmaker Running manga/L</t>
        </is>
      </c>
      <c r="B122" s="19" t="inlineStr">
        <is>
          <t>JUEGO/COMPETENCIA</t>
        </is>
      </c>
      <c r="C122" s="26" t="n">
        <v>5</v>
      </c>
      <c r="D122" s="27" t="n">
        <v>92015</v>
      </c>
      <c r="E122" s="27" t="n">
        <v>18403</v>
      </c>
      <c r="F122" s="18">
        <f>IF(COUNTIF(Recetas!$A$6:$A$205,A122)&gt;0,"Sí","falta")</f>
        <v/>
      </c>
    </row>
    <row r="123">
      <c r="A123" s="19" t="inlineStr">
        <is>
          <t>Calza corta fem Playmaker</t>
        </is>
      </c>
      <c r="B123" s="19" t="inlineStr">
        <is>
          <t>JUEGO/COMPETENCIA</t>
        </is>
      </c>
      <c r="C123" s="26" t="n">
        <v>4</v>
      </c>
      <c r="D123" s="27" t="n">
        <v>50588</v>
      </c>
      <c r="E123" s="27" t="n">
        <v>12689</v>
      </c>
      <c r="F123" s="18">
        <f>IF(COUNTIF(Recetas!$A$6:$A$205,A123)&gt;0,"Sí","falta")</f>
        <v/>
      </c>
    </row>
    <row r="124">
      <c r="A124" s="19" t="inlineStr">
        <is>
          <t>PARKA LISA PLAYMAKER BOSTON WEB</t>
        </is>
      </c>
      <c r="B124" s="19" t="inlineStr">
        <is>
          <t>SALIDA/PRESENTACIÓN</t>
        </is>
      </c>
      <c r="C124" s="26" t="n">
        <v>4</v>
      </c>
      <c r="D124" s="27" t="n">
        <v>151260</v>
      </c>
      <c r="E124" s="27" t="n">
        <v>50420</v>
      </c>
      <c r="F124" s="18">
        <f>IF(COUNTIF(Recetas!$A$6:$A$205,A124)&gt;0,"Sí","falta")</f>
        <v/>
      </c>
    </row>
    <row r="125">
      <c r="A125" s="19" t="inlineStr">
        <is>
          <t>Short Salida con bolsillos</t>
        </is>
      </c>
      <c r="B125" s="19" t="inlineStr">
        <is>
          <t>SALIDA/PRESENTACIÓN</t>
        </is>
      </c>
      <c r="C125" s="26" t="n">
        <v>4</v>
      </c>
      <c r="D125" s="27" t="n">
        <v>53780</v>
      </c>
      <c r="E125" s="27" t="n">
        <v>13445</v>
      </c>
      <c r="F125" s="18">
        <f>IF(COUNTIF(Recetas!$A$6:$A$205,A125)&gt;0,"Sí","falta")</f>
        <v/>
      </c>
    </row>
    <row r="126">
      <c r="A126" s="19" t="inlineStr">
        <is>
          <t>POLERON DE ENTRENAMIENTO  MANGAS SUBLIMADAS MASC</t>
        </is>
      </c>
      <c r="B126" s="19" t="inlineStr">
        <is>
          <t>SALIDA/PRESENTACIÓN</t>
        </is>
      </c>
      <c r="C126" s="26" t="n">
        <v>4</v>
      </c>
      <c r="D126" s="27" t="n">
        <v>120672</v>
      </c>
      <c r="E126" s="27" t="n">
        <v>30168</v>
      </c>
      <c r="F126" s="18">
        <f>IF(COUNTIF(Recetas!$A$6:$A$205,A126)&gt;0,"Sí","falta")</f>
        <v/>
      </c>
    </row>
    <row r="127">
      <c r="A127" s="19" t="inlineStr">
        <is>
          <t>BOLSO SUBLIMADO PERSONALIZADO</t>
        </is>
      </c>
      <c r="B127" s="19" t="inlineStr">
        <is>
          <t>EXTERNO/REVENTA</t>
        </is>
      </c>
      <c r="C127" s="26" t="n">
        <v>3</v>
      </c>
      <c r="D127" s="27" t="n">
        <v>42016</v>
      </c>
      <c r="E127" s="27" t="n">
        <v>21008</v>
      </c>
      <c r="F127" s="18">
        <f>IF(COUNTIF(Recetas!$A$6:$A$205,A127)&gt;0,"Sí","falta")</f>
        <v/>
      </c>
    </row>
    <row r="128">
      <c r="A128" s="19" t="inlineStr">
        <is>
          <t>Camiseta Voley masc Playmaker, V m/cero</t>
        </is>
      </c>
      <c r="B128" s="19" t="inlineStr">
        <is>
          <t>JUEGO/COMPETENCIA</t>
        </is>
      </c>
      <c r="C128" s="26" t="n">
        <v>3</v>
      </c>
      <c r="D128" s="27" t="n">
        <v>48664</v>
      </c>
      <c r="E128" s="27" t="n">
        <v>16723</v>
      </c>
      <c r="F128" s="18">
        <f>IF(COUNTIF(Recetas!$A$6:$A$205,A128)&gt;0,"Sí","falta")</f>
        <v/>
      </c>
    </row>
    <row r="129">
      <c r="A129" s="19" t="inlineStr">
        <is>
          <t>CUELLO POLAR</t>
        </is>
      </c>
      <c r="B129" s="19" t="inlineStr">
        <is>
          <t>SALIDA/PRESENTACIÓN</t>
        </is>
      </c>
      <c r="C129" s="26" t="n">
        <v>2</v>
      </c>
      <c r="D129" s="27" t="n">
        <v>28572</v>
      </c>
      <c r="E129" s="27" t="n">
        <v>14286</v>
      </c>
      <c r="F129" s="18">
        <f>IF(COUNTIF(Recetas!$A$6:$A$205,A129)&gt;0,"Sí","falta")</f>
        <v/>
      </c>
    </row>
    <row r="130">
      <c r="A130" s="19" t="inlineStr">
        <is>
          <t>Polerón Entrenamiento liso con mangas Sublim</t>
        </is>
      </c>
      <c r="B130" s="19" t="inlineStr">
        <is>
          <t>SALIDA/PRESENTACIÓN</t>
        </is>
      </c>
      <c r="C130" s="26" t="n">
        <v>2</v>
      </c>
      <c r="D130" s="27" t="n">
        <v>55294</v>
      </c>
      <c r="E130" s="27" t="n">
        <v>27647</v>
      </c>
      <c r="F130" s="18">
        <f>IF(COUNTIF(Recetas!$A$6:$A$205,A130)&gt;0,"Sí","falta")</f>
        <v/>
      </c>
    </row>
    <row r="131">
      <c r="A131" s="19" t="inlineStr">
        <is>
          <t>2% ADICIONAL WEBPAY</t>
        </is>
      </c>
      <c r="B131" s="19" t="inlineStr">
        <is>
          <t>ADICIONAL</t>
        </is>
      </c>
      <c r="C131" s="26" t="n">
        <v>2</v>
      </c>
      <c r="D131" s="27" t="n">
        <v>33067</v>
      </c>
      <c r="E131" s="27" t="n">
        <v>16534</v>
      </c>
      <c r="F131" s="18">
        <f>IF(COUNTIF(Recetas!$A$6:$A$205,A131)&gt;0,"Sí","falta")</f>
        <v/>
      </c>
    </row>
    <row r="132">
      <c r="A132" s="19" t="inlineStr">
        <is>
          <t>KIT ORO BASKET REVERSIBLE</t>
        </is>
      </c>
      <c r="B132" s="19" t="inlineStr">
        <is>
          <t>KIT/DÚO</t>
        </is>
      </c>
      <c r="C132" s="26" t="n">
        <v>2</v>
      </c>
      <c r="D132" s="27" t="n">
        <v>0</v>
      </c>
      <c r="E132" s="27" t="n">
        <v>45294</v>
      </c>
      <c r="F132" s="18">
        <f>IF(COUNTIF(Recetas!$A$6:$A$205,A132)&gt;0,"Sí","falta")</f>
        <v/>
      </c>
    </row>
    <row r="133">
      <c r="A133" s="19" t="inlineStr">
        <is>
          <t>Dúo Pack Diamante Básket</t>
        </is>
      </c>
      <c r="B133" s="19" t="inlineStr">
        <is>
          <t>KIT/DÚO</t>
        </is>
      </c>
      <c r="C133" s="26" t="n">
        <v>2</v>
      </c>
      <c r="D133" s="27" t="n">
        <v>0</v>
      </c>
      <c r="E133" s="27" t="n">
        <v>26387</v>
      </c>
      <c r="F133" s="18">
        <f>IF(COUNTIF(Recetas!$A$6:$A$205,A133)&gt;0,"Sí","falta")</f>
        <v/>
      </c>
    </row>
    <row r="134">
      <c r="A134" s="19" t="inlineStr">
        <is>
          <t>MEDIAS PRO RUGBY</t>
        </is>
      </c>
      <c r="B134" s="19" t="inlineStr">
        <is>
          <t>EXTERNO/REVENTA</t>
        </is>
      </c>
      <c r="C134" s="26" t="n">
        <v>2</v>
      </c>
      <c r="D134" s="27" t="n">
        <v>22186</v>
      </c>
      <c r="E134" s="27" t="n">
        <v>11093</v>
      </c>
      <c r="F134" s="18">
        <f>IF(COUNTIF(Recetas!$A$6:$A$205,A134)&gt;0,"Sí","falta")</f>
        <v/>
      </c>
    </row>
    <row r="135">
      <c r="A135" s="19" t="inlineStr">
        <is>
          <t>GUANTES ARQUERO</t>
        </is>
      </c>
      <c r="B135" s="19" t="inlineStr">
        <is>
          <t>JUEGO/COMPETENCIA</t>
        </is>
      </c>
      <c r="C135" s="26" t="n">
        <v>2</v>
      </c>
      <c r="D135" s="27" t="n">
        <v>0</v>
      </c>
      <c r="E135" s="27" t="n"/>
      <c r="F135" s="18">
        <f>IF(COUNTIF(Recetas!$A$6:$A$205,A135)&gt;0,"Sí","falta")</f>
        <v/>
      </c>
    </row>
    <row r="136">
      <c r="A136" s="19" t="inlineStr">
        <is>
          <t>Exrta Manga Larga</t>
        </is>
      </c>
      <c r="B136" s="19" t="inlineStr">
        <is>
          <t>JUEGO/COMPETENCIA</t>
        </is>
      </c>
      <c r="C136" s="26" t="n">
        <v>2</v>
      </c>
      <c r="D136" s="27" t="n">
        <v>3362</v>
      </c>
      <c r="E136" s="27" t="n">
        <v>1681</v>
      </c>
      <c r="F136" s="18">
        <f>IF(COUNTIF(Recetas!$A$6:$A$205,A136)&gt;0,"Sí","falta")</f>
        <v/>
      </c>
    </row>
    <row r="137">
      <c r="A137" s="19" t="inlineStr">
        <is>
          <t>Lienzo 1.5x2mts Regalo</t>
        </is>
      </c>
      <c r="B137" s="19" t="inlineStr">
        <is>
          <t>JUEGO/COMPETENCIA</t>
        </is>
      </c>
      <c r="C137" s="26" t="n">
        <v>1</v>
      </c>
      <c r="D137" s="27" t="n">
        <v>0</v>
      </c>
      <c r="E137" s="27" t="n"/>
      <c r="F137" s="18">
        <f>IF(COUNTIF(Recetas!$A$6:$A$205,A137)&gt;0,"Sí","falta")</f>
        <v/>
      </c>
    </row>
    <row r="138">
      <c r="A138" s="19" t="inlineStr">
        <is>
          <t>Camiseta Voley masc Pro Playmaker, V m/c</t>
        </is>
      </c>
      <c r="B138" s="19" t="inlineStr">
        <is>
          <t>JUEGO/COMPETENCIA</t>
        </is>
      </c>
      <c r="C138" s="26" t="n">
        <v>1</v>
      </c>
      <c r="D138" s="27" t="n">
        <v>19244</v>
      </c>
      <c r="E138" s="27" t="n">
        <v>19244</v>
      </c>
      <c r="F138" s="18">
        <f>IF(COUNTIF(Recetas!$A$6:$A$205,A138)&gt;0,"Sí","falta")</f>
        <v/>
      </c>
    </row>
    <row r="139">
      <c r="A139" s="19" t="inlineStr">
        <is>
          <t>Camiseta Rugby Playmaker, Polo</t>
        </is>
      </c>
      <c r="B139" s="19" t="inlineStr">
        <is>
          <t>JUEGO/COMPETENCIA</t>
        </is>
      </c>
      <c r="C139" s="26" t="n">
        <v>1</v>
      </c>
      <c r="D139" s="27" t="n">
        <v>20084</v>
      </c>
      <c r="E139" s="27" t="n">
        <v>20084</v>
      </c>
      <c r="F139" s="18">
        <f>IF(COUNTIF(Recetas!$A$6:$A$205,A139)&gt;0,"Sí","falta")</f>
        <v/>
      </c>
    </row>
    <row r="140">
      <c r="A140" s="19" t="inlineStr">
        <is>
          <t>Lienzo 1.5x2</t>
        </is>
      </c>
      <c r="B140" s="19" t="inlineStr">
        <is>
          <t>JUEGO/COMPETENCIA</t>
        </is>
      </c>
      <c r="C140" s="26" t="n">
        <v>1</v>
      </c>
      <c r="D140" s="27" t="n">
        <v>21765</v>
      </c>
      <c r="E140" s="27" t="n">
        <v>21765</v>
      </c>
      <c r="F140" s="18">
        <f>IF(COUNTIF(Recetas!$A$6:$A$205,A140)&gt;0,"Sí","falta")</f>
        <v/>
      </c>
    </row>
    <row r="141">
      <c r="A141" s="19" t="inlineStr">
        <is>
          <t>Jineta de Capitán Subl</t>
        </is>
      </c>
      <c r="B141" s="19" t="inlineStr">
        <is>
          <t>JUEGO/COMPETENCIA</t>
        </is>
      </c>
      <c r="C141" s="26" t="n">
        <v>1</v>
      </c>
      <c r="D141" s="27" t="n">
        <v>11681</v>
      </c>
      <c r="E141" s="27" t="n">
        <v>11681</v>
      </c>
      <c r="F141" s="18">
        <f>IF(COUNTIF(Recetas!$A$6:$A$205,A141)&gt;0,"Sí","falta")</f>
        <v/>
      </c>
    </row>
    <row r="142">
      <c r="A142" s="19" t="inlineStr">
        <is>
          <t>POLERÓN ALGODÓN CON CAPUCHA PMK</t>
        </is>
      </c>
      <c r="B142" s="19" t="inlineStr">
        <is>
          <t>SALIDA/PRESENTACIÓN</t>
        </is>
      </c>
      <c r="C142" s="26" t="n">
        <v>1</v>
      </c>
      <c r="D142" s="27" t="n">
        <v>21765</v>
      </c>
      <c r="E142" s="27" t="n">
        <v>21765</v>
      </c>
      <c r="F142" s="18">
        <f>IF(COUNTIF(Recetas!$A$6:$A$205,A142)&gt;0,"Sí","falta")</f>
        <v/>
      </c>
    </row>
  </sheetData>
  <autoFilter ref="A4:F142"/>
  <conditionalFormatting sqref="F5:F142">
    <cfRule type="expression" priority="1" dxfId="4">
      <formula>$F5="falta"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2026-10-05T21:42:01Z</dcterms:created>
  <dcterms:modified xsi:type="dcterms:W3CDTF">2026-10-05T21:42:01Z</dcterms:modified>
</cp:coreProperties>
</file>