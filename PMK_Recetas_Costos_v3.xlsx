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omo_usar" sheetId="1" state="visible" r:id="rId3"/>
    <sheet name="Productos" sheetId="2" state="visible" r:id="rId4"/>
    <sheet name="Recetas" sheetId="3" state="visible" r:id="rId5"/>
    <sheet name="Parametros" sheetId="4" state="visible" r:id="rId6"/>
    <sheet name="Gastos_Ventas" sheetId="5" state="visible" r:id="rId7"/>
    <sheet name="Precios" sheetId="6" state="visible" r:id="rId8"/>
    <sheet name="Confeccion" sheetId="7" state="visible" r:id="rId9"/>
    <sheet name="Catalogo" sheetId="8" state="visible" r:id="rId10"/>
  </sheets>
  <definedNames>
    <definedName function="false" hidden="true" localSheetId="1" name="_xlnm._FilterDatabase" vbProcedure="false">Productos!$A$5:$R$110</definedName>
    <definedName function="false" hidden="true" localSheetId="2" name="_xlnm._FilterDatabase" vbProcedure="false">Recetas!$A$4:$T$84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<sst xmlns="http://schemas.openxmlformats.org/spreadsheetml/2006/main" count="1751" uniqueCount="657">
  <si>
    <t xml:space="preserve">RECETAS DE COSTO — PLAYMAKER (v3, por molde del catálogo)</t>
  </si>
  <si>
    <t xml:space="preserve">Armado desde el Sistema de Costeo v2 y el catálogo de moldes vigente. Todo dato dice "Por confirmar" hasta que lo valides.</t>
  </si>
  <si>
    <t xml:space="preserve">CÓMO ESTÁ ORDENADO</t>
  </si>
  <si>
    <t xml:space="preserve">RECETAS: una por cada MOLDE del catálogo (los 54 de Fútbol y Básquetbol, los mismos de Fichas y Planificación). Es el costo de producir UNA prenda con ese molde.</t>
  </si>
  <si>
    <t xml:space="preserve">PRODUCTOS: lo que vendes. Cada producto elige la receta de su molde (columna E) y suma extras (cuello piqué, manga larga). Ahí ves ganancia, precio mínimo y semáforo.</t>
  </si>
  <si>
    <t xml:space="preserve">Así, si cambia una tela o un consumo, se actualizan solos todos los productos que usan ese molde.</t>
  </si>
  <si>
    <t xml:space="preserve">COLORES</t>
  </si>
  <si>
    <t xml:space="preserve">AZUL = lo escribes tú.   GRIS = se calcula solo.   Semáforo: PIERDE (rojo) · BAJO META (amarillo) · OK (verde) · gris = faltan datos.</t>
  </si>
  <si>
    <t xml:space="preserve">PASOS PARA COMPLETAR</t>
  </si>
  <si>
    <t xml:space="preserve">1) En Recetas, completa el molde: tela (lista), kg por prenda (kg de la ficha de corte ÷ prendas cortadas), tela 2 si lleva malla, metros impresos y confección.</t>
  </si>
  <si>
    <t xml:space="preserve">2) En Productos, revisa que cada producto tenga elegida la receta de su molde. Los marcados "sugerido" hay que confirmarlos.</t>
  </si>
  <si>
    <t xml:space="preserve">3) Las prendas que aún no tienen molde (short de fútbol, short de rugby, running, calza) están al final de Recetas como "SM-…". Agrega más en las filas libres.</t>
  </si>
  <si>
    <t xml:space="preserve">CADA TRIMESTRE (próximo: diciembre 2026)</t>
  </si>
  <si>
    <t xml:space="preserve">En Gastos_Ventas escribe los gastos y ventas de los 3 meses más recientes. El recargo y todos los productos se actualizan solos.</t>
  </si>
  <si>
    <t xml:space="preserve">PENDIENTES QUE AFECTAN LOS RESULTADOS</t>
  </si>
  <si>
    <t xml:space="preserve">• Faltan fichas de corte de casi todos los moldes: cada ficha nueva completa la receta de su molde para todos los productos que lo usan.</t>
  </si>
  <si>
    <t xml:space="preserve">• El short de fútbol no tiene molde en el catálogo: cuando se agregue, cambia su receta "SM-01" por el molde nuevo.</t>
  </si>
  <si>
    <t xml:space="preserve">• Gastos: el archivo original trae un solo mes; se repitió en los 3 meses. Reemplazar con el gasto real.</t>
  </si>
  <si>
    <t xml:space="preserve">PRODUCTOS — ganancia y precio mínimo de lo que vendes</t>
  </si>
  <si>
    <t xml:space="preserve">Cada producto usa la receta de su molde (hoja Recetas). Elige la receta en la columna E y suma los extras (cuello piqué, manga larga…). Fuente de productos y precios: 2_Catálogo (jun–sep 2026).</t>
  </si>
  <si>
    <t xml:space="preserve">PRODUCTO</t>
  </si>
  <si>
    <t xml:space="preserve">LO LLENAS TÚ</t>
  </si>
  <si>
    <t xml:space="preserve">RESULTADO AL PRECIO ACTUAL</t>
  </si>
  <si>
    <t xml:space="preserve">Código</t>
  </si>
  <si>
    <t xml:space="preserve">Producto</t>
  </si>
  <si>
    <t xml:space="preserve">Tipo</t>
  </si>
  <si>
    <t xml:space="preserve">Unid. vendidas
jun–sep</t>
  </si>
  <si>
    <t xml:space="preserve">Receta (molde)</t>
  </si>
  <si>
    <t xml:space="preserve">Extras
($ por prenda)</t>
  </si>
  <si>
    <t xml:space="preserve">Precio venta
neto ($)</t>
  </si>
  <si>
    <t xml:space="preserve">Estado</t>
  </si>
  <si>
    <t xml:space="preserve">Notas</t>
  </si>
  <si>
    <t xml:space="preserve">COSTO DE
PRODUCCIÓN</t>
  </si>
  <si>
    <t xml:space="preserve">Gastos de
fábrica</t>
  </si>
  <si>
    <t xml:space="preserve">Gastos
comerciales</t>
  </si>
  <si>
    <t xml:space="preserve">GANANCIA
($)</t>
  </si>
  <si>
    <t xml:space="preserve">GANANCIA
(%)</t>
  </si>
  <si>
    <t xml:space="preserve">Precio mínimo
(sin perder)</t>
  </si>
  <si>
    <t xml:space="preserve">Precio mínimo
(con meta)</t>
  </si>
  <si>
    <t xml:space="preserve">Semáforo</t>
  </si>
  <si>
    <t xml:space="preserve">Qué falta</t>
  </si>
  <si>
    <t xml:space="preserve">FUTCSUBMC</t>
  </si>
  <si>
    <t xml:space="preserve">Camiseta Fútbol Playmaker, m/c</t>
  </si>
  <si>
    <t xml:space="preserve">Juego</t>
  </si>
  <si>
    <t xml:space="preserve">02 · FUTHOMU01</t>
  </si>
  <si>
    <t xml:space="preserve">Por confirmar</t>
  </si>
  <si>
    <t xml:space="preserve">Molde sugerido: fútbol masculino cuello redondo. Confirmar.</t>
  </si>
  <si>
    <t xml:space="preserve">FUTCSUBREDMC</t>
  </si>
  <si>
    <t xml:space="preserve">Camiseta Fútbol Playmaker Cuello Redondo m/c</t>
  </si>
  <si>
    <t xml:space="preserve">Molde sugerido. Confirmar.</t>
  </si>
  <si>
    <t xml:space="preserve">FUTCSUBPROREDMC</t>
  </si>
  <si>
    <t xml:space="preserve">Camiseta Fútbol Pro Playmaker Cuello Redondo m/c</t>
  </si>
  <si>
    <t xml:space="preserve">14 · FUTHOMU01PRO</t>
  </si>
  <si>
    <t xml:space="preserve">Molde Pro cuello redondo.</t>
  </si>
  <si>
    <t xml:space="preserve">VOLMASC-CSUB-V-MC</t>
  </si>
  <si>
    <t xml:space="preserve">Camiseta Voley fem Playmaker, V m/c</t>
  </si>
  <si>
    <t xml:space="preserve">Sin receta: elige el molde que usa, o crea la receta en "Recetas" si aún no tiene molde.</t>
  </si>
  <si>
    <t xml:space="preserve">FUTCSUBPROMC</t>
  </si>
  <si>
    <t xml:space="preserve">Camiseta Fútbol Pro Playmaker, m/c</t>
  </si>
  <si>
    <t xml:space="preserve">Molde Pro sugerido. Confirmar.</t>
  </si>
  <si>
    <t xml:space="preserve">FUTCSUBMC-V</t>
  </si>
  <si>
    <t xml:space="preserve">Camiseta Fútbol Playmaker, V m/c</t>
  </si>
  <si>
    <t xml:space="preserve">06 · FUTHOMV01</t>
  </si>
  <si>
    <t xml:space="preserve">Molde sugerido: cuello V. Confirmar.</t>
  </si>
  <si>
    <t xml:space="preserve">SALPOLPRESLISA</t>
  </si>
  <si>
    <t xml:space="preserve">Polera de Presentación Lisa</t>
  </si>
  <si>
    <t xml:space="preserve">Salida</t>
  </si>
  <si>
    <t xml:space="preserve">CSUBRUGSFROSA</t>
  </si>
  <si>
    <t xml:space="preserve">CAMISETA DE RUGBY STADE FRANCAIS ANIVERSARIO (ROSADA)</t>
  </si>
  <si>
    <t xml:space="preserve">SAL-PLA-SUB-MC</t>
  </si>
  <si>
    <t xml:space="preserve">Polera de presentación Sublim m/c</t>
  </si>
  <si>
    <t xml:space="preserve">POL-CSUB-POL-MC</t>
  </si>
  <si>
    <t xml:space="preserve">Polera Playmaker, Cuello Redondo m/c</t>
  </si>
  <si>
    <t xml:space="preserve">RUGCSUBPRO</t>
  </si>
  <si>
    <t xml:space="preserve">Camiseta Rugby Pro Pmk</t>
  </si>
  <si>
    <t xml:space="preserve">MDBZCOMENTPITSUB</t>
  </si>
  <si>
    <t xml:space="preserve">Conjunto Polerón de Entrenamiento + Buzo Pitillo Subl</t>
  </si>
  <si>
    <t xml:space="preserve">FUTCSUBPROPIQMC</t>
  </si>
  <si>
    <t xml:space="preserve">Camiseta Fútbol Pro Playmaker, Piqué m/c</t>
  </si>
  <si>
    <t xml:space="preserve">RUNCSUBPROSM</t>
  </si>
  <si>
    <t xml:space="preserve">Camiseta Running Pro s/m</t>
  </si>
  <si>
    <t xml:space="preserve">SM-03 · Camiseta Running s/m</t>
  </si>
  <si>
    <t xml:space="preserve">SAL-CTV-SUB-SG</t>
  </si>
  <si>
    <t xml:space="preserve">CORTAVIENTO SUBLIMADO</t>
  </si>
  <si>
    <t xml:space="preserve">RUG-SHO-BAS</t>
  </si>
  <si>
    <t xml:space="preserve">Short Rugby Basic</t>
  </si>
  <si>
    <t xml:space="preserve">SM-02 · Short Rugby</t>
  </si>
  <si>
    <t xml:space="preserve">SALPTPESUB</t>
  </si>
  <si>
    <t xml:space="preserve">Conjunto Polerón de Entrenamiento + Pitillo</t>
  </si>
  <si>
    <t xml:space="preserve">FUTSHOLIS</t>
  </si>
  <si>
    <t xml:space="preserve">Short Fútbol Playmaker Liso</t>
  </si>
  <si>
    <t xml:space="preserve">SM-01 · Short Fútbol</t>
  </si>
  <si>
    <t xml:space="preserve">El short de fútbol aún no tiene molde en el catálogo.</t>
  </si>
  <si>
    <t xml:space="preserve">VOLFEMCSUBPROV</t>
  </si>
  <si>
    <t xml:space="preserve">Camiseta Voley fem Pro Playmaker, V</t>
  </si>
  <si>
    <t xml:space="preserve">MDPTSUB</t>
  </si>
  <si>
    <t xml:space="preserve">PETO ENTRENAMIENTO SUB</t>
  </si>
  <si>
    <t xml:space="preserve">MDCSUBOVA</t>
  </si>
  <si>
    <t xml:space="preserve">Polera Playmaker, Cuello Oval s/mangas</t>
  </si>
  <si>
    <t xml:space="preserve">SALHOOLIS</t>
  </si>
  <si>
    <t xml:space="preserve">Polerón Hoodie Playmaker liso</t>
  </si>
  <si>
    <t xml:space="preserve">CSUBRUGSFBLANCA</t>
  </si>
  <si>
    <t xml:space="preserve">CAMISETA DE RUGBY STADE FRANCAIS ANIVERSARIO (BLANCA)</t>
  </si>
  <si>
    <t xml:space="preserve">SAL-POL-3C</t>
  </si>
  <si>
    <t xml:space="preserve">Polerón 3C Playmaker Algodón Cierre</t>
  </si>
  <si>
    <t xml:space="preserve">VOLMASC-CSUB-POL-CER</t>
  </si>
  <si>
    <t xml:space="preserve">Camiseta Voley masc Playmaker, Polo m/cero</t>
  </si>
  <si>
    <t xml:space="preserve">SALPRKLIS</t>
  </si>
  <si>
    <t xml:space="preserve">Parka Lisa Playmaker</t>
  </si>
  <si>
    <t xml:space="preserve">RUG-SHO-PRO</t>
  </si>
  <si>
    <t xml:space="preserve">Short Rugby Pro</t>
  </si>
  <si>
    <t xml:space="preserve">Pro puede gastar distinto: confirmar.</t>
  </si>
  <si>
    <t xml:space="preserve">SAL-POL-SUB</t>
  </si>
  <si>
    <t xml:space="preserve">Polerón Entrenamiento Sublim</t>
  </si>
  <si>
    <t xml:space="preserve">RUGCSUBPER</t>
  </si>
  <si>
    <t xml:space="preserve">Camiseta Rugby Performance Pmk</t>
  </si>
  <si>
    <t xml:space="preserve">FUTCSUBML</t>
  </si>
  <si>
    <t xml:space="preserve">Camiseta Fútbol Playmaker, m/l</t>
  </si>
  <si>
    <t xml:space="preserve">Manga larga: suma su costo extra en "Extras".</t>
  </si>
  <si>
    <t xml:space="preserve">SALALMLLISA</t>
  </si>
  <si>
    <t xml:space="preserve">Camiseta Algodón Manga Larga Lisa</t>
  </si>
  <si>
    <t xml:space="preserve">RUG-CSUB-PIQ</t>
  </si>
  <si>
    <t xml:space="preserve">Camiseta Rugby Playmaker, Vintage</t>
  </si>
  <si>
    <t xml:space="preserve">VOL-CSUB-SAL-MC</t>
  </si>
  <si>
    <t xml:space="preserve">Camiseta Salida de Cancha Voley m/c</t>
  </si>
  <si>
    <t xml:space="preserve">CSUBVOLFEMVSM</t>
  </si>
  <si>
    <t xml:space="preserve">CAMISETA VOLEY FEM V  S/M PLAYMAKER</t>
  </si>
  <si>
    <t xml:space="preserve">RUG-CSUB-LIC</t>
  </si>
  <si>
    <t xml:space="preserve">Camiseta Rugby Playmaker, Low Profile</t>
  </si>
  <si>
    <t xml:space="preserve">RUNCSUBPROMC</t>
  </si>
  <si>
    <t xml:space="preserve">Camiseta Running Pro m/c</t>
  </si>
  <si>
    <t xml:space="preserve">SAL-SHO-SUB</t>
  </si>
  <si>
    <t xml:space="preserve">SHORT SALIDA SUB</t>
  </si>
  <si>
    <t xml:space="preserve">FUTCSUBPIQMC</t>
  </si>
  <si>
    <t xml:space="preserve">Camiseta Fútbol Playmaker, Piqué m/c</t>
  </si>
  <si>
    <t xml:space="preserve">10 · FUTHOMCC01</t>
  </si>
  <si>
    <t xml:space="preserve">¿Piqué = cuello camisero? Confirmar.</t>
  </si>
  <si>
    <t xml:space="preserve">FUTCSUBPROMC-V</t>
  </si>
  <si>
    <t xml:space="preserve">Camiseta Fútbol Pro Playmaker, V m/c</t>
  </si>
  <si>
    <t xml:space="preserve">16 · FUTHOMV01PRO</t>
  </si>
  <si>
    <t xml:space="preserve">Molde Pro cuello V.</t>
  </si>
  <si>
    <t xml:space="preserve">BASCSUBPER</t>
  </si>
  <si>
    <t xml:space="preserve">Camiseta Básquetbol Performance</t>
  </si>
  <si>
    <t xml:space="preserve">30 · BKHOMU03</t>
  </si>
  <si>
    <t xml:space="preserve">Molde sugerido: básquet masculino cuello redondo. Confirmar.</t>
  </si>
  <si>
    <t xml:space="preserve">VOL-SHO-SUB</t>
  </si>
  <si>
    <t xml:space="preserve">Short Fútbol Playmaker Sublimado</t>
  </si>
  <si>
    <t xml:space="preserve">Short sublimado: completar metros impresos en su receta.</t>
  </si>
  <si>
    <t xml:space="preserve">VOLFEM-CSUBPRO-POL</t>
  </si>
  <si>
    <t xml:space="preserve">Camiseta Voley fem Pro Playmaker, Polo</t>
  </si>
  <si>
    <t xml:space="preserve">CSUBRUGSFBLAZUL</t>
  </si>
  <si>
    <t xml:space="preserve">CAMISETA DE RUGBY STADE FRANCAIS ANIVERSARIO (AZUL)</t>
  </si>
  <si>
    <t xml:space="preserve">MDPTLIS</t>
  </si>
  <si>
    <t xml:space="preserve">PETO ENTRENAMIENTO LISO</t>
  </si>
  <si>
    <t xml:space="preserve">RUNCSUBPERSM</t>
  </si>
  <si>
    <t xml:space="preserve">Camiseta Running Performance s/m</t>
  </si>
  <si>
    <t xml:space="preserve">SAL-BUZ-LIS-RT</t>
  </si>
  <si>
    <t xml:space="preserve">Pantalón Buzo Playmaker Liso Recto</t>
  </si>
  <si>
    <t xml:space="preserve">SAL-BUZ-LIS</t>
  </si>
  <si>
    <t xml:space="preserve">Pantalón Buzo Playmaker Liso Pitillo</t>
  </si>
  <si>
    <t xml:space="preserve">RUNCSUBPERMC</t>
  </si>
  <si>
    <t xml:space="preserve">Camiseta Running Performance m/c</t>
  </si>
  <si>
    <t xml:space="preserve">HCKCSUBOVA</t>
  </si>
  <si>
    <t xml:space="preserve">Camiseta Hockey Playmaker, Cuello Ova s/mangas</t>
  </si>
  <si>
    <t xml:space="preserve">HCK-FAL-LIS</t>
  </si>
  <si>
    <t xml:space="preserve">Falda Short Hockey Playmaker lisa</t>
  </si>
  <si>
    <t xml:space="preserve">MDCALLARPMK</t>
  </si>
  <si>
    <t xml:space="preserve">Calza larga fem Playmaker</t>
  </si>
  <si>
    <t xml:space="preserve">SAL-HOO-APSUB</t>
  </si>
  <si>
    <t xml:space="preserve">Polerón Hoodie Aplicación Sublim</t>
  </si>
  <si>
    <t xml:space="preserve">SAL-POL-BAS</t>
  </si>
  <si>
    <t xml:space="preserve">POLERON BASIC</t>
  </si>
  <si>
    <t xml:space="preserve">CSUBVMC</t>
  </si>
  <si>
    <t xml:space="preserve">Polera Playmaker, Subl V m/c</t>
  </si>
  <si>
    <t xml:space="preserve">BAS-CSUB-SAL-ML</t>
  </si>
  <si>
    <t xml:space="preserve">Camiseta Salida de Cancha Básquetbol m/l</t>
  </si>
  <si>
    <t xml:space="preserve">VOLMASC-CSUB-POL-MC</t>
  </si>
  <si>
    <t xml:space="preserve">Camiseta Voley masc Playmaker, Polo m/c</t>
  </si>
  <si>
    <t xml:space="preserve">ENTPOLMANSUBL</t>
  </si>
  <si>
    <t xml:space="preserve">Polerón de Entrenamiento Mangas Sublimadas</t>
  </si>
  <si>
    <t xml:space="preserve">POL-CSUB-POL-ML</t>
  </si>
  <si>
    <t xml:space="preserve">Polera Playmaker, Cuello Redondo m/l</t>
  </si>
  <si>
    <t xml:space="preserve">RUGCSUSILV</t>
  </si>
  <si>
    <t xml:space="preserve">Camiseta Rugby Silver Pmk</t>
  </si>
  <si>
    <t xml:space="preserve">SALPLASUB</t>
  </si>
  <si>
    <t xml:space="preserve">Polera de Presentación Sublim m/l</t>
  </si>
  <si>
    <t xml:space="preserve">VOLFEMCSUBPOL</t>
  </si>
  <si>
    <t xml:space="preserve">Camiseta Voley fem Playmaker, Polo</t>
  </si>
  <si>
    <t xml:space="preserve">POLENTSUB</t>
  </si>
  <si>
    <t xml:space="preserve">POLERON  DE ENTRENAMIENTO SUBLIMADO MEDIO CIERRE</t>
  </si>
  <si>
    <t xml:space="preserve">POL-CSUB-V-MC</t>
  </si>
  <si>
    <t xml:space="preserve">Polera Playmaker, V m/c</t>
  </si>
  <si>
    <t xml:space="preserve">RUGCSUBENTMC</t>
  </si>
  <si>
    <t xml:space="preserve">Camiseta de entrenamiento Rugby,m/c</t>
  </si>
  <si>
    <t xml:space="preserve">MDCALCORPMK</t>
  </si>
  <si>
    <t xml:space="preserve">Calza corta fem Playmaker</t>
  </si>
  <si>
    <t xml:space="preserve">SM-04 · Calza Vóley</t>
  </si>
  <si>
    <t xml:space="preserve">SAL-SHO-LIS</t>
  </si>
  <si>
    <t xml:space="preserve">Short Salida con bolsillos</t>
  </si>
  <si>
    <t xml:space="preserve">ENT-POL-MANSUBL</t>
  </si>
  <si>
    <t xml:space="preserve">POLERON DE ENTRENAMIENTO  MANGAS SUBLIMADAS MASC</t>
  </si>
  <si>
    <t xml:space="preserve">VOLMASC-CSUB-V-CER</t>
  </si>
  <si>
    <t xml:space="preserve">Camiseta Voley masc Playmaker, V m/cero</t>
  </si>
  <si>
    <t xml:space="preserve">SAL-POL-MGSUB</t>
  </si>
  <si>
    <t xml:space="preserve">Polerón Entrenamiento liso con mangas Sublim</t>
  </si>
  <si>
    <t xml:space="preserve">VOLMASC-CSUBPRO-V-MC</t>
  </si>
  <si>
    <t xml:space="preserve">Camiseta Voley masc Pro Playmaker, V m/c</t>
  </si>
  <si>
    <t xml:space="preserve">RUG-CSUB-POL</t>
  </si>
  <si>
    <t xml:space="preserve">Camiseta Rugby Playmaker, Polo</t>
  </si>
  <si>
    <t xml:space="preserve">LZO-2</t>
  </si>
  <si>
    <t xml:space="preserve">Lienzo 1.5x2</t>
  </si>
  <si>
    <t xml:space="preserve">FUTJINSUB</t>
  </si>
  <si>
    <t xml:space="preserve">Jineta de Capitán Subl</t>
  </si>
  <si>
    <t xml:space="preserve">SAL-POL-ALG-LIS</t>
  </si>
  <si>
    <t xml:space="preserve">POLERÓN ALGODÓN CON CAPUCHA PMK</t>
  </si>
  <si>
    <t xml:space="preserve">RECETAS POR MOLDE — costo de producción de una prenda</t>
  </si>
  <si>
    <t xml:space="preserve">Una fila = un molde del catálogo (los mismos del panel de Fichas y de Planificación). Llena las columnas azules. Abajo: prendas que aún no tienen molde.</t>
  </si>
  <si>
    <t xml:space="preserve">Descripción</t>
  </si>
  <si>
    <t xml:space="preserve">Deporte</t>
  </si>
  <si>
    <t xml:space="preserve">Prenda</t>
  </si>
  <si>
    <t xml:space="preserve">Calce</t>
  </si>
  <si>
    <t xml:space="preserve">Tela principal</t>
  </si>
  <si>
    <t xml:space="preserve">Kg tela
por prenda</t>
  </si>
  <si>
    <t xml:space="preserve">Tela 2
(malla, etc.)</t>
  </si>
  <si>
    <t xml:space="preserve">Kg tela 2
por prenda</t>
  </si>
  <si>
    <t xml:space="preserve">Metros impresos
por prenda</t>
  </si>
  <si>
    <t xml:space="preserve">Confección (tipo)</t>
  </si>
  <si>
    <t xml:space="preserve">Avíos
($ por prenda)</t>
  </si>
  <si>
    <t xml:space="preserve">Estado del dato</t>
  </si>
  <si>
    <t xml:space="preserve">$ Telas</t>
  </si>
  <si>
    <t xml:space="preserve">$ Papel y tinta</t>
  </si>
  <si>
    <t xml:space="preserve">$ Confección</t>
  </si>
  <si>
    <t xml:space="preserve">$ Avíos</t>
  </si>
  <si>
    <t xml:space="preserve">01 · FUTMUJU01</t>
  </si>
  <si>
    <t xml:space="preserve">Fútbol, cuello redondo</t>
  </si>
  <si>
    <t xml:space="preserve">Fútbol</t>
  </si>
  <si>
    <t xml:space="preserve">Camiseta</t>
  </si>
  <si>
    <t xml:space="preserve">Femenino</t>
  </si>
  <si>
    <t xml:space="preserve">Camiseta De Futbol</t>
  </si>
  <si>
    <t xml:space="preserve">Confección sugerida por el tipo de molde: confirmar.</t>
  </si>
  <si>
    <t xml:space="preserve">Masculino</t>
  </si>
  <si>
    <t xml:space="preserve">03 · FUTINMUJU01</t>
  </si>
  <si>
    <t xml:space="preserve">Fútbol infantil, cuello redondo</t>
  </si>
  <si>
    <t xml:space="preserve">Infantil Femenino</t>
  </si>
  <si>
    <t xml:space="preserve">04 · FUTINHOMU01</t>
  </si>
  <si>
    <t xml:space="preserve">Infantil Masculino</t>
  </si>
  <si>
    <t xml:space="preserve">CIRE BLANCO</t>
  </si>
  <si>
    <t xml:space="preserve">MESH</t>
  </si>
  <si>
    <t xml:space="preserve">Ficha OT 2369 (48 camisetas infantiles). Falta metros impresos.</t>
  </si>
  <si>
    <t xml:space="preserve">05 · FUTMUJV01</t>
  </si>
  <si>
    <t xml:space="preserve">Fútbol, cuello v</t>
  </si>
  <si>
    <t xml:space="preserve">07 · FUTINMUJV01</t>
  </si>
  <si>
    <t xml:space="preserve">Fútbol infantil, cuello v</t>
  </si>
  <si>
    <t xml:space="preserve">08 · FUTINHOMV01</t>
  </si>
  <si>
    <t xml:space="preserve">09 · FUTMUJCC01</t>
  </si>
  <si>
    <t xml:space="preserve">Fútbol, cuello camisero</t>
  </si>
  <si>
    <t xml:space="preserve">11 · FUTINMUJCC01</t>
  </si>
  <si>
    <t xml:space="preserve">Fútbol infantil, cuello camisero</t>
  </si>
  <si>
    <t xml:space="preserve">12 · FUTINHOMCC01</t>
  </si>
  <si>
    <t xml:space="preserve">13 · FUTMUJU01PRO</t>
  </si>
  <si>
    <t xml:space="preserve">Fútbol, pro, cuello redondo</t>
  </si>
  <si>
    <t xml:space="preserve">MONTESIMONE TRAINING (fut pro)</t>
  </si>
  <si>
    <t xml:space="preserve">Ficha OT 2257 (20 camisetas Pro femeninas). Falta metros impresos.</t>
  </si>
  <si>
    <t xml:space="preserve">Ficha OT 2547 (20 camisetas Pro masculinas). Metros: la ficha dice 1,9; la receta anterior 1,2 → confirmar.</t>
  </si>
  <si>
    <t xml:space="preserve">15 · FUTMUJV01PRO</t>
  </si>
  <si>
    <t xml:space="preserve">Fútbol, pro, cuello v</t>
  </si>
  <si>
    <t xml:space="preserve">17 · FUTMUJU02</t>
  </si>
  <si>
    <t xml:space="preserve">Fútbol, raglán, cuello redondo</t>
  </si>
  <si>
    <t xml:space="preserve">Camiseta Futbol Molde 2026 (Raglan)</t>
  </si>
  <si>
    <t xml:space="preserve">18 · FUTHOMU02</t>
  </si>
  <si>
    <t xml:space="preserve">19 · FUTINMUJU02</t>
  </si>
  <si>
    <t xml:space="preserve">Fútbol infantil, raglán, cuello redondo</t>
  </si>
  <si>
    <t xml:space="preserve">20 · FUTINHOMU02</t>
  </si>
  <si>
    <t xml:space="preserve">21 · FUTMUJV02</t>
  </si>
  <si>
    <t xml:space="preserve">Fútbol, raglán, cuello v</t>
  </si>
  <si>
    <t xml:space="preserve">22 · FUTHOMV02</t>
  </si>
  <si>
    <t xml:space="preserve">23 · FUTINMUJV02</t>
  </si>
  <si>
    <t xml:space="preserve">Fútbol infantil, raglán, cuello v</t>
  </si>
  <si>
    <t xml:space="preserve">24 · FUTINHOMV02</t>
  </si>
  <si>
    <t xml:space="preserve">25 · FUTMUJU02PRO</t>
  </si>
  <si>
    <t xml:space="preserve">Fútbol, raglán, pro, cuello redondo</t>
  </si>
  <si>
    <t xml:space="preserve">26 · FUTHOMU02PRO</t>
  </si>
  <si>
    <t xml:space="preserve">27 · FUTMUJV02PRO</t>
  </si>
  <si>
    <t xml:space="preserve">Fútbol, raglán, pro, cuello v</t>
  </si>
  <si>
    <t xml:space="preserve">28 · FUTHOMV02PRO</t>
  </si>
  <si>
    <t xml:space="preserve">29 · BKMUJU03</t>
  </si>
  <si>
    <t xml:space="preserve">Básquetbol, cuello redondo</t>
  </si>
  <si>
    <t xml:space="preserve">Básquetbol</t>
  </si>
  <si>
    <t xml:space="preserve">Camiseta De Basket</t>
  </si>
  <si>
    <t xml:space="preserve">QUICKDRY</t>
  </si>
  <si>
    <t xml:space="preserve">Ficha OT 2425 (17 camisetas básquet). Falta metros impresos.</t>
  </si>
  <si>
    <t xml:space="preserve">31 · BKINMUJU03</t>
  </si>
  <si>
    <t xml:space="preserve">Básquetbol infantil, cuello redondo</t>
  </si>
  <si>
    <t xml:space="preserve">32 · BKINHOMU03</t>
  </si>
  <si>
    <t xml:space="preserve">33 · BKMUJV03</t>
  </si>
  <si>
    <t xml:space="preserve">Básquetbol, cuello v</t>
  </si>
  <si>
    <t xml:space="preserve">34 · BKHOMV03</t>
  </si>
  <si>
    <t xml:space="preserve">35 · BKINMUJV03</t>
  </si>
  <si>
    <t xml:space="preserve">Básquetbol infantil, cuello v</t>
  </si>
  <si>
    <t xml:space="preserve">36 · BKINHOMV03</t>
  </si>
  <si>
    <t xml:space="preserve">37 · BKMUJU03RE</t>
  </si>
  <si>
    <t xml:space="preserve">Básquetbol, reversible, cuello redondo</t>
  </si>
  <si>
    <t xml:space="preserve">Camiseta De Basket Reversible</t>
  </si>
  <si>
    <t xml:space="preserve">38 · BKHOMU03RE</t>
  </si>
  <si>
    <t xml:space="preserve">39 · BKINMUJU03</t>
  </si>
  <si>
    <t xml:space="preserve">Básquetbol infantil, reversible, cuello redondo</t>
  </si>
  <si>
    <t xml:space="preserve">40 · BKINHOMU03RE</t>
  </si>
  <si>
    <t xml:space="preserve">41 · BKMUJU03PRO</t>
  </si>
  <si>
    <t xml:space="preserve">Básquetbol, pro, cuello redondo</t>
  </si>
  <si>
    <t xml:space="preserve">Camiseta De Basket Pro</t>
  </si>
  <si>
    <t xml:space="preserve">42 · BKHOMU03PRO</t>
  </si>
  <si>
    <t xml:space="preserve">43 · BKMUJV03PRO</t>
  </si>
  <si>
    <t xml:space="preserve">Básquetbol, pro, cuello v</t>
  </si>
  <si>
    <t xml:space="preserve">44 · BKHOMV03PRO</t>
  </si>
  <si>
    <t xml:space="preserve">45 · BKSHMUJ</t>
  </si>
  <si>
    <t xml:space="preserve">Short</t>
  </si>
  <si>
    <t xml:space="preserve">Short De Basket</t>
  </si>
  <si>
    <t xml:space="preserve">46 · BK-SH</t>
  </si>
  <si>
    <t xml:space="preserve">Ficha OT 2425 (17 shorts básquet: 2,6 kg). Falta metros impresos.</t>
  </si>
  <si>
    <t xml:space="preserve">47 · BKINSHMUJ</t>
  </si>
  <si>
    <t xml:space="preserve">Básquetbol infantil</t>
  </si>
  <si>
    <t xml:space="preserve">48 · BKINSHHOM</t>
  </si>
  <si>
    <t xml:space="preserve">49 · BKSHMUJRE</t>
  </si>
  <si>
    <t xml:space="preserve">Básquetbol, reversible</t>
  </si>
  <si>
    <t xml:space="preserve">Short De Basket Reversible</t>
  </si>
  <si>
    <t xml:space="preserve">50 · BK-SH</t>
  </si>
  <si>
    <t xml:space="preserve">51 · BKINSHMUJRE</t>
  </si>
  <si>
    <t xml:space="preserve">Básquetbol infantil, reversible</t>
  </si>
  <si>
    <t xml:space="preserve">52 · BKINSHHOMRE</t>
  </si>
  <si>
    <t xml:space="preserve">53 · BKSHMUJPRO</t>
  </si>
  <si>
    <t xml:space="preserve">Básquetbol, pro</t>
  </si>
  <si>
    <t xml:space="preserve">Short De Basket Pro</t>
  </si>
  <si>
    <t xml:space="preserve">54 · BK-SH PRO</t>
  </si>
  <si>
    <t xml:space="preserve">PRENDAS SIN MOLDE EN EL CATÁLOGO (agrega aquí las que falten)</t>
  </si>
  <si>
    <t xml:space="preserve">Short de fútbol (sin molde en catálogo)</t>
  </si>
  <si>
    <t xml:space="preserve">Short De Futbol</t>
  </si>
  <si>
    <t xml:space="preserve">Promedio OT 2547 (0,175) y OT 2588 (0,138). Liso = 0 m impresos: confirmar.</t>
  </si>
  <si>
    <t xml:space="preserve">Short de rugby (sin molde en catálogo)</t>
  </si>
  <si>
    <t xml:space="preserve">Rugby</t>
  </si>
  <si>
    <t xml:space="preserve">GABARDINA</t>
  </si>
  <si>
    <t xml:space="preserve">Short De Rugby</t>
  </si>
  <si>
    <t xml:space="preserve">Ficha OT 205 (19 shorts).</t>
  </si>
  <si>
    <t xml:space="preserve">Camiseta running sin mangas (sin molde)</t>
  </si>
  <si>
    <t xml:space="preserve">Running</t>
  </si>
  <si>
    <t xml:space="preserve">5K NACIONAL (running pro)</t>
  </si>
  <si>
    <t xml:space="preserve">Camiseta De Running</t>
  </si>
  <si>
    <t xml:space="preserve">Ficha OT 2223 (25 prendas). Metros 1,2 de la receta anterior: confirmar.</t>
  </si>
  <si>
    <t xml:space="preserve">Calza vóley (sin molde)</t>
  </si>
  <si>
    <t xml:space="preserve">Vóley</t>
  </si>
  <si>
    <t xml:space="preserve">Calza</t>
  </si>
  <si>
    <t xml:space="preserve">LYCRA</t>
  </si>
  <si>
    <t xml:space="preserve">Ficha OT 2642 (5 calzas). La Lycra no tiene precio.</t>
  </si>
  <si>
    <t xml:space="preserve">← filas libres: escribe un código (ej: SM-05 · Polerón) y completa la receta</t>
  </si>
  <si>
    <t xml:space="preserve">PARÁMETROS — recargo, meta de ganancia y costo de impresión</t>
  </si>
  <si>
    <t xml:space="preserve">Azul = lo editas tú. Gris = se calcula solo.</t>
  </si>
  <si>
    <t xml:space="preserve">1) RECARGO POR GASTOS FIJOS (promedio de los últimos 3 meses, se revisa cada trimestre)</t>
  </si>
  <si>
    <t xml:space="preserve">Gastos de fábrica — promedio mensual</t>
  </si>
  <si>
    <t xml:space="preserve">Desde Gastos_Ventas</t>
  </si>
  <si>
    <t xml:space="preserve">Gastos comerciales — promedio mensual</t>
  </si>
  <si>
    <t xml:space="preserve">Ventas netas — promedio mensual</t>
  </si>
  <si>
    <t xml:space="preserve">Recargo de fábrica calculado</t>
  </si>
  <si>
    <t xml:space="preserve">Gastos de fábrica ÷ ventas</t>
  </si>
  <si>
    <t xml:space="preserve">Recargo comercial calculado</t>
  </si>
  <si>
    <t xml:space="preserve">Gastos comerciales ÷ ventas</t>
  </si>
  <si>
    <t xml:space="preserve">Recargo de fábrica fijado a mano (opcional)</t>
  </si>
  <si>
    <t xml:space="preserve">Vacío = usa el calculado. Escribe un % solo si quieres fijarlo.</t>
  </si>
  <si>
    <t xml:space="preserve">Recargo comercial fijado a mano (opcional)</t>
  </si>
  <si>
    <t xml:space="preserve">Vacío = usa el calculado.</t>
  </si>
  <si>
    <t xml:space="preserve">RECARGO DE FÁBRICA USADO</t>
  </si>
  <si>
    <t xml:space="preserve">Lo usan todas las recetas</t>
  </si>
  <si>
    <t xml:space="preserve">RECARGO COMERCIAL USADO</t>
  </si>
  <si>
    <t xml:space="preserve">RECARGO TOTAL</t>
  </si>
  <si>
    <t xml:space="preserve">De cada $100 que vendes, este monto se va en pagar gastos fijos.</t>
  </si>
  <si>
    <t xml:space="preserve">Próxima revisión del recargo</t>
  </si>
  <si>
    <t xml:space="preserve">Diciembre 2026</t>
  </si>
  <si>
    <t xml:space="preserve">Usar septiembre, octubre y noviembre.</t>
  </si>
  <si>
    <t xml:space="preserve">2) META DE GANANCIA</t>
  </si>
  <si>
    <t xml:space="preserve">Ganancia deseada (% del precio de venta)</t>
  </si>
  <si>
    <t xml:space="preserve">POR CONFIRMAR: 10% es solo un ejemplo. Define tu meta.</t>
  </si>
  <si>
    <t xml:space="preserve">3) COSTO DE IMPRESIÓN (papel + tinta) por metro impreso</t>
  </si>
  <si>
    <t xml:space="preserve">Papel sublimación — precio del rollo ($)</t>
  </si>
  <si>
    <t xml:space="preserve">POR CONFIRMAR: en tu archivo dice $50.420 "por kg". ¿Es el precio del rollo?</t>
  </si>
  <si>
    <t xml:space="preserve">Papel — metros que rinde el rollo</t>
  </si>
  <si>
    <t xml:space="preserve">PENDIENTE: ¿cuántos metros trae el rollo?</t>
  </si>
  <si>
    <t xml:space="preserve">Tinta — precio por litro ($)</t>
  </si>
  <si>
    <t xml:space="preserve">POR CONFIRMAR: precio de la tinta magenta. ¿Los otros colores cuestan lo mismo?</t>
  </si>
  <si>
    <t xml:space="preserve">Tinta — ml que gasta 1 metro impreso</t>
  </si>
  <si>
    <t xml:space="preserve">PENDIENTE: litros gastados en el mes ÷ metros impresos (Control de Ploteo) × 1000.</t>
  </si>
  <si>
    <t xml:space="preserve">Papel por metro</t>
  </si>
  <si>
    <t xml:space="preserve">Se calcula solo</t>
  </si>
  <si>
    <t xml:space="preserve">Tinta por metro</t>
  </si>
  <si>
    <t xml:space="preserve">COSTO DE IMPRESIÓN POR METRO</t>
  </si>
  <si>
    <t xml:space="preserve">Mientras esté en $0, las prendas sublimadas salen más baratas de lo real.</t>
  </si>
  <si>
    <t xml:space="preserve">4) POR QUÉ LOS SUELDOS NO VAN EN LA RECETA</t>
  </si>
  <si>
    <t xml:space="preserve">Los sueldos de ploteo, sublimación, corte y estampado se pagan completos cada mes, se produzca mucho o poco. Por eso van en "Gastos de fábrica" y llegan a cada prenda a través del recargo. Si además se cobraran dentro de la receta (como hacía el sistema anterior), se contarían dos veces. La receta solo lleva lo que se gasta por cada prenda: tela, papel y tinta, taller de confección y avíos.</t>
  </si>
  <si>
    <t xml:space="preserve">GASTOS FIJOS Y VENTAS — últimos 3 meses</t>
  </si>
  <si>
    <t xml:space="preserve">Cada trimestre escribe los 3 meses más recientes. El promedio y el recargo se recalculan solos.</t>
  </si>
  <si>
    <t xml:space="preserve">Concepto</t>
  </si>
  <si>
    <t xml:space="preserve">Grupo</t>
  </si>
  <si>
    <t xml:space="preserve">Jun-2026</t>
  </si>
  <si>
    <t xml:space="preserve">Jul-2026</t>
  </si>
  <si>
    <t xml:space="preserve">Ago-2026</t>
  </si>
  <si>
    <t xml:space="preserve">Promedio 3 meses</t>
  </si>
  <si>
    <t xml:space="preserve">Nota</t>
  </si>
  <si>
    <t xml:space="preserve">Ploteo</t>
  </si>
  <si>
    <t xml:space="preserve">Fábrica</t>
  </si>
  <si>
    <t xml:space="preserve">Sueldo: se paga igual haya o no producción → va en gastos, no en la receta.</t>
  </si>
  <si>
    <t xml:space="preserve">Sublimación</t>
  </si>
  <si>
    <t xml:space="preserve">Corte</t>
  </si>
  <si>
    <t xml:space="preserve">Confección interna</t>
  </si>
  <si>
    <t xml:space="preserve">Estampado</t>
  </si>
  <si>
    <t xml:space="preserve">Luz</t>
  </si>
  <si>
    <t xml:space="preserve">Agua</t>
  </si>
  <si>
    <t xml:space="preserve">Telefonía</t>
  </si>
  <si>
    <t xml:space="preserve">Arriendo</t>
  </si>
  <si>
    <t xml:space="preserve">Internet</t>
  </si>
  <si>
    <t xml:space="preserve">Mantención de máquinas</t>
  </si>
  <si>
    <t xml:space="preserve">Seguridad</t>
  </si>
  <si>
    <t xml:space="preserve">Insumos de limpieza (aseo)</t>
  </si>
  <si>
    <t xml:space="preserve">Insumos de oficina</t>
  </si>
  <si>
    <t xml:space="preserve">Bencina</t>
  </si>
  <si>
    <t xml:space="preserve">Jefe de producción (sueldo)</t>
  </si>
  <si>
    <t xml:space="preserve">Fichas técnicas (sueldo)</t>
  </si>
  <si>
    <t xml:space="preserve">Apoyo producción (sueldo)</t>
  </si>
  <si>
    <t xml:space="preserve">Personal aseo (sueldo)</t>
  </si>
  <si>
    <t xml:space="preserve">CEO (sueldo)</t>
  </si>
  <si>
    <t xml:space="preserve">Comercial</t>
  </si>
  <si>
    <t xml:space="preserve">Administración (sueldo)</t>
  </si>
  <si>
    <t xml:space="preserve">Ventas (sueldo)</t>
  </si>
  <si>
    <t xml:space="preserve">Marketing (sueldo)</t>
  </si>
  <si>
    <t xml:space="preserve">Audiovisual / contenido (sueldo)</t>
  </si>
  <si>
    <t xml:space="preserve">Facebook / Instagram Ads</t>
  </si>
  <si>
    <t xml:space="preserve">Google Ads</t>
  </si>
  <si>
    <t xml:space="preserve">Agencia de marketing</t>
  </si>
  <si>
    <t xml:space="preserve">Herramientas de IA</t>
  </si>
  <si>
    <t xml:space="preserve">Software (Canva, Adobe, etc.)</t>
  </si>
  <si>
    <t xml:space="preserve">Uber</t>
  </si>
  <si>
    <t xml:space="preserve">← filas libres para agregar gastos</t>
  </si>
  <si>
    <t xml:space="preserve">TOTAL GASTOS DE FÁBRICA</t>
  </si>
  <si>
    <t xml:space="preserve">TOTAL GASTOS COMERCIALES</t>
  </si>
  <si>
    <t xml:space="preserve">TOTAL GASTOS FIJOS</t>
  </si>
  <si>
    <t xml:space="preserve">VENTAS NETAS DEL MES ($)</t>
  </si>
  <si>
    <t xml:space="preserve">Fuente: hoja Proyectos_PMK (export Parrotfy), suma de Neto $ por mes. Septiembre no se usa: el export llega solo hasta el 5-sep.</t>
  </si>
  <si>
    <t xml:space="preserve">POR CONFIRMAR: el archivo original trae un solo mes de gastos; se repitió en los 3 meses. Reemplazar con el gasto real de cada mes.</t>
  </si>
  <si>
    <t xml:space="preserve">Fábrica = lo que cuesta tener la fábrica funcionando (arriendo, luz, todos los sueldos de producción). Comercial = vender (sueldos de ventas y marketing, publicidad). Puedes cambiar el grupo de cualquier línea.</t>
  </si>
  <si>
    <t xml:space="preserve">PRECIOS DE TELAS Y AVÍOS — neto, sin IVA</t>
  </si>
  <si>
    <t xml:space="preserve">Fuente: hoja 3_Insumos del Sistema de Costeo v2. Al cambiar un precio se actualizan todas las recetas. Cuando lo verifiques, cambia el estado a "Confirmado".</t>
  </si>
  <si>
    <t xml:space="preserve">Insumo</t>
  </si>
  <si>
    <t xml:space="preserve">Unidad</t>
  </si>
  <si>
    <t xml:space="preserve">Precio neto ($)</t>
  </si>
  <si>
    <t xml:space="preserve">Tela</t>
  </si>
  <si>
    <t xml:space="preserve">kg</t>
  </si>
  <si>
    <t xml:space="preserve">LONDRES BLANCO</t>
  </si>
  <si>
    <t xml:space="preserve">CIRE AZUL</t>
  </si>
  <si>
    <t xml:space="preserve">FRANELA</t>
  </si>
  <si>
    <t xml:space="preserve">PIQUE SELECCION</t>
  </si>
  <si>
    <t xml:space="preserve">MICROFIBRA</t>
  </si>
  <si>
    <t xml:space="preserve">CIRE MICROFIBRA AZUL REY</t>
  </si>
  <si>
    <t xml:space="preserve">SCUBA</t>
  </si>
  <si>
    <t xml:space="preserve">GLOBAL</t>
  </si>
  <si>
    <t xml:space="preserve">PIQUE RUGBY</t>
  </si>
  <si>
    <t xml:space="preserve">CORDERITO</t>
  </si>
  <si>
    <t xml:space="preserve">MICROFIBRA CIRE COLORES</t>
  </si>
  <si>
    <t xml:space="preserve">BASQUET BLANCO</t>
  </si>
  <si>
    <t xml:space="preserve">PIQUE TENIS BLANCO</t>
  </si>
  <si>
    <t xml:space="preserve">DEPORTIVO COLOR</t>
  </si>
  <si>
    <t xml:space="preserve">GABARDINA 8Z</t>
  </si>
  <si>
    <t xml:space="preserve">FRANELA POLIESTER</t>
  </si>
  <si>
    <t xml:space="preserve">GABARDINA 7Z</t>
  </si>
  <si>
    <t xml:space="preserve">FALCAO</t>
  </si>
  <si>
    <t xml:space="preserve">RUGBY IRLANDA</t>
  </si>
  <si>
    <t xml:space="preserve">LYCRA GRIS OSCURA</t>
  </si>
  <si>
    <t xml:space="preserve">COTTON</t>
  </si>
  <si>
    <t xml:space="preserve">JACQUARD TECH</t>
  </si>
  <si>
    <t xml:space="preserve">JACQUARD BYTES</t>
  </si>
  <si>
    <t xml:space="preserve">SIN PRECIO</t>
  </si>
  <si>
    <t xml:space="preserve">MALLA DEPORTIVA BLANCO</t>
  </si>
  <si>
    <t xml:space="preserve">Estaba en avíos, pero se compra por kg como tela.</t>
  </si>
  <si>
    <t xml:space="preserve">NOVAK</t>
  </si>
  <si>
    <t xml:space="preserve">THERMAFLEECE</t>
  </si>
  <si>
    <t xml:space="preserve">Cuello</t>
  </si>
  <si>
    <t xml:space="preserve">Avío</t>
  </si>
  <si>
    <t xml:space="preserve">unidad</t>
  </si>
  <si>
    <t xml:space="preserve">Precio marcado "estimado" en el archivo original.</t>
  </si>
  <si>
    <t xml:space="preserve">Puño</t>
  </si>
  <si>
    <t xml:space="preserve">$8.500 por unidad parece alto: ¿es por kg?</t>
  </si>
  <si>
    <t xml:space="preserve">Tapacuello</t>
  </si>
  <si>
    <t xml:space="preserve">Hilo</t>
  </si>
  <si>
    <t xml:space="preserve">Etiqueta</t>
  </si>
  <si>
    <t xml:space="preserve">Cierre</t>
  </si>
  <si>
    <t xml:space="preserve">Cordón</t>
  </si>
  <si>
    <t xml:space="preserve">Elástico</t>
  </si>
  <si>
    <t xml:space="preserve">Forro</t>
  </si>
  <si>
    <t xml:space="preserve">Cremallera bolsillo</t>
  </si>
  <si>
    <t xml:space="preserve">CONFECCIÓN — valor que se paga al taller por prenda (neto, con planchado)</t>
  </si>
  <si>
    <t xml:space="preserve">Fuente: hoja Talleres_Confección del Sistema de Costeo v2. Agrega tipos nuevos al final.</t>
  </si>
  <si>
    <t xml:space="preserve">Tipo de prenda</t>
  </si>
  <si>
    <t xml:space="preserve">Valor con planchado ($)</t>
  </si>
  <si>
    <t xml:space="preserve">Sin planchado (ref.)</t>
  </si>
  <si>
    <t xml:space="preserve">Camiseta De Futbol Retro</t>
  </si>
  <si>
    <t xml:space="preserve">Camiseta De Rugby Básica</t>
  </si>
  <si>
    <t xml:space="preserve">Camiseta De Rugby Lycra</t>
  </si>
  <si>
    <t xml:space="preserve">Ojo: sin planchado sale MÁS caro que con planchado. Revisar.</t>
  </si>
  <si>
    <t xml:space="preserve">Camiseta Futbol Fem Santiago Morning</t>
  </si>
  <si>
    <t xml:space="preserve">Short Fem Con Tajali</t>
  </si>
  <si>
    <t xml:space="preserve">Camiseta De Hockey</t>
  </si>
  <si>
    <t xml:space="preserve">Camiseta De Hockey Franja</t>
  </si>
  <si>
    <t xml:space="preserve">Calza-Falda</t>
  </si>
  <si>
    <t xml:space="preserve">Pantalon Pitillo</t>
  </si>
  <si>
    <t xml:space="preserve">Poleron Entrenamiento Raglan</t>
  </si>
  <si>
    <t xml:space="preserve">Short De Salida</t>
  </si>
  <si>
    <t xml:space="preserve">Peto Entrenamiento</t>
  </si>
  <si>
    <t xml:space="preserve">Pantalon No Pitillo</t>
  </si>
  <si>
    <t xml:space="preserve">Camiseta Running Con Manga</t>
  </si>
  <si>
    <t xml:space="preserve">Camiseta De Salida Con Hojal Y Boton</t>
  </si>
  <si>
    <t xml:space="preserve">Camiseta De Salida Sin Hojal Ni Boton</t>
  </si>
  <si>
    <t xml:space="preserve">Camiseta De Salida Con Cuello Y Puño Tejido Con Boton</t>
  </si>
  <si>
    <t xml:space="preserve">Camiseta De Salida Con Cuello Y Puño Tejido Sin Boton</t>
  </si>
  <si>
    <t xml:space="preserve">Camiseta Kimono</t>
  </si>
  <si>
    <t xml:space="preserve">Camiseta Voley</t>
  </si>
  <si>
    <t xml:space="preserve">Calza Larga</t>
  </si>
  <si>
    <t xml:space="preserve">Lienzo</t>
  </si>
  <si>
    <t xml:space="preserve">Camiseta Retro</t>
  </si>
  <si>
    <t xml:space="preserve">Multideporte</t>
  </si>
  <si>
    <t xml:space="preserve">Poleron Polo</t>
  </si>
  <si>
    <t xml:space="preserve">Parka Larga 2025</t>
  </si>
  <si>
    <t xml:space="preserve">Camiseta Rugby Con Cuello</t>
  </si>
  <si>
    <t xml:space="preserve">Poleron Oversize 3C</t>
  </si>
  <si>
    <t xml:space="preserve">Cortaviento Con Capucha</t>
  </si>
  <si>
    <t xml:space="preserve">Cortaviento Sin Capucha</t>
  </si>
  <si>
    <t xml:space="preserve">Poleron Hoodie</t>
  </si>
  <si>
    <t xml:space="preserve">Poleron Hoodie Corte Mangas</t>
  </si>
  <si>
    <t xml:space="preserve">Bolso</t>
  </si>
  <si>
    <t xml:space="preserve">Colett</t>
  </si>
  <si>
    <t xml:space="preserve">CATÁLOGO — qué productos ya tienen costo completo</t>
  </si>
  <si>
    <t xml:space="preserve">Todos los productos vendidos jun–sep 2026, de mayor a menor unidades (fuente: 2_Catálogo). Los kits se costean después sumando sus partes.</t>
  </si>
  <si>
    <t xml:space="preserve">Unidades vendidas</t>
  </si>
  <si>
    <t xml:space="preserve">Precio real prom. ($)</t>
  </si>
  <si>
    <t xml:space="preserve">DUODIAFUTB</t>
  </si>
  <si>
    <t xml:space="preserve">Dúo Pack Diamante Fútbol</t>
  </si>
  <si>
    <t xml:space="preserve">KIT/DÚO</t>
  </si>
  <si>
    <t xml:space="preserve">ESCDTF10</t>
  </si>
  <si>
    <t xml:space="preserve">Escudo en DTF10cm</t>
  </si>
  <si>
    <t xml:space="preserve">ADICIONAL</t>
  </si>
  <si>
    <t xml:space="preserve">KITOROFUTB</t>
  </si>
  <si>
    <t xml:space="preserve">Kit Oro Fútbol</t>
  </si>
  <si>
    <t xml:space="preserve">ESCTEX10</t>
  </si>
  <si>
    <t xml:space="preserve">Escudo Texturizado10cm</t>
  </si>
  <si>
    <t xml:space="preserve">MEDPROPERCP</t>
  </si>
  <si>
    <t xml:space="preserve">Medias Pro Personalizadas PMK</t>
  </si>
  <si>
    <t xml:space="preserve">EXTERNO/REVENTA</t>
  </si>
  <si>
    <t xml:space="preserve">ESC-PRO-10CM</t>
  </si>
  <si>
    <t xml:space="preserve">ESCUDO PRO 10CM</t>
  </si>
  <si>
    <t xml:space="preserve">JUEGO/COMPETENCIA</t>
  </si>
  <si>
    <t xml:space="preserve">EXT-CUE-PIQ</t>
  </si>
  <si>
    <t xml:space="preserve">EXTRA CUELLO PIQUÉ</t>
  </si>
  <si>
    <t xml:space="preserve">KITDIAFUTB</t>
  </si>
  <si>
    <t xml:space="preserve">Kit Diamante Fútbol</t>
  </si>
  <si>
    <t xml:space="preserve">EXT-CUE-V</t>
  </si>
  <si>
    <t xml:space="preserve">Extra Cuello V</t>
  </si>
  <si>
    <t xml:space="preserve">EXTPRIORI</t>
  </si>
  <si>
    <t xml:space="preserve">Priorizado</t>
  </si>
  <si>
    <t xml:space="preserve">SALIDA/PRESENTACIÓN</t>
  </si>
  <si>
    <t xml:space="preserve">DUOORFUTB</t>
  </si>
  <si>
    <t xml:space="preserve">Dúo Pack Oro Fútbol</t>
  </si>
  <si>
    <t xml:space="preserve">DUOORBASK</t>
  </si>
  <si>
    <t xml:space="preserve">Dúo Pack Oro Básket</t>
  </si>
  <si>
    <t xml:space="preserve">EXTCUEPIQ</t>
  </si>
  <si>
    <t xml:space="preserve">Extra Cuello Piqué</t>
  </si>
  <si>
    <t xml:space="preserve">ESC-DTF-10CM</t>
  </si>
  <si>
    <t xml:space="preserve">ESCUDO COLORES 10CM</t>
  </si>
  <si>
    <t xml:space="preserve">EXT-ML</t>
  </si>
  <si>
    <t xml:space="preserve">EXTRA MANGA LARGA</t>
  </si>
  <si>
    <t xml:space="preserve">DUOPLFUTB</t>
  </si>
  <si>
    <t xml:space="preserve">Dúo Pack Plata Fútbol</t>
  </si>
  <si>
    <t xml:space="preserve">ESCDTF20</t>
  </si>
  <si>
    <t xml:space="preserve">Escudo en DTF 20cm</t>
  </si>
  <si>
    <t xml:space="preserve">DUOPLABASKREV</t>
  </si>
  <si>
    <t xml:space="preserve">DÚO PACK PLATA BASKET REVERSIBLE</t>
  </si>
  <si>
    <t xml:space="preserve">DUODIAHOCKFEM</t>
  </si>
  <si>
    <t xml:space="preserve">Dúo Pack Diamante Hockey Fem</t>
  </si>
  <si>
    <t xml:space="preserve">DUOORRUGBMAS</t>
  </si>
  <si>
    <t xml:space="preserve">Dúo Pack Oro Rugby Mas</t>
  </si>
  <si>
    <t xml:space="preserve">DUOORVOLFEM</t>
  </si>
  <si>
    <t xml:space="preserve">Dúo Pack Oro Voley Fem</t>
  </si>
  <si>
    <t xml:space="preserve">ESCVIN10</t>
  </si>
  <si>
    <t xml:space="preserve">Escudo Vinilo 1 color 10cm</t>
  </si>
  <si>
    <t xml:space="preserve">KITPLFUTB</t>
  </si>
  <si>
    <t xml:space="preserve">Kit Plata Fútbol</t>
  </si>
  <si>
    <t xml:space="preserve">DUOPLBASK</t>
  </si>
  <si>
    <t xml:space="preserve">Dúo Pack Plata Básket</t>
  </si>
  <si>
    <t xml:space="preserve">MEDLISPMKCP</t>
  </si>
  <si>
    <t xml:space="preserve">Medias Playmaker Lisas c/p</t>
  </si>
  <si>
    <t xml:space="preserve">KITOROFUTBMAS</t>
  </si>
  <si>
    <t xml:space="preserve">Kit Oro Fútbol Mas</t>
  </si>
  <si>
    <t xml:space="preserve">KITOROFUTBFEM</t>
  </si>
  <si>
    <t xml:space="preserve">Kit Oro Fútbol Fem</t>
  </si>
  <si>
    <t xml:space="preserve">DUOORVOLMAS</t>
  </si>
  <si>
    <t xml:space="preserve">Dúo Pack Oro Voley Mas</t>
  </si>
  <si>
    <t xml:space="preserve">FUT-MED-LIS</t>
  </si>
  <si>
    <t xml:space="preserve">Medias Fútbol Playmaker Lisas c/p</t>
  </si>
  <si>
    <t xml:space="preserve">FUT-MED-LIS-SP</t>
  </si>
  <si>
    <t xml:space="preserve">Medias Fútbol Playmaker Lisas s/p</t>
  </si>
  <si>
    <t xml:space="preserve">KITORORUGB</t>
  </si>
  <si>
    <t xml:space="preserve">Kit Oro Rugby</t>
  </si>
  <si>
    <t xml:space="preserve">DUOORBASKFEM</t>
  </si>
  <si>
    <t xml:space="preserve">Dúo Pack Oro Básket Fem</t>
  </si>
  <si>
    <t xml:space="preserve">DUODIAFUTBMAS</t>
  </si>
  <si>
    <t xml:space="preserve">Dúo Pack Diamante Fútbol Mas</t>
  </si>
  <si>
    <t xml:space="preserve">DUODIAVOLEMAS</t>
  </si>
  <si>
    <t xml:space="preserve">Dúo Pack Diamante Voley Mas</t>
  </si>
  <si>
    <t xml:space="preserve">ESC-DTF-20CM</t>
  </si>
  <si>
    <t xml:space="preserve">ESTAMPADO COLORES 20cm</t>
  </si>
  <si>
    <t xml:space="preserve">DUOORFUTBMAS</t>
  </si>
  <si>
    <t xml:space="preserve">Dúo Pack Oro Fútbol Mas</t>
  </si>
  <si>
    <t xml:space="preserve">DUOROBASKREV</t>
  </si>
  <si>
    <t xml:space="preserve">DÚO PACK ORO  BASKET REVERSIBLE</t>
  </si>
  <si>
    <t xml:space="preserve">DUODIAVOLEFEM</t>
  </si>
  <si>
    <t xml:space="preserve">Dúo Pack Diamante Voley Fem</t>
  </si>
  <si>
    <t xml:space="preserve">ZAP-BASK-120</t>
  </si>
  <si>
    <t xml:space="preserve">ZAPATILLA DE BÁSQUETBOL NIKE 120</t>
  </si>
  <si>
    <t xml:space="preserve">KITPLHOCKFEM</t>
  </si>
  <si>
    <t xml:space="preserve">Kit Plata Voley Mas</t>
  </si>
  <si>
    <t xml:space="preserve">KITDIARUGB</t>
  </si>
  <si>
    <t xml:space="preserve">Kit Diamante Rugby</t>
  </si>
  <si>
    <t xml:space="preserve">DUOPLBASKFEM</t>
  </si>
  <si>
    <t xml:space="preserve">Dúo Pack Plata Básket Fem</t>
  </si>
  <si>
    <t xml:space="preserve">DUOPLBASKMAS</t>
  </si>
  <si>
    <t xml:space="preserve">Dúo Pack Plata Básket Mas</t>
  </si>
  <si>
    <t xml:space="preserve">ESCDTF10A20</t>
  </si>
  <si>
    <t xml:space="preserve">Escudo en DTF 10cm-20cm</t>
  </si>
  <si>
    <t xml:space="preserve">DUOORHOCKFEM</t>
  </si>
  <si>
    <t xml:space="preserve">Dúo Pack Oro Hockey Fem</t>
  </si>
  <si>
    <t xml:space="preserve">KITORVOLEFEM</t>
  </si>
  <si>
    <t xml:space="preserve">Kit Oro Voley Fem</t>
  </si>
  <si>
    <t xml:space="preserve">DUOPLRUGB</t>
  </si>
  <si>
    <t xml:space="preserve">Dúo Pack Plata Rugby</t>
  </si>
  <si>
    <t xml:space="preserve">REGBOLSUBPMK</t>
  </si>
  <si>
    <t xml:space="preserve">Bolso Sublimado Personalizado PMK de Regalo</t>
  </si>
  <si>
    <t xml:space="preserve">EXTTALESP</t>
  </si>
  <si>
    <t xml:space="preserve">EXTRA TALLA ESPECIAL</t>
  </si>
  <si>
    <t xml:space="preserve">DESP</t>
  </si>
  <si>
    <t xml:space="preserve">DESPACHO</t>
  </si>
  <si>
    <t xml:space="preserve">BALFUTBA</t>
  </si>
  <si>
    <t xml:space="preserve">BALON DE FUTBOL</t>
  </si>
  <si>
    <t xml:space="preserve">BOLSUB</t>
  </si>
  <si>
    <t xml:space="preserve">BOLSO SUBLIMADO PERSONALIZADO</t>
  </si>
  <si>
    <t xml:space="preserve">KITOROBASKREV</t>
  </si>
  <si>
    <t xml:space="preserve">KIT ORO BASKET REVERSIBLE</t>
  </si>
  <si>
    <t xml:space="preserve">DUODIABASK</t>
  </si>
  <si>
    <t xml:space="preserve">Dúo Pack Diamante Básket</t>
  </si>
  <si>
    <t xml:space="preserve">RUG-MED-PRO</t>
  </si>
  <si>
    <t xml:space="preserve">MEDIAS PRO RUGBY</t>
  </si>
  <si>
    <t xml:space="preserve">EXTML</t>
  </si>
  <si>
    <t xml:space="preserve">Exrta Manga Larga</t>
  </si>
  <si>
    <t xml:space="preserve">LZO2REG</t>
  </si>
  <si>
    <t xml:space="preserve">Lienzo 1.5x2mts Regalo</t>
  </si>
</sst>
</file>

<file path=xl/styles.xml><?xml version="1.0" encoding="utf-8"?>
<styleSheet xmlns="http://schemas.openxmlformats.org/spreadsheetml/2006/main">
  <numFmts count="7">
    <numFmt numFmtId="164" formatCode="General"/>
    <numFmt numFmtId="165" formatCode="\$#,##0;&quot;-$&quot;#,##0;\-"/>
    <numFmt numFmtId="166" formatCode="0.0%"/>
    <numFmt numFmtId="167" formatCode="0.000"/>
    <numFmt numFmtId="168" formatCode="0.00"/>
    <numFmt numFmtId="169" formatCode="#,##0"/>
    <numFmt numFmtId="170" formatCode="0.0"/>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1"/>
      <color rgb="FF1F3864"/>
      <name val="Arial"/>
      <family val="0"/>
      <charset val="1"/>
    </font>
    <font>
      <sz val="10"/>
      <color rgb="FF000000"/>
      <name val="Arial"/>
      <family val="0"/>
      <charset val="1"/>
    </font>
    <font>
      <b val="true"/>
      <sz val="10"/>
      <color rgb="FFC00000"/>
      <name val="Arial"/>
      <family val="0"/>
      <charset val="1"/>
    </font>
    <font>
      <b val="true"/>
      <sz val="10"/>
      <color rgb="FF1F3864"/>
      <name val="Arial"/>
      <family val="0"/>
      <charset val="1"/>
    </font>
    <font>
      <b val="true"/>
      <sz val="10"/>
      <color rgb="FFFFFFFF"/>
      <name val="Arial"/>
      <family val="0"/>
      <charset val="1"/>
    </font>
    <font>
      <sz val="10"/>
      <color rgb="FF0000FF"/>
      <name val="Arial"/>
      <family val="0"/>
      <charset val="1"/>
    </font>
    <font>
      <i val="true"/>
      <sz val="9"/>
      <color rgb="FF595959"/>
      <name val="Arial"/>
      <family val="0"/>
      <charset val="1"/>
    </font>
    <font>
      <b val="true"/>
      <sz val="10"/>
      <color rgb="FF000000"/>
      <name val="Arial"/>
      <family val="0"/>
      <charset val="1"/>
    </font>
    <font>
      <b val="true"/>
      <sz val="10"/>
      <color rgb="FF0000FF"/>
      <name val="Arial"/>
      <family val="0"/>
      <charset val="1"/>
    </font>
  </fonts>
  <fills count="7">
    <fill>
      <patternFill patternType="none"/>
    </fill>
    <fill>
      <patternFill patternType="gray125"/>
    </fill>
    <fill>
      <patternFill patternType="solid">
        <fgColor rgb="FFD9E1F2"/>
        <bgColor rgb="FFDDEBF7"/>
      </patternFill>
    </fill>
    <fill>
      <patternFill patternType="solid">
        <fgColor rgb="FFDDEBF7"/>
        <bgColor rgb="FFD9E1F2"/>
      </patternFill>
    </fill>
    <fill>
      <patternFill patternType="solid">
        <fgColor rgb="FFFFF2CC"/>
        <bgColor rgb="FFF2F2F2"/>
      </patternFill>
    </fill>
    <fill>
      <patternFill patternType="solid">
        <fgColor rgb="FF1F3864"/>
        <bgColor rgb="FF333333"/>
      </patternFill>
    </fill>
    <fill>
      <patternFill patternType="solid">
        <fgColor rgb="FFF2F2F2"/>
        <bgColor rgb="FFDD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center" vertical="bottom" textRotation="0" wrapText="false" indent="0" shrinkToFit="false"/>
      <protection locked="true" hidden="false"/>
    </xf>
    <xf numFmtId="164" fontId="9" fillId="3" borderId="0" xfId="0" applyFont="true" applyBorder="true" applyAlignment="true" applyProtection="false">
      <alignment horizontal="center" vertical="bottom" textRotation="0" wrapText="false" indent="0" shrinkToFit="false"/>
      <protection locked="true" hidden="false"/>
    </xf>
    <xf numFmtId="164" fontId="9" fillId="4" borderId="0" xfId="0" applyFont="true" applyBorder="true" applyAlignment="true" applyProtection="false">
      <alignment horizontal="center" vertical="bottom" textRotation="0" wrapText="fals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5" fontId="11" fillId="3"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5" fontId="13" fillId="6" borderId="1" xfId="0" applyFont="true" applyBorder="true" applyAlignment="false" applyProtection="false">
      <alignment horizontal="general" vertical="bottom" textRotation="0" wrapText="false" indent="0" shrinkToFit="false"/>
      <protection locked="true" hidden="false"/>
    </xf>
    <xf numFmtId="165" fontId="7" fillId="6" borderId="1" xfId="0" applyFont="true" applyBorder="true" applyAlignment="false" applyProtection="false">
      <alignment horizontal="general" vertical="bottom" textRotation="0" wrapText="false" indent="0" shrinkToFit="false"/>
      <protection locked="true" hidden="false"/>
    </xf>
    <xf numFmtId="166" fontId="13" fillId="6" borderId="1" xfId="0" applyFont="true" applyBorder="true" applyAlignment="false" applyProtection="false">
      <alignment horizontal="general" vertical="bottom" textRotation="0" wrapText="false" indent="0" shrinkToFit="false"/>
      <protection locked="true" hidden="false"/>
    </xf>
    <xf numFmtId="164" fontId="13" fillId="6" borderId="1" xfId="0" applyFont="true" applyBorder="true" applyAlignment="true" applyProtection="false">
      <alignment horizontal="center" vertical="bottom" textRotation="0" wrapText="false" indent="0" shrinkToFit="false"/>
      <protection locked="true" hidden="false"/>
    </xf>
    <xf numFmtId="164" fontId="7" fillId="6"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7" fontId="11" fillId="3" borderId="1" xfId="0" applyFont="true" applyBorder="true" applyAlignment="false" applyProtection="false">
      <alignment horizontal="general" vertical="bottom" textRotation="0" wrapText="false" indent="0" shrinkToFit="false"/>
      <protection locked="true" hidden="false"/>
    </xf>
    <xf numFmtId="168" fontId="11" fillId="3" borderId="1"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6" fontId="7" fillId="6" borderId="1" xfId="0" applyFont="true" applyBorder="true" applyAlignment="false" applyProtection="false">
      <alignment horizontal="general" vertical="bottom" textRotation="0" wrapText="false" indent="0" shrinkToFit="false"/>
      <protection locked="true" hidden="false"/>
    </xf>
    <xf numFmtId="166" fontId="11" fillId="3" borderId="1" xfId="0" applyFont="true" applyBorder="true" applyAlignment="false" applyProtection="false">
      <alignment horizontal="general" vertical="bottom" textRotation="0" wrapText="false" indent="0" shrinkToFit="false"/>
      <protection locked="true" hidden="false"/>
    </xf>
    <xf numFmtId="164" fontId="13" fillId="4" borderId="1" xfId="0" applyFont="true" applyBorder="true" applyAlignment="false" applyProtection="false">
      <alignment horizontal="general" vertical="bottom" textRotation="0" wrapText="false" indent="0" shrinkToFit="false"/>
      <protection locked="true" hidden="false"/>
    </xf>
    <xf numFmtId="166" fontId="13" fillId="4" borderId="1" xfId="0" applyFont="true" applyBorder="true" applyAlignment="false" applyProtection="false">
      <alignment horizontal="general" vertical="bottom" textRotation="0" wrapText="false" indent="0" shrinkToFit="false"/>
      <protection locked="true" hidden="false"/>
    </xf>
    <xf numFmtId="169" fontId="11" fillId="3" borderId="1" xfId="0" applyFont="true" applyBorder="true" applyAlignment="false" applyProtection="false">
      <alignment horizontal="general" vertical="bottom" textRotation="0" wrapText="false" indent="0" shrinkToFit="false"/>
      <protection locked="true" hidden="false"/>
    </xf>
    <xf numFmtId="170" fontId="11" fillId="3" borderId="1" xfId="0" applyFont="true" applyBorder="true" applyAlignment="false" applyProtection="false">
      <alignment horizontal="general" vertical="bottom" textRotation="0" wrapText="false" indent="0" shrinkToFit="false"/>
      <protection locked="true" hidden="false"/>
    </xf>
    <xf numFmtId="165" fontId="13" fillId="4"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F3864"/>
          <bgColor rgb="FF000000"/>
        </patternFill>
      </fill>
    </dxf>
    <dxf>
      <fill>
        <patternFill patternType="solid">
          <fgColor rgb="FFDDEBF7"/>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595959"/>
          <bgColor rgb="FF000000"/>
        </patternFill>
      </fill>
    </dxf>
    <dxf>
      <fill>
        <patternFill patternType="solid">
          <fgColor rgb="FFF2F2F2"/>
          <bgColor rgb="FF000000"/>
        </patternFill>
      </fill>
    </dxf>
    <dxf>
      <fill>
        <patternFill patternType="solid">
          <fgColor rgb="FFC6EFCE"/>
          <bgColor rgb="FF000000"/>
        </patternFill>
      </fill>
    </dxf>
    <dxf>
      <fill>
        <patternFill patternType="solid">
          <fgColor rgb="FFD9D9D9"/>
          <bgColor rgb="FF000000"/>
        </patternFill>
      </fill>
    </dxf>
    <dxf>
      <fill>
        <patternFill patternType="solid">
          <fgColor rgb="FF006100"/>
          <bgColor rgb="FF000000"/>
        </patternFill>
      </fill>
    </dxf>
    <dxf>
      <font>
        <name val="Arial"/>
        <charset val="1"/>
        <family val="0"/>
        <b val="1"/>
        <color rgb="FF9C0006"/>
      </font>
      <fill>
        <patternFill>
          <bgColor rgb="FFF8CBAD"/>
        </patternFill>
      </fill>
    </dxf>
    <dxf>
      <font>
        <name val="Arial"/>
        <charset val="1"/>
        <family val="0"/>
        <b val="1"/>
        <color rgb="FF9C5700"/>
      </font>
      <fill>
        <patternFill>
          <bgColor rgb="FFFFEB9C"/>
        </patternFill>
      </fill>
    </dxf>
    <dxf>
      <font>
        <name val="Arial"/>
        <charset val="1"/>
        <family val="0"/>
        <b val="1"/>
        <color rgb="FF006100"/>
      </font>
      <fill>
        <patternFill>
          <bgColor rgb="FFC6EFCE"/>
        </patternFill>
      </fill>
    </dxf>
    <dxf>
      <font>
        <name val="Arial"/>
        <charset val="1"/>
        <family val="0"/>
        <b val="1"/>
        <color rgb="FF595959"/>
      </font>
      <fill>
        <patternFill>
          <bgColor rgb="FFD9D9D9"/>
        </patternFill>
      </fill>
    </dxf>
    <dxf>
      <fill>
        <patternFill patternType="solid">
          <fgColor rgb="FFD9E1F2"/>
          <bgColor rgb="FF000000"/>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6EFCE"/>
      <rgbColor rgb="FFFFEB9C"/>
      <rgbColor rgb="FFD9E1F2"/>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11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B5" s="4" t="s">
        <v>3</v>
      </c>
    </row>
    <row r="6" customFormat="false" ht="23.85" hidden="false" customHeight="false" outlineLevel="0" collapsed="false">
      <c r="B6" s="4" t="s">
        <v>4</v>
      </c>
    </row>
    <row r="7" customFormat="false" ht="15" hidden="false" customHeight="false" outlineLevel="0" collapsed="false">
      <c r="B7" s="4" t="s">
        <v>5</v>
      </c>
    </row>
    <row r="8" customFormat="false" ht="15" hidden="false" customHeight="false" outlineLevel="0" collapsed="false">
      <c r="A8" s="3" t="s">
        <v>6</v>
      </c>
    </row>
    <row r="9" customFormat="false" ht="15" hidden="false" customHeight="false" outlineLevel="0" collapsed="false">
      <c r="B9" s="4" t="s">
        <v>7</v>
      </c>
    </row>
    <row r="10" customFormat="false" ht="15" hidden="false" customHeight="false" outlineLevel="0" collapsed="false">
      <c r="A10" s="3" t="s">
        <v>8</v>
      </c>
    </row>
    <row r="11" customFormat="false" ht="15" hidden="false" customHeight="false" outlineLevel="0" collapsed="false">
      <c r="B11" s="4" t="s">
        <v>9</v>
      </c>
    </row>
    <row r="12" customFormat="false" ht="15" hidden="false" customHeight="false" outlineLevel="0" collapsed="false">
      <c r="B12" s="4" t="s">
        <v>10</v>
      </c>
    </row>
    <row r="13" customFormat="false" ht="15" hidden="false" customHeight="false" outlineLevel="0" collapsed="false">
      <c r="B13" s="4" t="s">
        <v>11</v>
      </c>
    </row>
    <row r="14" customFormat="false" ht="15" hidden="false" customHeight="false" outlineLevel="0" collapsed="false">
      <c r="A14" s="3" t="s">
        <v>12</v>
      </c>
    </row>
    <row r="15" customFormat="false" ht="15" hidden="false" customHeight="false" outlineLevel="0" collapsed="false">
      <c r="B15" s="4" t="s">
        <v>13</v>
      </c>
    </row>
    <row r="16" customFormat="false" ht="15" hidden="false" customHeight="false" outlineLevel="0" collapsed="false">
      <c r="A16" s="3" t="s">
        <v>14</v>
      </c>
    </row>
    <row r="17" customFormat="false" ht="15" hidden="false" customHeight="false" outlineLevel="0" collapsed="false">
      <c r="B17" s="4" t="str">
        <f aca="false">"• Papel y tinta: "&amp;IF(Parametros!$B$27=0,"SIN DATO → las prendas sublimadas salen más baratas de lo real.","ingresado ("&amp;TEXT(Parametros!$B$27,"$#,##0")&amp;" por metro).")</f>
        <v>• Papel y tinta: SIN DATO → las prendas sublimadas salen más baratas de lo real.</v>
      </c>
    </row>
    <row r="18" customFormat="false" ht="15" hidden="false" customHeight="false" outlineLevel="0" collapsed="false">
      <c r="B18" s="4" t="str">
        <f aca="false">"• Recetas (moldes) completas: "&amp;COUNTIF(Recetas!T5:T84,"Lista*")&amp;" de "&amp;COUNTA(Recetas!A5:A84)</f>
        <v>• Recetas (moldes) completas: 4 de 59</v>
      </c>
    </row>
    <row r="19" customFormat="false" ht="15" hidden="false" customHeight="false" outlineLevel="0" collapsed="false">
      <c r="B19" s="4" t="str">
        <f aca="false">"• Productos con costo completo: "&amp;COUNTIF(Catalogo!F6:F200,"Completa")&amp;" · con datos faltantes: "&amp;COUNTIF(Catalogo!F6:F200,"Faltan datos")</f>
        <v>• Productos con costo completo: 7 · con datos faltantes: 67</v>
      </c>
    </row>
    <row r="20" customFormat="false" ht="15" hidden="false" customHeight="false" outlineLevel="0" collapsed="false">
      <c r="B20" s="4" t="s">
        <v>15</v>
      </c>
    </row>
    <row r="21" customFormat="false" ht="15" hidden="false" customHeight="false" outlineLevel="0" collapsed="false">
      <c r="B21" s="4" t="s">
        <v>16</v>
      </c>
    </row>
    <row r="22" customFormat="false" ht="15" hidden="false" customHeight="false" outlineLevel="0" collapsed="false">
      <c r="B22" s="4"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1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42"/>
    <col collapsed="false" customWidth="true" hidden="false" outlineLevel="0" max="3" min="3" style="0" width="9"/>
    <col collapsed="false" customWidth="true" hidden="false" outlineLevel="0" max="4" min="4" style="0" width="10"/>
    <col collapsed="false" customWidth="true" hidden="false" outlineLevel="0" max="5" min="5" style="0" width="26"/>
    <col collapsed="false" customWidth="true" hidden="false" outlineLevel="0" max="6" min="6" style="0" width="11"/>
    <col collapsed="false" customWidth="true" hidden="false" outlineLevel="0" max="7" min="7" style="0" width="12"/>
    <col collapsed="false" customWidth="true" hidden="false" outlineLevel="0" max="8" min="8" style="0" width="13"/>
    <col collapsed="false" customWidth="true" hidden="false" outlineLevel="0" max="9" min="9" style="0" width="40"/>
    <col collapsed="false" customWidth="true" hidden="false" outlineLevel="0" max="10" min="10" style="0" width="12"/>
    <col collapsed="false" customWidth="true" hidden="false" outlineLevel="0" max="13" min="11" style="0" width="11"/>
    <col collapsed="false" customWidth="true" hidden="false" outlineLevel="0" max="14" min="14" style="0" width="9"/>
    <col collapsed="false" customWidth="true" hidden="false" outlineLevel="0" max="16" min="15" style="0" width="12"/>
    <col collapsed="false" customWidth="true" hidden="false" outlineLevel="0" max="17" min="17" style="0" width="13"/>
    <col collapsed="false" customWidth="true" hidden="false" outlineLevel="0" max="18" min="18" style="0" width="30"/>
  </cols>
  <sheetData>
    <row r="1" customFormat="false" ht="17.35" hidden="false" customHeight="false" outlineLevel="0" collapsed="false">
      <c r="A1" s="1" t="s">
        <v>18</v>
      </c>
    </row>
    <row r="2" customFormat="false" ht="15" hidden="false" customHeight="false" outlineLevel="0" collapsed="false">
      <c r="A2" s="2" t="s">
        <v>19</v>
      </c>
    </row>
    <row r="3" customFormat="false" ht="15" hidden="false" customHeight="false" outlineLevel="0" collapsed="false">
      <c r="A3" s="5" t="str">
        <f aca="false">"Recargo usado: "&amp;TEXT(Parametros!$B$14,"0.0%")&amp;" del precio (fábrica "&amp;TEXT(Parametros!$B$12,"0.0%")&amp;" + comercial "&amp;TEXT(Parametros!$B$13,"0.0%")&amp;")   ·   Meta de ganancia: "&amp;TEXT(Parametros!$B$18,"0%")&amp;"   ·   Impresión: "&amp;IF(Parametros!$B$27=0,"SIN COSTO (pendiente)",TEXT(Parametros!$B$27,"$#,##0")&amp;" por metro")</f>
        <v>Recargo usado: 48.0% del precio (fábrica 35.3% + comercial 12.7%)   ·   Meta de ganancia: 10%   ·   Impresión: SIN COSTO (pendiente)</v>
      </c>
    </row>
    <row r="4" customFormat="false" ht="15" hidden="false" customHeight="false" outlineLevel="0" collapsed="false">
      <c r="A4" s="6" t="s">
        <v>20</v>
      </c>
      <c r="B4" s="6"/>
      <c r="C4" s="6"/>
      <c r="D4" s="6"/>
      <c r="E4" s="7" t="s">
        <v>21</v>
      </c>
      <c r="F4" s="7"/>
      <c r="G4" s="7"/>
      <c r="H4" s="7"/>
      <c r="I4" s="7"/>
      <c r="J4" s="8" t="s">
        <v>22</v>
      </c>
      <c r="K4" s="8"/>
      <c r="L4" s="8"/>
      <c r="M4" s="8"/>
      <c r="N4" s="8"/>
      <c r="O4" s="8"/>
      <c r="P4" s="8"/>
      <c r="Q4" s="8"/>
      <c r="R4" s="8"/>
    </row>
    <row r="5" customFormat="false" ht="42" hidden="false" customHeight="true" outlineLevel="0" collapsed="false">
      <c r="A5" s="9" t="s">
        <v>23</v>
      </c>
      <c r="B5" s="9" t="s">
        <v>24</v>
      </c>
      <c r="C5" s="9" t="s">
        <v>25</v>
      </c>
      <c r="D5" s="9" t="s">
        <v>26</v>
      </c>
      <c r="E5" s="9" t="s">
        <v>27</v>
      </c>
      <c r="F5" s="9" t="s">
        <v>28</v>
      </c>
      <c r="G5" s="9" t="s">
        <v>29</v>
      </c>
      <c r="H5" s="9" t="s">
        <v>30</v>
      </c>
      <c r="I5" s="9" t="s">
        <v>31</v>
      </c>
      <c r="J5" s="9" t="s">
        <v>32</v>
      </c>
      <c r="K5" s="9" t="s">
        <v>33</v>
      </c>
      <c r="L5" s="9" t="s">
        <v>34</v>
      </c>
      <c r="M5" s="9" t="s">
        <v>35</v>
      </c>
      <c r="N5" s="9" t="s">
        <v>36</v>
      </c>
      <c r="O5" s="9" t="s">
        <v>37</v>
      </c>
      <c r="P5" s="9" t="s">
        <v>38</v>
      </c>
      <c r="Q5" s="9" t="s">
        <v>39</v>
      </c>
      <c r="R5" s="9" t="s">
        <v>40</v>
      </c>
    </row>
    <row r="6" customFormat="false" ht="23.85" hidden="false" customHeight="false" outlineLevel="0" collapsed="false">
      <c r="A6" s="10" t="s">
        <v>41</v>
      </c>
      <c r="B6" s="10" t="s">
        <v>42</v>
      </c>
      <c r="C6" s="10" t="s">
        <v>43</v>
      </c>
      <c r="D6" s="10" t="n">
        <v>198</v>
      </c>
      <c r="E6" s="11" t="s">
        <v>44</v>
      </c>
      <c r="F6" s="12"/>
      <c r="G6" s="12" t="n">
        <v>15994</v>
      </c>
      <c r="H6" s="11" t="s">
        <v>45</v>
      </c>
      <c r="I6" s="13" t="s">
        <v>46</v>
      </c>
      <c r="J6" s="14" t="str">
        <f aca="false">IF(OR(B6="",E6=""),"",IF(IFERROR(INDEX(Recetas!$S$5:$S$84,MATCH(E6,Recetas!$A$5:$A$84,0)),"")="","",IFERROR(INDEX(Recetas!$S$5:$S$84,MATCH(E6,Recetas!$A$5:$A$84,0)),"")+N(F6)))</f>
        <v/>
      </c>
      <c r="K6" s="15" t="str">
        <f aca="false">IF(AND(J6&lt;&gt;"",ISNUMBER(G6)),G6*Parametros!$B$12,"")</f>
        <v/>
      </c>
      <c r="L6" s="15" t="str">
        <f aca="false">IF(AND(J6&lt;&gt;"",ISNUMBER(G6)),G6*Parametros!$B$13,"")</f>
        <v/>
      </c>
      <c r="M6" s="14" t="str">
        <f aca="false">IF(AND(J6&lt;&gt;"",ISNUMBER(G6)),G6-J6-K6-L6,"")</f>
        <v/>
      </c>
      <c r="N6" s="16" t="str">
        <f aca="false">IF(AND(J6&lt;&gt;"",ISNUMBER(G6)),M6/G6,"")</f>
        <v/>
      </c>
      <c r="O6" s="15" t="str">
        <f aca="false">IF(OR(J6="",Parametros!$B$14&gt;=1),"",J6/(1-Parametros!$B$14))</f>
        <v/>
      </c>
      <c r="P6" s="15" t="str">
        <f aca="false">IF(OR(J6="",Parametros!$B$14+Parametros!$B$18&gt;=1),"",J6/(1-Parametros!$B$14-Parametros!$B$18))</f>
        <v/>
      </c>
      <c r="Q6" s="17" t="str">
        <f aca="false">IF(B6="","",IF(E6="","SIN RECETA",IF(J6="","FALTAN DATOS",IF(NOT(ISNUMBER(G6)),"FALTA PRECIO",IF(M6&lt;0,"PIERDE",IF(N6&lt;Parametros!$B$18,"BAJO META","OK"))))))</f>
        <v>FALTAN DATOS</v>
      </c>
      <c r="R6" s="18" t="str">
        <f aca="false">IF(B6="","",IF(E6="","Elegir receta (molde).",IF(ISNA(MATCH(E6,Recetas!$A$5:$A$84,0)),"La receta no existe en Recetas.",IF(J6="","Completar la receta "&amp;E6&amp;": "&amp;INDEX(Recetas!$T$5:$T$84,MATCH(E6,Recetas!$A$5:$A$84,0)),IF(NOT(ISNUMBER(G6)),"Precio de venta.","")))))</f>
        <v>Completar la receta 02 · FUTHOMU01: Tela. Kg de tela. Metros impresos. </v>
      </c>
    </row>
    <row r="7" customFormat="false" ht="23.85" hidden="false" customHeight="false" outlineLevel="0" collapsed="false">
      <c r="A7" s="10" t="s">
        <v>47</v>
      </c>
      <c r="B7" s="10" t="s">
        <v>48</v>
      </c>
      <c r="C7" s="10" t="s">
        <v>43</v>
      </c>
      <c r="D7" s="10" t="n">
        <v>190</v>
      </c>
      <c r="E7" s="11" t="s">
        <v>44</v>
      </c>
      <c r="F7" s="12"/>
      <c r="G7" s="12" t="n">
        <v>16073</v>
      </c>
      <c r="H7" s="11" t="s">
        <v>45</v>
      </c>
      <c r="I7" s="13" t="s">
        <v>49</v>
      </c>
      <c r="J7" s="14" t="str">
        <f aca="false">IF(OR(B7="",E7=""),"",IF(IFERROR(INDEX(Recetas!$S$5:$S$84,MATCH(E7,Recetas!$A$5:$A$84,0)),"")="","",IFERROR(INDEX(Recetas!$S$5:$S$84,MATCH(E7,Recetas!$A$5:$A$84,0)),"")+N(F7)))</f>
        <v/>
      </c>
      <c r="K7" s="15" t="str">
        <f aca="false">IF(AND(J7&lt;&gt;"",ISNUMBER(G7)),G7*Parametros!$B$12,"")</f>
        <v/>
      </c>
      <c r="L7" s="15" t="str">
        <f aca="false">IF(AND(J7&lt;&gt;"",ISNUMBER(G7)),G7*Parametros!$B$13,"")</f>
        <v/>
      </c>
      <c r="M7" s="14" t="str">
        <f aca="false">IF(AND(J7&lt;&gt;"",ISNUMBER(G7)),G7-J7-K7-L7,"")</f>
        <v/>
      </c>
      <c r="N7" s="16" t="str">
        <f aca="false">IF(AND(J7&lt;&gt;"",ISNUMBER(G7)),M7/G7,"")</f>
        <v/>
      </c>
      <c r="O7" s="15" t="str">
        <f aca="false">IF(OR(J7="",Parametros!$B$14&gt;=1),"",J7/(1-Parametros!$B$14))</f>
        <v/>
      </c>
      <c r="P7" s="15" t="str">
        <f aca="false">IF(OR(J7="",Parametros!$B$14+Parametros!$B$18&gt;=1),"",J7/(1-Parametros!$B$14-Parametros!$B$18))</f>
        <v/>
      </c>
      <c r="Q7" s="17" t="str">
        <f aca="false">IF(B7="","",IF(E7="","SIN RECETA",IF(J7="","FALTAN DATOS",IF(NOT(ISNUMBER(G7)),"FALTA PRECIO",IF(M7&lt;0,"PIERDE",IF(N7&lt;Parametros!$B$18,"BAJO META","OK"))))))</f>
        <v>FALTAN DATOS</v>
      </c>
      <c r="R7" s="18" t="str">
        <f aca="false">IF(B7="","",IF(E7="","Elegir receta (molde).",IF(ISNA(MATCH(E7,Recetas!$A$5:$A$84,0)),"La receta no existe en Recetas.",IF(J7="","Completar la receta "&amp;E7&amp;": "&amp;INDEX(Recetas!$T$5:$T$84,MATCH(E7,Recetas!$A$5:$A$84,0)),IF(NOT(ISNUMBER(G7)),"Precio de venta.","")))))</f>
        <v>Completar la receta 02 · FUTHOMU01: Tela. Kg de tela. Metros impresos. </v>
      </c>
    </row>
    <row r="8" customFormat="false" ht="15" hidden="false" customHeight="false" outlineLevel="0" collapsed="false">
      <c r="A8" s="10" t="s">
        <v>50</v>
      </c>
      <c r="B8" s="10" t="s">
        <v>51</v>
      </c>
      <c r="C8" s="10" t="s">
        <v>43</v>
      </c>
      <c r="D8" s="10" t="n">
        <v>160</v>
      </c>
      <c r="E8" s="11" t="s">
        <v>52</v>
      </c>
      <c r="F8" s="12"/>
      <c r="G8" s="12" t="n">
        <v>18403</v>
      </c>
      <c r="H8" s="11" t="s">
        <v>45</v>
      </c>
      <c r="I8" s="13" t="s">
        <v>53</v>
      </c>
      <c r="J8" s="14" t="n">
        <f aca="false">IF(OR(B8="",E8=""),"",IF(IFERROR(INDEX(Recetas!$S$5:$S$84,MATCH(E8,Recetas!$A$5:$A$84,0)),"")="","",IFERROR(INDEX(Recetas!$S$5:$S$84,MATCH(E8,Recetas!$A$5:$A$84,0)),"")+N(F8)))</f>
        <v>3020.47</v>
      </c>
      <c r="K8" s="15" t="n">
        <f aca="false">IF(AND(J8&lt;&gt;"",ISNUMBER(G8)),G8*Parametros!$B$12,"")</f>
        <v>6495.2752351223</v>
      </c>
      <c r="L8" s="15" t="n">
        <f aca="false">IF(AND(J8&lt;&gt;"",ISNUMBER(G8)),G8*Parametros!$B$13,"")</f>
        <v>2331.59464172016</v>
      </c>
      <c r="M8" s="14" t="n">
        <f aca="false">IF(AND(J8&lt;&gt;"",ISNUMBER(G8)),G8-J8-K8-L8,"")</f>
        <v>6555.66012315754</v>
      </c>
      <c r="N8" s="16" t="n">
        <f aca="false">IF(AND(J8&lt;&gt;"",ISNUMBER(G8)),M8/G8,"")</f>
        <v>0.356227795639708</v>
      </c>
      <c r="O8" s="15" t="n">
        <f aca="false">IF(OR(J8="",Parametros!$B$14&gt;=1),"",J8/(1-Parametros!$B$14))</f>
        <v>5804.61091224935</v>
      </c>
      <c r="P8" s="15" t="n">
        <f aca="false">IF(OR(J8="",Parametros!$B$14+Parametros!$B$18&gt;=1),"",J8/(1-Parametros!$B$14-Parametros!$B$18))</f>
        <v>7185.48733943908</v>
      </c>
      <c r="Q8" s="17" t="str">
        <f aca="false">IF(B8="","",IF(E8="","SIN RECETA",IF(J8="","FALTAN DATOS",IF(NOT(ISNUMBER(G8)),"FALTA PRECIO",IF(M8&lt;0,"PIERDE",IF(N8&lt;Parametros!$B$18,"BAJO META","OK"))))))</f>
        <v>OK</v>
      </c>
      <c r="R8" s="18" t="str">
        <f aca="false">IF(B8="","",IF(E8="","Elegir receta (molde).",IF(ISNA(MATCH(E8,Recetas!$A$5:$A$84,0)),"La receta no existe en Recetas.",IF(J8="","Completar la receta "&amp;E8&amp;": "&amp;INDEX(Recetas!$T$5:$T$84,MATCH(E8,Recetas!$A$5:$A$84,0)),IF(NOT(ISNUMBER(G8)),"Precio de venta.","")))))</f>
        <v/>
      </c>
    </row>
    <row r="9" customFormat="false" ht="22.35" hidden="false" customHeight="false" outlineLevel="0" collapsed="false">
      <c r="A9" s="10" t="s">
        <v>54</v>
      </c>
      <c r="B9" s="10" t="s">
        <v>55</v>
      </c>
      <c r="C9" s="10" t="s">
        <v>43</v>
      </c>
      <c r="D9" s="10" t="n">
        <v>139</v>
      </c>
      <c r="E9" s="11"/>
      <c r="F9" s="12"/>
      <c r="G9" s="12" t="n">
        <v>17563</v>
      </c>
      <c r="H9" s="11" t="s">
        <v>45</v>
      </c>
      <c r="I9" s="13" t="s">
        <v>56</v>
      </c>
      <c r="J9" s="14" t="str">
        <f aca="false">IF(OR(B9="",E9=""),"",IF(IFERROR(INDEX(Recetas!$S$5:$S$84,MATCH(E9,Recetas!$A$5:$A$84,0)),"")="","",IFERROR(INDEX(Recetas!$S$5:$S$84,MATCH(E9,Recetas!$A$5:$A$84,0)),"")+N(F9)))</f>
        <v/>
      </c>
      <c r="K9" s="15" t="str">
        <f aca="false">IF(AND(J9&lt;&gt;"",ISNUMBER(G9)),G9*Parametros!$B$12,"")</f>
        <v/>
      </c>
      <c r="L9" s="15" t="str">
        <f aca="false">IF(AND(J9&lt;&gt;"",ISNUMBER(G9)),G9*Parametros!$B$13,"")</f>
        <v/>
      </c>
      <c r="M9" s="14" t="str">
        <f aca="false">IF(AND(J9&lt;&gt;"",ISNUMBER(G9)),G9-J9-K9-L9,"")</f>
        <v/>
      </c>
      <c r="N9" s="16" t="str">
        <f aca="false">IF(AND(J9&lt;&gt;"",ISNUMBER(G9)),M9/G9,"")</f>
        <v/>
      </c>
      <c r="O9" s="15" t="str">
        <f aca="false">IF(OR(J9="",Parametros!$B$14&gt;=1),"",J9/(1-Parametros!$B$14))</f>
        <v/>
      </c>
      <c r="P9" s="15" t="str">
        <f aca="false">IF(OR(J9="",Parametros!$B$14+Parametros!$B$18&gt;=1),"",J9/(1-Parametros!$B$14-Parametros!$B$18))</f>
        <v/>
      </c>
      <c r="Q9" s="17" t="str">
        <f aca="false">IF(B9="","",IF(E9="","SIN RECETA",IF(J9="","FALTAN DATOS",IF(NOT(ISNUMBER(G9)),"FALTA PRECIO",IF(M9&lt;0,"PIERDE",IF(N9&lt;Parametros!$B$18,"BAJO META","OK"))))))</f>
        <v>SIN RECETA</v>
      </c>
      <c r="R9" s="18" t="str">
        <f aca="false">IF(B9="","",IF(E9="","Elegir receta (molde).",IF(ISNA(MATCH(E9,Recetas!$A$5:$A$84,0)),"La receta no existe en Recetas.",IF(J9="","Completar la receta "&amp;E9&amp;": "&amp;INDEX(Recetas!$T$5:$T$84,MATCH(E9,Recetas!$A$5:$A$84,0)),IF(NOT(ISNUMBER(G9)),"Precio de venta.","")))))</f>
        <v>Elegir receta (molde).</v>
      </c>
    </row>
    <row r="10" customFormat="false" ht="15" hidden="false" customHeight="false" outlineLevel="0" collapsed="false">
      <c r="A10" s="10" t="s">
        <v>57</v>
      </c>
      <c r="B10" s="10" t="s">
        <v>58</v>
      </c>
      <c r="C10" s="10" t="s">
        <v>43</v>
      </c>
      <c r="D10" s="10" t="n">
        <v>109</v>
      </c>
      <c r="E10" s="11" t="s">
        <v>52</v>
      </c>
      <c r="F10" s="12"/>
      <c r="G10" s="12" t="n">
        <v>18403</v>
      </c>
      <c r="H10" s="11" t="s">
        <v>45</v>
      </c>
      <c r="I10" s="13" t="s">
        <v>59</v>
      </c>
      <c r="J10" s="14" t="n">
        <f aca="false">IF(OR(B10="",E10=""),"",IF(IFERROR(INDEX(Recetas!$S$5:$S$84,MATCH(E10,Recetas!$A$5:$A$84,0)),"")="","",IFERROR(INDEX(Recetas!$S$5:$S$84,MATCH(E10,Recetas!$A$5:$A$84,0)),"")+N(F10)))</f>
        <v>3020.47</v>
      </c>
      <c r="K10" s="15" t="n">
        <f aca="false">IF(AND(J10&lt;&gt;"",ISNUMBER(G10)),G10*Parametros!$B$12,"")</f>
        <v>6495.2752351223</v>
      </c>
      <c r="L10" s="15" t="n">
        <f aca="false">IF(AND(J10&lt;&gt;"",ISNUMBER(G10)),G10*Parametros!$B$13,"")</f>
        <v>2331.59464172016</v>
      </c>
      <c r="M10" s="14" t="n">
        <f aca="false">IF(AND(J10&lt;&gt;"",ISNUMBER(G10)),G10-J10-K10-L10,"")</f>
        <v>6555.66012315754</v>
      </c>
      <c r="N10" s="16" t="n">
        <f aca="false">IF(AND(J10&lt;&gt;"",ISNUMBER(G10)),M10/G10,"")</f>
        <v>0.356227795639708</v>
      </c>
      <c r="O10" s="15" t="n">
        <f aca="false">IF(OR(J10="",Parametros!$B$14&gt;=1),"",J10/(1-Parametros!$B$14))</f>
        <v>5804.61091224935</v>
      </c>
      <c r="P10" s="15" t="n">
        <f aca="false">IF(OR(J10="",Parametros!$B$14+Parametros!$B$18&gt;=1),"",J10/(1-Parametros!$B$14-Parametros!$B$18))</f>
        <v>7185.48733943908</v>
      </c>
      <c r="Q10" s="17" t="str">
        <f aca="false">IF(B10="","",IF(E10="","SIN RECETA",IF(J10="","FALTAN DATOS",IF(NOT(ISNUMBER(G10)),"FALTA PRECIO",IF(M10&lt;0,"PIERDE",IF(N10&lt;Parametros!$B$18,"BAJO META","OK"))))))</f>
        <v>OK</v>
      </c>
      <c r="R10" s="18" t="str">
        <f aca="false">IF(B10="","",IF(E10="","Elegir receta (molde).",IF(ISNA(MATCH(E10,Recetas!$A$5:$A$84,0)),"La receta no existe en Recetas.",IF(J10="","Completar la receta "&amp;E10&amp;": "&amp;INDEX(Recetas!$T$5:$T$84,MATCH(E10,Recetas!$A$5:$A$84,0)),IF(NOT(ISNUMBER(G10)),"Precio de venta.","")))))</f>
        <v/>
      </c>
    </row>
    <row r="11" customFormat="false" ht="23.85" hidden="false" customHeight="false" outlineLevel="0" collapsed="false">
      <c r="A11" s="10" t="s">
        <v>60</v>
      </c>
      <c r="B11" s="10" t="s">
        <v>61</v>
      </c>
      <c r="C11" s="10" t="s">
        <v>43</v>
      </c>
      <c r="D11" s="10" t="n">
        <v>109</v>
      </c>
      <c r="E11" s="11" t="s">
        <v>62</v>
      </c>
      <c r="F11" s="12"/>
      <c r="G11" s="12" t="n">
        <v>16589</v>
      </c>
      <c r="H11" s="11" t="s">
        <v>45</v>
      </c>
      <c r="I11" s="13" t="s">
        <v>63</v>
      </c>
      <c r="J11" s="14" t="str">
        <f aca="false">IF(OR(B11="",E11=""),"",IF(IFERROR(INDEX(Recetas!$S$5:$S$84,MATCH(E11,Recetas!$A$5:$A$84,0)),"")="","",IFERROR(INDEX(Recetas!$S$5:$S$84,MATCH(E11,Recetas!$A$5:$A$84,0)),"")+N(F11)))</f>
        <v/>
      </c>
      <c r="K11" s="15" t="str">
        <f aca="false">IF(AND(J11&lt;&gt;"",ISNUMBER(G11)),G11*Parametros!$B$12,"")</f>
        <v/>
      </c>
      <c r="L11" s="15" t="str">
        <f aca="false">IF(AND(J11&lt;&gt;"",ISNUMBER(G11)),G11*Parametros!$B$13,"")</f>
        <v/>
      </c>
      <c r="M11" s="14" t="str">
        <f aca="false">IF(AND(J11&lt;&gt;"",ISNUMBER(G11)),G11-J11-K11-L11,"")</f>
        <v/>
      </c>
      <c r="N11" s="16" t="str">
        <f aca="false">IF(AND(J11&lt;&gt;"",ISNUMBER(G11)),M11/G11,"")</f>
        <v/>
      </c>
      <c r="O11" s="15" t="str">
        <f aca="false">IF(OR(J11="",Parametros!$B$14&gt;=1),"",J11/(1-Parametros!$B$14))</f>
        <v/>
      </c>
      <c r="P11" s="15" t="str">
        <f aca="false">IF(OR(J11="",Parametros!$B$14+Parametros!$B$18&gt;=1),"",J11/(1-Parametros!$B$14-Parametros!$B$18))</f>
        <v/>
      </c>
      <c r="Q11" s="17" t="str">
        <f aca="false">IF(B11="","",IF(E11="","SIN RECETA",IF(J11="","FALTAN DATOS",IF(NOT(ISNUMBER(G11)),"FALTA PRECIO",IF(M11&lt;0,"PIERDE",IF(N11&lt;Parametros!$B$18,"BAJO META","OK"))))))</f>
        <v>FALTAN DATOS</v>
      </c>
      <c r="R11" s="18" t="str">
        <f aca="false">IF(B11="","",IF(E11="","Elegir receta (molde).",IF(ISNA(MATCH(E11,Recetas!$A$5:$A$84,0)),"La receta no existe en Recetas.",IF(J11="","Completar la receta "&amp;E11&amp;": "&amp;INDEX(Recetas!$T$5:$T$84,MATCH(E11,Recetas!$A$5:$A$84,0)),IF(NOT(ISNUMBER(G11)),"Precio de venta.","")))))</f>
        <v>Completar la receta 06 · FUTHOMV01: Tela. Kg de tela. Metros impresos. </v>
      </c>
    </row>
    <row r="12" customFormat="false" ht="22.35" hidden="false" customHeight="false" outlineLevel="0" collapsed="false">
      <c r="A12" s="10" t="s">
        <v>64</v>
      </c>
      <c r="B12" s="10" t="s">
        <v>65</v>
      </c>
      <c r="C12" s="10" t="s">
        <v>66</v>
      </c>
      <c r="D12" s="10" t="n">
        <v>109</v>
      </c>
      <c r="E12" s="11"/>
      <c r="F12" s="12"/>
      <c r="G12" s="12" t="n">
        <v>17004</v>
      </c>
      <c r="H12" s="11" t="s">
        <v>45</v>
      </c>
      <c r="I12" s="13" t="s">
        <v>56</v>
      </c>
      <c r="J12" s="14" t="str">
        <f aca="false">IF(OR(B12="",E12=""),"",IF(IFERROR(INDEX(Recetas!$S$5:$S$84,MATCH(E12,Recetas!$A$5:$A$84,0)),"")="","",IFERROR(INDEX(Recetas!$S$5:$S$84,MATCH(E12,Recetas!$A$5:$A$84,0)),"")+N(F12)))</f>
        <v/>
      </c>
      <c r="K12" s="15" t="str">
        <f aca="false">IF(AND(J12&lt;&gt;"",ISNUMBER(G12)),G12*Parametros!$B$12,"")</f>
        <v/>
      </c>
      <c r="L12" s="15" t="str">
        <f aca="false">IF(AND(J12&lt;&gt;"",ISNUMBER(G12)),G12*Parametros!$B$13,"")</f>
        <v/>
      </c>
      <c r="M12" s="14" t="str">
        <f aca="false">IF(AND(J12&lt;&gt;"",ISNUMBER(G12)),G12-J12-K12-L12,"")</f>
        <v/>
      </c>
      <c r="N12" s="16" t="str">
        <f aca="false">IF(AND(J12&lt;&gt;"",ISNUMBER(G12)),M12/G12,"")</f>
        <v/>
      </c>
      <c r="O12" s="15" t="str">
        <f aca="false">IF(OR(J12="",Parametros!$B$14&gt;=1),"",J12/(1-Parametros!$B$14))</f>
        <v/>
      </c>
      <c r="P12" s="15" t="str">
        <f aca="false">IF(OR(J12="",Parametros!$B$14+Parametros!$B$18&gt;=1),"",J12/(1-Parametros!$B$14-Parametros!$B$18))</f>
        <v/>
      </c>
      <c r="Q12" s="17" t="str">
        <f aca="false">IF(B12="","",IF(E12="","SIN RECETA",IF(J12="","FALTAN DATOS",IF(NOT(ISNUMBER(G12)),"FALTA PRECIO",IF(M12&lt;0,"PIERDE",IF(N12&lt;Parametros!$B$18,"BAJO META","OK"))))))</f>
        <v>SIN RECETA</v>
      </c>
      <c r="R12" s="18" t="str">
        <f aca="false">IF(B12="","",IF(E12="","Elegir receta (molde).",IF(ISNA(MATCH(E12,Recetas!$A$5:$A$84,0)),"La receta no existe en Recetas.",IF(J12="","Completar la receta "&amp;E12&amp;": "&amp;INDEX(Recetas!$T$5:$T$84,MATCH(E12,Recetas!$A$5:$A$84,0)),IF(NOT(ISNUMBER(G12)),"Precio de venta.","")))))</f>
        <v>Elegir receta (molde).</v>
      </c>
    </row>
    <row r="13" customFormat="false" ht="22.35" hidden="false" customHeight="false" outlineLevel="0" collapsed="false">
      <c r="A13" s="10" t="s">
        <v>67</v>
      </c>
      <c r="B13" s="10" t="s">
        <v>68</v>
      </c>
      <c r="C13" s="10" t="s">
        <v>43</v>
      </c>
      <c r="D13" s="10" t="n">
        <v>100</v>
      </c>
      <c r="E13" s="11"/>
      <c r="F13" s="12"/>
      <c r="G13" s="12" t="n">
        <v>25714</v>
      </c>
      <c r="H13" s="11" t="s">
        <v>45</v>
      </c>
      <c r="I13" s="13" t="s">
        <v>56</v>
      </c>
      <c r="J13" s="14" t="str">
        <f aca="false">IF(OR(B13="",E13=""),"",IF(IFERROR(INDEX(Recetas!$S$5:$S$84,MATCH(E13,Recetas!$A$5:$A$84,0)),"")="","",IFERROR(INDEX(Recetas!$S$5:$S$84,MATCH(E13,Recetas!$A$5:$A$84,0)),"")+N(F13)))</f>
        <v/>
      </c>
      <c r="K13" s="15" t="str">
        <f aca="false">IF(AND(J13&lt;&gt;"",ISNUMBER(G13)),G13*Parametros!$B$12,"")</f>
        <v/>
      </c>
      <c r="L13" s="15" t="str">
        <f aca="false">IF(AND(J13&lt;&gt;"",ISNUMBER(G13)),G13*Parametros!$B$13,"")</f>
        <v/>
      </c>
      <c r="M13" s="14" t="str">
        <f aca="false">IF(AND(J13&lt;&gt;"",ISNUMBER(G13)),G13-J13-K13-L13,"")</f>
        <v/>
      </c>
      <c r="N13" s="16" t="str">
        <f aca="false">IF(AND(J13&lt;&gt;"",ISNUMBER(G13)),M13/G13,"")</f>
        <v/>
      </c>
      <c r="O13" s="15" t="str">
        <f aca="false">IF(OR(J13="",Parametros!$B$14&gt;=1),"",J13/(1-Parametros!$B$14))</f>
        <v/>
      </c>
      <c r="P13" s="15" t="str">
        <f aca="false">IF(OR(J13="",Parametros!$B$14+Parametros!$B$18&gt;=1),"",J13/(1-Parametros!$B$14-Parametros!$B$18))</f>
        <v/>
      </c>
      <c r="Q13" s="17" t="str">
        <f aca="false">IF(B13="","",IF(E13="","SIN RECETA",IF(J13="","FALTAN DATOS",IF(NOT(ISNUMBER(G13)),"FALTA PRECIO",IF(M13&lt;0,"PIERDE",IF(N13&lt;Parametros!$B$18,"BAJO META","OK"))))))</f>
        <v>SIN RECETA</v>
      </c>
      <c r="R13" s="18" t="str">
        <f aca="false">IF(B13="","",IF(E13="","Elegir receta (molde).",IF(ISNA(MATCH(E13,Recetas!$A$5:$A$84,0)),"La receta no existe en Recetas.",IF(J13="","Completar la receta "&amp;E13&amp;": "&amp;INDEX(Recetas!$T$5:$T$84,MATCH(E13,Recetas!$A$5:$A$84,0)),IF(NOT(ISNUMBER(G13)),"Precio de venta.","")))))</f>
        <v>Elegir receta (molde).</v>
      </c>
    </row>
    <row r="14" customFormat="false" ht="22.35" hidden="false" customHeight="false" outlineLevel="0" collapsed="false">
      <c r="A14" s="10" t="s">
        <v>69</v>
      </c>
      <c r="B14" s="10" t="s">
        <v>70</v>
      </c>
      <c r="C14" s="10" t="s">
        <v>66</v>
      </c>
      <c r="D14" s="10" t="n">
        <v>99</v>
      </c>
      <c r="E14" s="11"/>
      <c r="F14" s="12"/>
      <c r="G14" s="12" t="n">
        <v>18729</v>
      </c>
      <c r="H14" s="11" t="s">
        <v>45</v>
      </c>
      <c r="I14" s="13" t="s">
        <v>56</v>
      </c>
      <c r="J14" s="14" t="str">
        <f aca="false">IF(OR(B14="",E14=""),"",IF(IFERROR(INDEX(Recetas!$S$5:$S$84,MATCH(E14,Recetas!$A$5:$A$84,0)),"")="","",IFERROR(INDEX(Recetas!$S$5:$S$84,MATCH(E14,Recetas!$A$5:$A$84,0)),"")+N(F14)))</f>
        <v/>
      </c>
      <c r="K14" s="15" t="str">
        <f aca="false">IF(AND(J14&lt;&gt;"",ISNUMBER(G14)),G14*Parametros!$B$12,"")</f>
        <v/>
      </c>
      <c r="L14" s="15" t="str">
        <f aca="false">IF(AND(J14&lt;&gt;"",ISNUMBER(G14)),G14*Parametros!$B$13,"")</f>
        <v/>
      </c>
      <c r="M14" s="14" t="str">
        <f aca="false">IF(AND(J14&lt;&gt;"",ISNUMBER(G14)),G14-J14-K14-L14,"")</f>
        <v/>
      </c>
      <c r="N14" s="16" t="str">
        <f aca="false">IF(AND(J14&lt;&gt;"",ISNUMBER(G14)),M14/G14,"")</f>
        <v/>
      </c>
      <c r="O14" s="15" t="str">
        <f aca="false">IF(OR(J14="",Parametros!$B$14&gt;=1),"",J14/(1-Parametros!$B$14))</f>
        <v/>
      </c>
      <c r="P14" s="15" t="str">
        <f aca="false">IF(OR(J14="",Parametros!$B$14+Parametros!$B$18&gt;=1),"",J14/(1-Parametros!$B$14-Parametros!$B$18))</f>
        <v/>
      </c>
      <c r="Q14" s="17" t="str">
        <f aca="false">IF(B14="","",IF(E14="","SIN RECETA",IF(J14="","FALTAN DATOS",IF(NOT(ISNUMBER(G14)),"FALTA PRECIO",IF(M14&lt;0,"PIERDE",IF(N14&lt;Parametros!$B$18,"BAJO META","OK"))))))</f>
        <v>SIN RECETA</v>
      </c>
      <c r="R14" s="18" t="str">
        <f aca="false">IF(B14="","",IF(E14="","Elegir receta (molde).",IF(ISNA(MATCH(E14,Recetas!$A$5:$A$84,0)),"La receta no existe en Recetas.",IF(J14="","Completar la receta "&amp;E14&amp;": "&amp;INDEX(Recetas!$T$5:$T$84,MATCH(E14,Recetas!$A$5:$A$84,0)),IF(NOT(ISNUMBER(G14)),"Precio de venta.","")))))</f>
        <v>Elegir receta (molde).</v>
      </c>
    </row>
    <row r="15" customFormat="false" ht="22.35" hidden="false" customHeight="false" outlineLevel="0" collapsed="false">
      <c r="A15" s="10" t="s">
        <v>71</v>
      </c>
      <c r="B15" s="10" t="s">
        <v>72</v>
      </c>
      <c r="C15" s="10" t="s">
        <v>43</v>
      </c>
      <c r="D15" s="10" t="n">
        <v>96</v>
      </c>
      <c r="E15" s="11"/>
      <c r="F15" s="12"/>
      <c r="G15" s="12" t="n">
        <v>15588</v>
      </c>
      <c r="H15" s="11" t="s">
        <v>45</v>
      </c>
      <c r="I15" s="13" t="s">
        <v>56</v>
      </c>
      <c r="J15" s="14" t="str">
        <f aca="false">IF(OR(B15="",E15=""),"",IF(IFERROR(INDEX(Recetas!$S$5:$S$84,MATCH(E15,Recetas!$A$5:$A$84,0)),"")="","",IFERROR(INDEX(Recetas!$S$5:$S$84,MATCH(E15,Recetas!$A$5:$A$84,0)),"")+N(F15)))</f>
        <v/>
      </c>
      <c r="K15" s="15" t="str">
        <f aca="false">IF(AND(J15&lt;&gt;"",ISNUMBER(G15)),G15*Parametros!$B$12,"")</f>
        <v/>
      </c>
      <c r="L15" s="15" t="str">
        <f aca="false">IF(AND(J15&lt;&gt;"",ISNUMBER(G15)),G15*Parametros!$B$13,"")</f>
        <v/>
      </c>
      <c r="M15" s="14" t="str">
        <f aca="false">IF(AND(J15&lt;&gt;"",ISNUMBER(G15)),G15-J15-K15-L15,"")</f>
        <v/>
      </c>
      <c r="N15" s="16" t="str">
        <f aca="false">IF(AND(J15&lt;&gt;"",ISNUMBER(G15)),M15/G15,"")</f>
        <v/>
      </c>
      <c r="O15" s="15" t="str">
        <f aca="false">IF(OR(J15="",Parametros!$B$14&gt;=1),"",J15/(1-Parametros!$B$14))</f>
        <v/>
      </c>
      <c r="P15" s="15" t="str">
        <f aca="false">IF(OR(J15="",Parametros!$B$14+Parametros!$B$18&gt;=1),"",J15/(1-Parametros!$B$14-Parametros!$B$18))</f>
        <v/>
      </c>
      <c r="Q15" s="17" t="str">
        <f aca="false">IF(B15="","",IF(E15="","SIN RECETA",IF(J15="","FALTAN DATOS",IF(NOT(ISNUMBER(G15)),"FALTA PRECIO",IF(M15&lt;0,"PIERDE",IF(N15&lt;Parametros!$B$18,"BAJO META","OK"))))))</f>
        <v>SIN RECETA</v>
      </c>
      <c r="R15" s="18" t="str">
        <f aca="false">IF(B15="","",IF(E15="","Elegir receta (molde).",IF(ISNA(MATCH(E15,Recetas!$A$5:$A$84,0)),"La receta no existe en Recetas.",IF(J15="","Completar la receta "&amp;E15&amp;": "&amp;INDEX(Recetas!$T$5:$T$84,MATCH(E15,Recetas!$A$5:$A$84,0)),IF(NOT(ISNUMBER(G15)),"Precio de venta.","")))))</f>
        <v>Elegir receta (molde).</v>
      </c>
    </row>
    <row r="16" customFormat="false" ht="22.35" hidden="false" customHeight="false" outlineLevel="0" collapsed="false">
      <c r="A16" s="10" t="s">
        <v>73</v>
      </c>
      <c r="B16" s="10" t="s">
        <v>74</v>
      </c>
      <c r="C16" s="10" t="s">
        <v>43</v>
      </c>
      <c r="D16" s="10" t="n">
        <v>93</v>
      </c>
      <c r="E16" s="11"/>
      <c r="F16" s="12"/>
      <c r="G16" s="12" t="n">
        <v>21765</v>
      </c>
      <c r="H16" s="11" t="s">
        <v>45</v>
      </c>
      <c r="I16" s="13" t="s">
        <v>56</v>
      </c>
      <c r="J16" s="14" t="str">
        <f aca="false">IF(OR(B16="",E16=""),"",IF(IFERROR(INDEX(Recetas!$S$5:$S$84,MATCH(E16,Recetas!$A$5:$A$84,0)),"")="","",IFERROR(INDEX(Recetas!$S$5:$S$84,MATCH(E16,Recetas!$A$5:$A$84,0)),"")+N(F16)))</f>
        <v/>
      </c>
      <c r="K16" s="15" t="str">
        <f aca="false">IF(AND(J16&lt;&gt;"",ISNUMBER(G16)),G16*Parametros!$B$12,"")</f>
        <v/>
      </c>
      <c r="L16" s="15" t="str">
        <f aca="false">IF(AND(J16&lt;&gt;"",ISNUMBER(G16)),G16*Parametros!$B$13,"")</f>
        <v/>
      </c>
      <c r="M16" s="14" t="str">
        <f aca="false">IF(AND(J16&lt;&gt;"",ISNUMBER(G16)),G16-J16-K16-L16,"")</f>
        <v/>
      </c>
      <c r="N16" s="16" t="str">
        <f aca="false">IF(AND(J16&lt;&gt;"",ISNUMBER(G16)),M16/G16,"")</f>
        <v/>
      </c>
      <c r="O16" s="15" t="str">
        <f aca="false">IF(OR(J16="",Parametros!$B$14&gt;=1),"",J16/(1-Parametros!$B$14))</f>
        <v/>
      </c>
      <c r="P16" s="15" t="str">
        <f aca="false">IF(OR(J16="",Parametros!$B$14+Parametros!$B$18&gt;=1),"",J16/(1-Parametros!$B$14-Parametros!$B$18))</f>
        <v/>
      </c>
      <c r="Q16" s="17" t="str">
        <f aca="false">IF(B16="","",IF(E16="","SIN RECETA",IF(J16="","FALTAN DATOS",IF(NOT(ISNUMBER(G16)),"FALTA PRECIO",IF(M16&lt;0,"PIERDE",IF(N16&lt;Parametros!$B$18,"BAJO META","OK"))))))</f>
        <v>SIN RECETA</v>
      </c>
      <c r="R16" s="18" t="str">
        <f aca="false">IF(B16="","",IF(E16="","Elegir receta (molde).",IF(ISNA(MATCH(E16,Recetas!$A$5:$A$84,0)),"La receta no existe en Recetas.",IF(J16="","Completar la receta "&amp;E16&amp;": "&amp;INDEX(Recetas!$T$5:$T$84,MATCH(E16,Recetas!$A$5:$A$84,0)),IF(NOT(ISNUMBER(G16)),"Precio de venta.","")))))</f>
        <v>Elegir receta (molde).</v>
      </c>
    </row>
    <row r="17" customFormat="false" ht="22.35" hidden="false" customHeight="false" outlineLevel="0" collapsed="false">
      <c r="A17" s="10" t="s">
        <v>75</v>
      </c>
      <c r="B17" s="10" t="s">
        <v>76</v>
      </c>
      <c r="C17" s="10" t="s">
        <v>66</v>
      </c>
      <c r="D17" s="10" t="n">
        <v>76</v>
      </c>
      <c r="E17" s="11"/>
      <c r="F17" s="12"/>
      <c r="G17" s="12" t="n">
        <v>44010</v>
      </c>
      <c r="H17" s="11" t="s">
        <v>45</v>
      </c>
      <c r="I17" s="13" t="s">
        <v>56</v>
      </c>
      <c r="J17" s="14" t="str">
        <f aca="false">IF(OR(B17="",E17=""),"",IF(IFERROR(INDEX(Recetas!$S$5:$S$84,MATCH(E17,Recetas!$A$5:$A$84,0)),"")="","",IFERROR(INDEX(Recetas!$S$5:$S$84,MATCH(E17,Recetas!$A$5:$A$84,0)),"")+N(F17)))</f>
        <v/>
      </c>
      <c r="K17" s="15" t="str">
        <f aca="false">IF(AND(J17&lt;&gt;"",ISNUMBER(G17)),G17*Parametros!$B$12,"")</f>
        <v/>
      </c>
      <c r="L17" s="15" t="str">
        <f aca="false">IF(AND(J17&lt;&gt;"",ISNUMBER(G17)),G17*Parametros!$B$13,"")</f>
        <v/>
      </c>
      <c r="M17" s="14" t="str">
        <f aca="false">IF(AND(J17&lt;&gt;"",ISNUMBER(G17)),G17-J17-K17-L17,"")</f>
        <v/>
      </c>
      <c r="N17" s="16" t="str">
        <f aca="false">IF(AND(J17&lt;&gt;"",ISNUMBER(G17)),M17/G17,"")</f>
        <v/>
      </c>
      <c r="O17" s="15" t="str">
        <f aca="false">IF(OR(J17="",Parametros!$B$14&gt;=1),"",J17/(1-Parametros!$B$14))</f>
        <v/>
      </c>
      <c r="P17" s="15" t="str">
        <f aca="false">IF(OR(J17="",Parametros!$B$14+Parametros!$B$18&gt;=1),"",J17/(1-Parametros!$B$14-Parametros!$B$18))</f>
        <v/>
      </c>
      <c r="Q17" s="17" t="str">
        <f aca="false">IF(B17="","",IF(E17="","SIN RECETA",IF(J17="","FALTAN DATOS",IF(NOT(ISNUMBER(G17)),"FALTA PRECIO",IF(M17&lt;0,"PIERDE",IF(N17&lt;Parametros!$B$18,"BAJO META","OK"))))))</f>
        <v>SIN RECETA</v>
      </c>
      <c r="R17" s="18" t="str">
        <f aca="false">IF(B17="","",IF(E17="","Elegir receta (molde).",IF(ISNA(MATCH(E17,Recetas!$A$5:$A$84,0)),"La receta no existe en Recetas.",IF(J17="","Completar la receta "&amp;E17&amp;": "&amp;INDEX(Recetas!$T$5:$T$84,MATCH(E17,Recetas!$A$5:$A$84,0)),IF(NOT(ISNUMBER(G17)),"Precio de venta.","")))))</f>
        <v>Elegir receta (molde).</v>
      </c>
    </row>
    <row r="18" customFormat="false" ht="22.35" hidden="false" customHeight="false" outlineLevel="0" collapsed="false">
      <c r="A18" s="10" t="s">
        <v>77</v>
      </c>
      <c r="B18" s="10" t="s">
        <v>78</v>
      </c>
      <c r="C18" s="10" t="s">
        <v>43</v>
      </c>
      <c r="D18" s="10" t="n">
        <v>66</v>
      </c>
      <c r="E18" s="11"/>
      <c r="F18" s="12"/>
      <c r="G18" s="12" t="n">
        <v>21554</v>
      </c>
      <c r="H18" s="11" t="s">
        <v>45</v>
      </c>
      <c r="I18" s="13" t="s">
        <v>56</v>
      </c>
      <c r="J18" s="14" t="str">
        <f aca="false">IF(OR(B18="",E18=""),"",IF(IFERROR(INDEX(Recetas!$S$5:$S$84,MATCH(E18,Recetas!$A$5:$A$84,0)),"")="","",IFERROR(INDEX(Recetas!$S$5:$S$84,MATCH(E18,Recetas!$A$5:$A$84,0)),"")+N(F18)))</f>
        <v/>
      </c>
      <c r="K18" s="15" t="str">
        <f aca="false">IF(AND(J18&lt;&gt;"",ISNUMBER(G18)),G18*Parametros!$B$12,"")</f>
        <v/>
      </c>
      <c r="L18" s="15" t="str">
        <f aca="false">IF(AND(J18&lt;&gt;"",ISNUMBER(G18)),G18*Parametros!$B$13,"")</f>
        <v/>
      </c>
      <c r="M18" s="14" t="str">
        <f aca="false">IF(AND(J18&lt;&gt;"",ISNUMBER(G18)),G18-J18-K18-L18,"")</f>
        <v/>
      </c>
      <c r="N18" s="16" t="str">
        <f aca="false">IF(AND(J18&lt;&gt;"",ISNUMBER(G18)),M18/G18,"")</f>
        <v/>
      </c>
      <c r="O18" s="15" t="str">
        <f aca="false">IF(OR(J18="",Parametros!$B$14&gt;=1),"",J18/(1-Parametros!$B$14))</f>
        <v/>
      </c>
      <c r="P18" s="15" t="str">
        <f aca="false">IF(OR(J18="",Parametros!$B$14+Parametros!$B$18&gt;=1),"",J18/(1-Parametros!$B$14-Parametros!$B$18))</f>
        <v/>
      </c>
      <c r="Q18" s="17" t="str">
        <f aca="false">IF(B18="","",IF(E18="","SIN RECETA",IF(J18="","FALTAN DATOS",IF(NOT(ISNUMBER(G18)),"FALTA PRECIO",IF(M18&lt;0,"PIERDE",IF(N18&lt;Parametros!$B$18,"BAJO META","OK"))))))</f>
        <v>SIN RECETA</v>
      </c>
      <c r="R18" s="18" t="str">
        <f aca="false">IF(B18="","",IF(E18="","Elegir receta (molde).",IF(ISNA(MATCH(E18,Recetas!$A$5:$A$84,0)),"La receta no existe en Recetas.",IF(J18="","Completar la receta "&amp;E18&amp;": "&amp;INDEX(Recetas!$T$5:$T$84,MATCH(E18,Recetas!$A$5:$A$84,0)),IF(NOT(ISNUMBER(G18)),"Precio de venta.","")))))</f>
        <v>Elegir receta (molde).</v>
      </c>
    </row>
    <row r="19" customFormat="false" ht="15" hidden="false" customHeight="false" outlineLevel="0" collapsed="false">
      <c r="A19" s="10" t="s">
        <v>79</v>
      </c>
      <c r="B19" s="10" t="s">
        <v>80</v>
      </c>
      <c r="C19" s="10" t="s">
        <v>43</v>
      </c>
      <c r="D19" s="10" t="n">
        <v>65</v>
      </c>
      <c r="E19" s="11" t="s">
        <v>81</v>
      </c>
      <c r="F19" s="12"/>
      <c r="G19" s="12" t="n">
        <v>19244</v>
      </c>
      <c r="H19" s="11" t="s">
        <v>45</v>
      </c>
      <c r="I19" s="13"/>
      <c r="J19" s="14" t="n">
        <f aca="false">IF(OR(B19="",E19=""),"",IF(IFERROR(INDEX(Recetas!$S$5:$S$84,MATCH(E19,Recetas!$A$5:$A$84,0)),"")="","",IFERROR(INDEX(Recetas!$S$5:$S$84,MATCH(E19,Recetas!$A$5:$A$84,0)),"")+N(F19)))</f>
        <v>2148.008</v>
      </c>
      <c r="K19" s="15" t="n">
        <f aca="false">IF(AND(J19&lt;&gt;"",ISNUMBER(G19)),G19*Parametros!$B$12,"")</f>
        <v>6792.1032779815</v>
      </c>
      <c r="L19" s="15" t="n">
        <f aca="false">IF(AND(J19&lt;&gt;"",ISNUMBER(G19)),G19*Parametros!$B$13,"")</f>
        <v>2438.14635033759</v>
      </c>
      <c r="M19" s="14" t="n">
        <f aca="false">IF(AND(J19&lt;&gt;"",ISNUMBER(G19)),G19-J19-K19-L19,"")</f>
        <v>7865.74237168091</v>
      </c>
      <c r="N19" s="16" t="n">
        <f aca="false">IF(AND(J19&lt;&gt;"",ISNUMBER(G19)),M19/G19,"")</f>
        <v>0.40873739200171</v>
      </c>
      <c r="O19" s="15" t="n">
        <f aca="false">IF(OR(J19="",Parametros!$B$14&gt;=1),"",J19/(1-Parametros!$B$14))</f>
        <v>4127.95050982096</v>
      </c>
      <c r="P19" s="15" t="n">
        <f aca="false">IF(OR(J19="",Parametros!$B$14+Parametros!$B$18&gt;=1),"",J19/(1-Parametros!$B$14-Parametros!$B$18))</f>
        <v>5109.9611282396</v>
      </c>
      <c r="Q19" s="17" t="str">
        <f aca="false">IF(B19="","",IF(E19="","SIN RECETA",IF(J19="","FALTAN DATOS",IF(NOT(ISNUMBER(G19)),"FALTA PRECIO",IF(M19&lt;0,"PIERDE",IF(N19&lt;Parametros!$B$18,"BAJO META","OK"))))))</f>
        <v>OK</v>
      </c>
      <c r="R19" s="18" t="str">
        <f aca="false">IF(B19="","",IF(E19="","Elegir receta (molde).",IF(ISNA(MATCH(E19,Recetas!$A$5:$A$84,0)),"La receta no existe en Recetas.",IF(J19="","Completar la receta "&amp;E19&amp;": "&amp;INDEX(Recetas!$T$5:$T$84,MATCH(E19,Recetas!$A$5:$A$84,0)),IF(NOT(ISNUMBER(G19)),"Precio de venta.","")))))</f>
        <v/>
      </c>
    </row>
    <row r="20" customFormat="false" ht="22.35" hidden="false" customHeight="false" outlineLevel="0" collapsed="false">
      <c r="A20" s="10" t="s">
        <v>82</v>
      </c>
      <c r="B20" s="10" t="s">
        <v>83</v>
      </c>
      <c r="C20" s="10" t="s">
        <v>66</v>
      </c>
      <c r="D20" s="10" t="n">
        <v>62</v>
      </c>
      <c r="E20" s="11"/>
      <c r="F20" s="12"/>
      <c r="G20" s="12" t="n">
        <v>36050</v>
      </c>
      <c r="H20" s="11" t="s">
        <v>45</v>
      </c>
      <c r="I20" s="13" t="s">
        <v>56</v>
      </c>
      <c r="J20" s="14" t="str">
        <f aca="false">IF(OR(B20="",E20=""),"",IF(IFERROR(INDEX(Recetas!$S$5:$S$84,MATCH(E20,Recetas!$A$5:$A$84,0)),"")="","",IFERROR(INDEX(Recetas!$S$5:$S$84,MATCH(E20,Recetas!$A$5:$A$84,0)),"")+N(F20)))</f>
        <v/>
      </c>
      <c r="K20" s="15" t="str">
        <f aca="false">IF(AND(J20&lt;&gt;"",ISNUMBER(G20)),G20*Parametros!$B$12,"")</f>
        <v/>
      </c>
      <c r="L20" s="15" t="str">
        <f aca="false">IF(AND(J20&lt;&gt;"",ISNUMBER(G20)),G20*Parametros!$B$13,"")</f>
        <v/>
      </c>
      <c r="M20" s="14" t="str">
        <f aca="false">IF(AND(J20&lt;&gt;"",ISNUMBER(G20)),G20-J20-K20-L20,"")</f>
        <v/>
      </c>
      <c r="N20" s="16" t="str">
        <f aca="false">IF(AND(J20&lt;&gt;"",ISNUMBER(G20)),M20/G20,"")</f>
        <v/>
      </c>
      <c r="O20" s="15" t="str">
        <f aca="false">IF(OR(J20="",Parametros!$B$14&gt;=1),"",J20/(1-Parametros!$B$14))</f>
        <v/>
      </c>
      <c r="P20" s="15" t="str">
        <f aca="false">IF(OR(J20="",Parametros!$B$14+Parametros!$B$18&gt;=1),"",J20/(1-Parametros!$B$14-Parametros!$B$18))</f>
        <v/>
      </c>
      <c r="Q20" s="17" t="str">
        <f aca="false">IF(B20="","",IF(E20="","SIN RECETA",IF(J20="","FALTAN DATOS",IF(NOT(ISNUMBER(G20)),"FALTA PRECIO",IF(M20&lt;0,"PIERDE",IF(N20&lt;Parametros!$B$18,"BAJO META","OK"))))))</f>
        <v>SIN RECETA</v>
      </c>
      <c r="R20" s="18" t="str">
        <f aca="false">IF(B20="","",IF(E20="","Elegir receta (molde).",IF(ISNA(MATCH(E20,Recetas!$A$5:$A$84,0)),"La receta no existe en Recetas.",IF(J20="","Completar la receta "&amp;E20&amp;": "&amp;INDEX(Recetas!$T$5:$T$84,MATCH(E20,Recetas!$A$5:$A$84,0)),IF(NOT(ISNUMBER(G20)),"Precio de venta.","")))))</f>
        <v>Elegir receta (molde).</v>
      </c>
    </row>
    <row r="21" customFormat="false" ht="15" hidden="false" customHeight="false" outlineLevel="0" collapsed="false">
      <c r="A21" s="10" t="s">
        <v>84</v>
      </c>
      <c r="B21" s="10" t="s">
        <v>85</v>
      </c>
      <c r="C21" s="10" t="s">
        <v>43</v>
      </c>
      <c r="D21" s="10" t="n">
        <v>61</v>
      </c>
      <c r="E21" s="11" t="s">
        <v>86</v>
      </c>
      <c r="F21" s="12"/>
      <c r="G21" s="12" t="n">
        <v>12507</v>
      </c>
      <c r="H21" s="11" t="s">
        <v>45</v>
      </c>
      <c r="I21" s="13"/>
      <c r="J21" s="14" t="n">
        <f aca="false">IF(OR(B21="",E21=""),"",IF(IFERROR(INDEX(Recetas!$S$5:$S$84,MATCH(E21,Recetas!$A$5:$A$84,0)),"")="","",IFERROR(INDEX(Recetas!$S$5:$S$84,MATCH(E21,Recetas!$A$5:$A$84,0)),"")+N(F21)))</f>
        <v>2706.55</v>
      </c>
      <c r="K21" s="15" t="n">
        <f aca="false">IF(AND(J21&lt;&gt;"",ISNUMBER(G21)),G21*Parametros!$B$12,"")</f>
        <v>4414.3024162188</v>
      </c>
      <c r="L21" s="15" t="n">
        <f aca="false">IF(AND(J21&lt;&gt;"",ISNUMBER(G21)),G21*Parametros!$B$13,"")</f>
        <v>1584.59241341053</v>
      </c>
      <c r="M21" s="14" t="n">
        <f aca="false">IF(AND(J21&lt;&gt;"",ISNUMBER(G21)),G21-J21-K21-L21,"")</f>
        <v>3801.55517037067</v>
      </c>
      <c r="N21" s="16" t="n">
        <f aca="false">IF(AND(J21&lt;&gt;"",ISNUMBER(G21)),M21/G21,"")</f>
        <v>0.303954199278058</v>
      </c>
      <c r="O21" s="15" t="n">
        <f aca="false">IF(OR(J21="",Parametros!$B$14&gt;=1),"",J21/(1-Parametros!$B$14))</f>
        <v>5201.33279408452</v>
      </c>
      <c r="P21" s="15" t="n">
        <f aca="false">IF(OR(J21="",Parametros!$B$14+Parametros!$B$18&gt;=1),"",J21/(1-Parametros!$B$14-Parametros!$B$18))</f>
        <v>6438.69356708024</v>
      </c>
      <c r="Q21" s="17" t="str">
        <f aca="false">IF(B21="","",IF(E21="","SIN RECETA",IF(J21="","FALTAN DATOS",IF(NOT(ISNUMBER(G21)),"FALTA PRECIO",IF(M21&lt;0,"PIERDE",IF(N21&lt;Parametros!$B$18,"BAJO META","OK"))))))</f>
        <v>OK</v>
      </c>
      <c r="R21" s="18" t="str">
        <f aca="false">IF(B21="","",IF(E21="","Elegir receta (molde).",IF(ISNA(MATCH(E21,Recetas!$A$5:$A$84,0)),"La receta no existe en Recetas.",IF(J21="","Completar la receta "&amp;E21&amp;": "&amp;INDEX(Recetas!$T$5:$T$84,MATCH(E21,Recetas!$A$5:$A$84,0)),IF(NOT(ISNUMBER(G21)),"Precio de venta.","")))))</f>
        <v/>
      </c>
    </row>
    <row r="22" customFormat="false" ht="22.35" hidden="false" customHeight="false" outlineLevel="0" collapsed="false">
      <c r="A22" s="10" t="s">
        <v>87</v>
      </c>
      <c r="B22" s="10" t="s">
        <v>88</v>
      </c>
      <c r="C22" s="10" t="s">
        <v>66</v>
      </c>
      <c r="D22" s="10" t="n">
        <v>60</v>
      </c>
      <c r="E22" s="11"/>
      <c r="F22" s="12"/>
      <c r="G22" s="12" t="n">
        <v>41933</v>
      </c>
      <c r="H22" s="11" t="s">
        <v>45</v>
      </c>
      <c r="I22" s="13" t="s">
        <v>56</v>
      </c>
      <c r="J22" s="14" t="str">
        <f aca="false">IF(OR(B22="",E22=""),"",IF(IFERROR(INDEX(Recetas!$S$5:$S$84,MATCH(E22,Recetas!$A$5:$A$84,0)),"")="","",IFERROR(INDEX(Recetas!$S$5:$S$84,MATCH(E22,Recetas!$A$5:$A$84,0)),"")+N(F22)))</f>
        <v/>
      </c>
      <c r="K22" s="15" t="str">
        <f aca="false">IF(AND(J22&lt;&gt;"",ISNUMBER(G22)),G22*Parametros!$B$12,"")</f>
        <v/>
      </c>
      <c r="L22" s="15" t="str">
        <f aca="false">IF(AND(J22&lt;&gt;"",ISNUMBER(G22)),G22*Parametros!$B$13,"")</f>
        <v/>
      </c>
      <c r="M22" s="14" t="str">
        <f aca="false">IF(AND(J22&lt;&gt;"",ISNUMBER(G22)),G22-J22-K22-L22,"")</f>
        <v/>
      </c>
      <c r="N22" s="16" t="str">
        <f aca="false">IF(AND(J22&lt;&gt;"",ISNUMBER(G22)),M22/G22,"")</f>
        <v/>
      </c>
      <c r="O22" s="15" t="str">
        <f aca="false">IF(OR(J22="",Parametros!$B$14&gt;=1),"",J22/(1-Parametros!$B$14))</f>
        <v/>
      </c>
      <c r="P22" s="15" t="str">
        <f aca="false">IF(OR(J22="",Parametros!$B$14+Parametros!$B$18&gt;=1),"",J22/(1-Parametros!$B$14-Parametros!$B$18))</f>
        <v/>
      </c>
      <c r="Q22" s="17" t="str">
        <f aca="false">IF(B22="","",IF(E22="","SIN RECETA",IF(J22="","FALTAN DATOS",IF(NOT(ISNUMBER(G22)),"FALTA PRECIO",IF(M22&lt;0,"PIERDE",IF(N22&lt;Parametros!$B$18,"BAJO META","OK"))))))</f>
        <v>SIN RECETA</v>
      </c>
      <c r="R22" s="18" t="str">
        <f aca="false">IF(B22="","",IF(E22="","Elegir receta (molde).",IF(ISNA(MATCH(E22,Recetas!$A$5:$A$84,0)),"La receta no existe en Recetas.",IF(J22="","Completar la receta "&amp;E22&amp;": "&amp;INDEX(Recetas!$T$5:$T$84,MATCH(E22,Recetas!$A$5:$A$84,0)),IF(NOT(ISNUMBER(G22)),"Precio de venta.","")))))</f>
        <v>Elegir receta (molde).</v>
      </c>
    </row>
    <row r="23" customFormat="false" ht="15" hidden="false" customHeight="false" outlineLevel="0" collapsed="false">
      <c r="A23" s="10" t="s">
        <v>89</v>
      </c>
      <c r="B23" s="10" t="s">
        <v>90</v>
      </c>
      <c r="C23" s="10" t="s">
        <v>43</v>
      </c>
      <c r="D23" s="10" t="n">
        <v>55</v>
      </c>
      <c r="E23" s="11" t="s">
        <v>91</v>
      </c>
      <c r="F23" s="12"/>
      <c r="G23" s="12" t="n">
        <v>8059</v>
      </c>
      <c r="H23" s="11" t="s">
        <v>45</v>
      </c>
      <c r="I23" s="13" t="s">
        <v>92</v>
      </c>
      <c r="J23" s="14" t="n">
        <f aca="false">IF(OR(B23="",E23=""),"",IF(IFERROR(INDEX(Recetas!$S$5:$S$84,MATCH(E23,Recetas!$A$5:$A$84,0)),"")="","",IFERROR(INDEX(Recetas!$S$5:$S$84,MATCH(E23,Recetas!$A$5:$A$84,0)),"")+N(F23)))</f>
        <v>2601.04</v>
      </c>
      <c r="K23" s="15" t="n">
        <f aca="false">IF(AND(J23&lt;&gt;"",ISNUMBER(G23)),G23*Parametros!$B$12,"")</f>
        <v>2844.39619191711</v>
      </c>
      <c r="L23" s="15" t="n">
        <f aca="false">IF(AND(J23&lt;&gt;"",ISNUMBER(G23)),G23*Parametros!$B$13,"")</f>
        <v>1021.04663465863</v>
      </c>
      <c r="M23" s="14" t="n">
        <f aca="false">IF(AND(J23&lt;&gt;"",ISNUMBER(G23)),G23-J23-K23-L23,"")</f>
        <v>1592.51717342426</v>
      </c>
      <c r="N23" s="16" t="n">
        <f aca="false">IF(AND(J23&lt;&gt;"",ISNUMBER(G23)),M23/G23,"")</f>
        <v>0.197607292892947</v>
      </c>
      <c r="O23" s="15" t="n">
        <f aca="false">IF(OR(J23="",Parametros!$B$14&gt;=1),"",J23/(1-Parametros!$B$14))</f>
        <v>4998.56815899415</v>
      </c>
      <c r="P23" s="15" t="n">
        <f aca="false">IF(OR(J23="",Parametros!$B$14+Parametros!$B$18&gt;=1),"",J23/(1-Parametros!$B$14-Parametros!$B$18))</f>
        <v>6187.69264034227</v>
      </c>
      <c r="Q23" s="17" t="str">
        <f aca="false">IF(B23="","",IF(E23="","SIN RECETA",IF(J23="","FALTAN DATOS",IF(NOT(ISNUMBER(G23)),"FALTA PRECIO",IF(M23&lt;0,"PIERDE",IF(N23&lt;Parametros!$B$18,"BAJO META","OK"))))))</f>
        <v>OK</v>
      </c>
      <c r="R23" s="18" t="str">
        <f aca="false">IF(B23="","",IF(E23="","Elegir receta (molde).",IF(ISNA(MATCH(E23,Recetas!$A$5:$A$84,0)),"La receta no existe en Recetas.",IF(J23="","Completar la receta "&amp;E23&amp;": "&amp;INDEX(Recetas!$T$5:$T$84,MATCH(E23,Recetas!$A$5:$A$84,0)),IF(NOT(ISNUMBER(G23)),"Precio de venta.","")))))</f>
        <v/>
      </c>
    </row>
    <row r="24" customFormat="false" ht="22.35" hidden="false" customHeight="false" outlineLevel="0" collapsed="false">
      <c r="A24" s="10" t="s">
        <v>93</v>
      </c>
      <c r="B24" s="10" t="s">
        <v>94</v>
      </c>
      <c r="C24" s="10" t="s">
        <v>43</v>
      </c>
      <c r="D24" s="10" t="n">
        <v>50</v>
      </c>
      <c r="E24" s="11"/>
      <c r="F24" s="12"/>
      <c r="G24" s="12" t="n">
        <v>19244</v>
      </c>
      <c r="H24" s="11" t="s">
        <v>45</v>
      </c>
      <c r="I24" s="13" t="s">
        <v>56</v>
      </c>
      <c r="J24" s="14" t="str">
        <f aca="false">IF(OR(B24="",E24=""),"",IF(IFERROR(INDEX(Recetas!$S$5:$S$84,MATCH(E24,Recetas!$A$5:$A$84,0)),"")="","",IFERROR(INDEX(Recetas!$S$5:$S$84,MATCH(E24,Recetas!$A$5:$A$84,0)),"")+N(F24)))</f>
        <v/>
      </c>
      <c r="K24" s="15" t="str">
        <f aca="false">IF(AND(J24&lt;&gt;"",ISNUMBER(G24)),G24*Parametros!$B$12,"")</f>
        <v/>
      </c>
      <c r="L24" s="15" t="str">
        <f aca="false">IF(AND(J24&lt;&gt;"",ISNUMBER(G24)),G24*Parametros!$B$13,"")</f>
        <v/>
      </c>
      <c r="M24" s="14" t="str">
        <f aca="false">IF(AND(J24&lt;&gt;"",ISNUMBER(G24)),G24-J24-K24-L24,"")</f>
        <v/>
      </c>
      <c r="N24" s="16" t="str">
        <f aca="false">IF(AND(J24&lt;&gt;"",ISNUMBER(G24)),M24/G24,"")</f>
        <v/>
      </c>
      <c r="O24" s="15" t="str">
        <f aca="false">IF(OR(J24="",Parametros!$B$14&gt;=1),"",J24/(1-Parametros!$B$14))</f>
        <v/>
      </c>
      <c r="P24" s="15" t="str">
        <f aca="false">IF(OR(J24="",Parametros!$B$14+Parametros!$B$18&gt;=1),"",J24/(1-Parametros!$B$14-Parametros!$B$18))</f>
        <v/>
      </c>
      <c r="Q24" s="17" t="str">
        <f aca="false">IF(B24="","",IF(E24="","SIN RECETA",IF(J24="","FALTAN DATOS",IF(NOT(ISNUMBER(G24)),"FALTA PRECIO",IF(M24&lt;0,"PIERDE",IF(N24&lt;Parametros!$B$18,"BAJO META","OK"))))))</f>
        <v>SIN RECETA</v>
      </c>
      <c r="R24" s="18" t="str">
        <f aca="false">IF(B24="","",IF(E24="","Elegir receta (molde).",IF(ISNA(MATCH(E24,Recetas!$A$5:$A$84,0)),"La receta no existe en Recetas.",IF(J24="","Completar la receta "&amp;E24&amp;": "&amp;INDEX(Recetas!$T$5:$T$84,MATCH(E24,Recetas!$A$5:$A$84,0)),IF(NOT(ISNUMBER(G24)),"Precio de venta.","")))))</f>
        <v>Elegir receta (molde).</v>
      </c>
    </row>
    <row r="25" customFormat="false" ht="22.35" hidden="false" customHeight="false" outlineLevel="0" collapsed="false">
      <c r="A25" s="10" t="s">
        <v>95</v>
      </c>
      <c r="B25" s="10" t="s">
        <v>96</v>
      </c>
      <c r="C25" s="10" t="s">
        <v>43</v>
      </c>
      <c r="D25" s="10" t="n">
        <v>48</v>
      </c>
      <c r="E25" s="11"/>
      <c r="F25" s="12"/>
      <c r="G25" s="12" t="n">
        <v>8319</v>
      </c>
      <c r="H25" s="11" t="s">
        <v>45</v>
      </c>
      <c r="I25" s="13" t="s">
        <v>56</v>
      </c>
      <c r="J25" s="14" t="str">
        <f aca="false">IF(OR(B25="",E25=""),"",IF(IFERROR(INDEX(Recetas!$S$5:$S$84,MATCH(E25,Recetas!$A$5:$A$84,0)),"")="","",IFERROR(INDEX(Recetas!$S$5:$S$84,MATCH(E25,Recetas!$A$5:$A$84,0)),"")+N(F25)))</f>
        <v/>
      </c>
      <c r="K25" s="15" t="str">
        <f aca="false">IF(AND(J25&lt;&gt;"",ISNUMBER(G25)),G25*Parametros!$B$12,"")</f>
        <v/>
      </c>
      <c r="L25" s="15" t="str">
        <f aca="false">IF(AND(J25&lt;&gt;"",ISNUMBER(G25)),G25*Parametros!$B$13,"")</f>
        <v/>
      </c>
      <c r="M25" s="14" t="str">
        <f aca="false">IF(AND(J25&lt;&gt;"",ISNUMBER(G25)),G25-J25-K25-L25,"")</f>
        <v/>
      </c>
      <c r="N25" s="16" t="str">
        <f aca="false">IF(AND(J25&lt;&gt;"",ISNUMBER(G25)),M25/G25,"")</f>
        <v/>
      </c>
      <c r="O25" s="15" t="str">
        <f aca="false">IF(OR(J25="",Parametros!$B$14&gt;=1),"",J25/(1-Parametros!$B$14))</f>
        <v/>
      </c>
      <c r="P25" s="15" t="str">
        <f aca="false">IF(OR(J25="",Parametros!$B$14+Parametros!$B$18&gt;=1),"",J25/(1-Parametros!$B$14-Parametros!$B$18))</f>
        <v/>
      </c>
      <c r="Q25" s="17" t="str">
        <f aca="false">IF(B25="","",IF(E25="","SIN RECETA",IF(J25="","FALTAN DATOS",IF(NOT(ISNUMBER(G25)),"FALTA PRECIO",IF(M25&lt;0,"PIERDE",IF(N25&lt;Parametros!$B$18,"BAJO META","OK"))))))</f>
        <v>SIN RECETA</v>
      </c>
      <c r="R25" s="18" t="str">
        <f aca="false">IF(B25="","",IF(E25="","Elegir receta (molde).",IF(ISNA(MATCH(E25,Recetas!$A$5:$A$84,0)),"La receta no existe en Recetas.",IF(J25="","Completar la receta "&amp;E25&amp;": "&amp;INDEX(Recetas!$T$5:$T$84,MATCH(E25,Recetas!$A$5:$A$84,0)),IF(NOT(ISNUMBER(G25)),"Precio de venta.","")))))</f>
        <v>Elegir receta (molde).</v>
      </c>
    </row>
    <row r="26" customFormat="false" ht="22.35" hidden="false" customHeight="false" outlineLevel="0" collapsed="false">
      <c r="A26" s="10" t="s">
        <v>97</v>
      </c>
      <c r="B26" s="10" t="s">
        <v>98</v>
      </c>
      <c r="C26" s="10" t="s">
        <v>43</v>
      </c>
      <c r="D26" s="10" t="n">
        <v>48</v>
      </c>
      <c r="E26" s="11"/>
      <c r="F26" s="12"/>
      <c r="G26" s="12" t="n">
        <v>16723</v>
      </c>
      <c r="H26" s="11" t="s">
        <v>45</v>
      </c>
      <c r="I26" s="13" t="s">
        <v>56</v>
      </c>
      <c r="J26" s="14" t="str">
        <f aca="false">IF(OR(B26="",E26=""),"",IF(IFERROR(INDEX(Recetas!$S$5:$S$84,MATCH(E26,Recetas!$A$5:$A$84,0)),"")="","",IFERROR(INDEX(Recetas!$S$5:$S$84,MATCH(E26,Recetas!$A$5:$A$84,0)),"")+N(F26)))</f>
        <v/>
      </c>
      <c r="K26" s="15" t="str">
        <f aca="false">IF(AND(J26&lt;&gt;"",ISNUMBER(G26)),G26*Parametros!$B$12,"")</f>
        <v/>
      </c>
      <c r="L26" s="15" t="str">
        <f aca="false">IF(AND(J26&lt;&gt;"",ISNUMBER(G26)),G26*Parametros!$B$13,"")</f>
        <v/>
      </c>
      <c r="M26" s="14" t="str">
        <f aca="false">IF(AND(J26&lt;&gt;"",ISNUMBER(G26)),G26-J26-K26-L26,"")</f>
        <v/>
      </c>
      <c r="N26" s="16" t="str">
        <f aca="false">IF(AND(J26&lt;&gt;"",ISNUMBER(G26)),M26/G26,"")</f>
        <v/>
      </c>
      <c r="O26" s="15" t="str">
        <f aca="false">IF(OR(J26="",Parametros!$B$14&gt;=1),"",J26/(1-Parametros!$B$14))</f>
        <v/>
      </c>
      <c r="P26" s="15" t="str">
        <f aca="false">IF(OR(J26="",Parametros!$B$14+Parametros!$B$18&gt;=1),"",J26/(1-Parametros!$B$14-Parametros!$B$18))</f>
        <v/>
      </c>
      <c r="Q26" s="17" t="str">
        <f aca="false">IF(B26="","",IF(E26="","SIN RECETA",IF(J26="","FALTAN DATOS",IF(NOT(ISNUMBER(G26)),"FALTA PRECIO",IF(M26&lt;0,"PIERDE",IF(N26&lt;Parametros!$B$18,"BAJO META","OK"))))))</f>
        <v>SIN RECETA</v>
      </c>
      <c r="R26" s="18" t="str">
        <f aca="false">IF(B26="","",IF(E26="","Elegir receta (molde).",IF(ISNA(MATCH(E26,Recetas!$A$5:$A$84,0)),"La receta no existe en Recetas.",IF(J26="","Completar la receta "&amp;E26&amp;": "&amp;INDEX(Recetas!$T$5:$T$84,MATCH(E26,Recetas!$A$5:$A$84,0)),IF(NOT(ISNUMBER(G26)),"Precio de venta.","")))))</f>
        <v>Elegir receta (molde).</v>
      </c>
    </row>
    <row r="27" customFormat="false" ht="22.35" hidden="false" customHeight="false" outlineLevel="0" collapsed="false">
      <c r="A27" s="10" t="s">
        <v>99</v>
      </c>
      <c r="B27" s="10" t="s">
        <v>100</v>
      </c>
      <c r="C27" s="10" t="s">
        <v>66</v>
      </c>
      <c r="D27" s="10" t="n">
        <v>47</v>
      </c>
      <c r="E27" s="11"/>
      <c r="F27" s="12"/>
      <c r="G27" s="12" t="n">
        <v>26134</v>
      </c>
      <c r="H27" s="11" t="s">
        <v>45</v>
      </c>
      <c r="I27" s="13" t="s">
        <v>56</v>
      </c>
      <c r="J27" s="14" t="str">
        <f aca="false">IF(OR(B27="",E27=""),"",IF(IFERROR(INDEX(Recetas!$S$5:$S$84,MATCH(E27,Recetas!$A$5:$A$84,0)),"")="","",IFERROR(INDEX(Recetas!$S$5:$S$84,MATCH(E27,Recetas!$A$5:$A$84,0)),"")+N(F27)))</f>
        <v/>
      </c>
      <c r="K27" s="15" t="str">
        <f aca="false">IF(AND(J27&lt;&gt;"",ISNUMBER(G27)),G27*Parametros!$B$12,"")</f>
        <v/>
      </c>
      <c r="L27" s="15" t="str">
        <f aca="false">IF(AND(J27&lt;&gt;"",ISNUMBER(G27)),G27*Parametros!$B$13,"")</f>
        <v/>
      </c>
      <c r="M27" s="14" t="str">
        <f aca="false">IF(AND(J27&lt;&gt;"",ISNUMBER(G27)),G27-J27-K27-L27,"")</f>
        <v/>
      </c>
      <c r="N27" s="16" t="str">
        <f aca="false">IF(AND(J27&lt;&gt;"",ISNUMBER(G27)),M27/G27,"")</f>
        <v/>
      </c>
      <c r="O27" s="15" t="str">
        <f aca="false">IF(OR(J27="",Parametros!$B$14&gt;=1),"",J27/(1-Parametros!$B$14))</f>
        <v/>
      </c>
      <c r="P27" s="15" t="str">
        <f aca="false">IF(OR(J27="",Parametros!$B$14+Parametros!$B$18&gt;=1),"",J27/(1-Parametros!$B$14-Parametros!$B$18))</f>
        <v/>
      </c>
      <c r="Q27" s="17" t="str">
        <f aca="false">IF(B27="","",IF(E27="","SIN RECETA",IF(J27="","FALTAN DATOS",IF(NOT(ISNUMBER(G27)),"FALTA PRECIO",IF(M27&lt;0,"PIERDE",IF(N27&lt;Parametros!$B$18,"BAJO META","OK"))))))</f>
        <v>SIN RECETA</v>
      </c>
      <c r="R27" s="18" t="str">
        <f aca="false">IF(B27="","",IF(E27="","Elegir receta (molde).",IF(ISNA(MATCH(E27,Recetas!$A$5:$A$84,0)),"La receta no existe en Recetas.",IF(J27="","Completar la receta "&amp;E27&amp;": "&amp;INDEX(Recetas!$T$5:$T$84,MATCH(E27,Recetas!$A$5:$A$84,0)),IF(NOT(ISNUMBER(G27)),"Precio de venta.","")))))</f>
        <v>Elegir receta (molde).</v>
      </c>
    </row>
    <row r="28" customFormat="false" ht="22.35" hidden="false" customHeight="false" outlineLevel="0" collapsed="false">
      <c r="A28" s="10" t="s">
        <v>101</v>
      </c>
      <c r="B28" s="10" t="s">
        <v>102</v>
      </c>
      <c r="C28" s="10" t="s">
        <v>43</v>
      </c>
      <c r="D28" s="10" t="n">
        <v>44</v>
      </c>
      <c r="E28" s="11"/>
      <c r="F28" s="12"/>
      <c r="G28" s="12" t="n">
        <v>27605</v>
      </c>
      <c r="H28" s="11" t="s">
        <v>45</v>
      </c>
      <c r="I28" s="13" t="s">
        <v>56</v>
      </c>
      <c r="J28" s="14" t="str">
        <f aca="false">IF(OR(B28="",E28=""),"",IF(IFERROR(INDEX(Recetas!$S$5:$S$84,MATCH(E28,Recetas!$A$5:$A$84,0)),"")="","",IFERROR(INDEX(Recetas!$S$5:$S$84,MATCH(E28,Recetas!$A$5:$A$84,0)),"")+N(F28)))</f>
        <v/>
      </c>
      <c r="K28" s="15" t="str">
        <f aca="false">IF(AND(J28&lt;&gt;"",ISNUMBER(G28)),G28*Parametros!$B$12,"")</f>
        <v/>
      </c>
      <c r="L28" s="15" t="str">
        <f aca="false">IF(AND(J28&lt;&gt;"",ISNUMBER(G28)),G28*Parametros!$B$13,"")</f>
        <v/>
      </c>
      <c r="M28" s="14" t="str">
        <f aca="false">IF(AND(J28&lt;&gt;"",ISNUMBER(G28)),G28-J28-K28-L28,"")</f>
        <v/>
      </c>
      <c r="N28" s="16" t="str">
        <f aca="false">IF(AND(J28&lt;&gt;"",ISNUMBER(G28)),M28/G28,"")</f>
        <v/>
      </c>
      <c r="O28" s="15" t="str">
        <f aca="false">IF(OR(J28="",Parametros!$B$14&gt;=1),"",J28/(1-Parametros!$B$14))</f>
        <v/>
      </c>
      <c r="P28" s="15" t="str">
        <f aca="false">IF(OR(J28="",Parametros!$B$14+Parametros!$B$18&gt;=1),"",J28/(1-Parametros!$B$14-Parametros!$B$18))</f>
        <v/>
      </c>
      <c r="Q28" s="17" t="str">
        <f aca="false">IF(B28="","",IF(E28="","SIN RECETA",IF(J28="","FALTAN DATOS",IF(NOT(ISNUMBER(G28)),"FALTA PRECIO",IF(M28&lt;0,"PIERDE",IF(N28&lt;Parametros!$B$18,"BAJO META","OK"))))))</f>
        <v>SIN RECETA</v>
      </c>
      <c r="R28" s="18" t="str">
        <f aca="false">IF(B28="","",IF(E28="","Elegir receta (molde).",IF(ISNA(MATCH(E28,Recetas!$A$5:$A$84,0)),"La receta no existe en Recetas.",IF(J28="","Completar la receta "&amp;E28&amp;": "&amp;INDEX(Recetas!$T$5:$T$84,MATCH(E28,Recetas!$A$5:$A$84,0)),IF(NOT(ISNUMBER(G28)),"Precio de venta.","")))))</f>
        <v>Elegir receta (molde).</v>
      </c>
    </row>
    <row r="29" customFormat="false" ht="22.35" hidden="false" customHeight="false" outlineLevel="0" collapsed="false">
      <c r="A29" s="10" t="s">
        <v>103</v>
      </c>
      <c r="B29" s="10" t="s">
        <v>104</v>
      </c>
      <c r="C29" s="10" t="s">
        <v>66</v>
      </c>
      <c r="D29" s="10" t="n">
        <v>40</v>
      </c>
      <c r="E29" s="11"/>
      <c r="F29" s="12"/>
      <c r="G29" s="12" t="n">
        <v>32689</v>
      </c>
      <c r="H29" s="11" t="s">
        <v>45</v>
      </c>
      <c r="I29" s="13" t="s">
        <v>56</v>
      </c>
      <c r="J29" s="14" t="str">
        <f aca="false">IF(OR(B29="",E29=""),"",IF(IFERROR(INDEX(Recetas!$S$5:$S$84,MATCH(E29,Recetas!$A$5:$A$84,0)),"")="","",IFERROR(INDEX(Recetas!$S$5:$S$84,MATCH(E29,Recetas!$A$5:$A$84,0)),"")+N(F29)))</f>
        <v/>
      </c>
      <c r="K29" s="15" t="str">
        <f aca="false">IF(AND(J29&lt;&gt;"",ISNUMBER(G29)),G29*Parametros!$B$12,"")</f>
        <v/>
      </c>
      <c r="L29" s="15" t="str">
        <f aca="false">IF(AND(J29&lt;&gt;"",ISNUMBER(G29)),G29*Parametros!$B$13,"")</f>
        <v/>
      </c>
      <c r="M29" s="14" t="str">
        <f aca="false">IF(AND(J29&lt;&gt;"",ISNUMBER(G29)),G29-J29-K29-L29,"")</f>
        <v/>
      </c>
      <c r="N29" s="16" t="str">
        <f aca="false">IF(AND(J29&lt;&gt;"",ISNUMBER(G29)),M29/G29,"")</f>
        <v/>
      </c>
      <c r="O29" s="15" t="str">
        <f aca="false">IF(OR(J29="",Parametros!$B$14&gt;=1),"",J29/(1-Parametros!$B$14))</f>
        <v/>
      </c>
      <c r="P29" s="15" t="str">
        <f aca="false">IF(OR(J29="",Parametros!$B$14+Parametros!$B$18&gt;=1),"",J29/(1-Parametros!$B$14-Parametros!$B$18))</f>
        <v/>
      </c>
      <c r="Q29" s="17" t="str">
        <f aca="false">IF(B29="","",IF(E29="","SIN RECETA",IF(J29="","FALTAN DATOS",IF(NOT(ISNUMBER(G29)),"FALTA PRECIO",IF(M29&lt;0,"PIERDE",IF(N29&lt;Parametros!$B$18,"BAJO META","OK"))))))</f>
        <v>SIN RECETA</v>
      </c>
      <c r="R29" s="18" t="str">
        <f aca="false">IF(B29="","",IF(E29="","Elegir receta (molde).",IF(ISNA(MATCH(E29,Recetas!$A$5:$A$84,0)),"La receta no existe en Recetas.",IF(J29="","Completar la receta "&amp;E29&amp;": "&amp;INDEX(Recetas!$T$5:$T$84,MATCH(E29,Recetas!$A$5:$A$84,0)),IF(NOT(ISNUMBER(G29)),"Precio de venta.","")))))</f>
        <v>Elegir receta (molde).</v>
      </c>
    </row>
    <row r="30" customFormat="false" ht="22.35" hidden="false" customHeight="false" outlineLevel="0" collapsed="false">
      <c r="A30" s="10" t="s">
        <v>105</v>
      </c>
      <c r="B30" s="10" t="s">
        <v>106</v>
      </c>
      <c r="C30" s="10" t="s">
        <v>43</v>
      </c>
      <c r="D30" s="10" t="n">
        <v>37</v>
      </c>
      <c r="E30" s="11"/>
      <c r="F30" s="12"/>
      <c r="G30" s="12" t="n">
        <v>17563</v>
      </c>
      <c r="H30" s="11" t="s">
        <v>45</v>
      </c>
      <c r="I30" s="13" t="s">
        <v>56</v>
      </c>
      <c r="J30" s="14" t="str">
        <f aca="false">IF(OR(B30="",E30=""),"",IF(IFERROR(INDEX(Recetas!$S$5:$S$84,MATCH(E30,Recetas!$A$5:$A$84,0)),"")="","",IFERROR(INDEX(Recetas!$S$5:$S$84,MATCH(E30,Recetas!$A$5:$A$84,0)),"")+N(F30)))</f>
        <v/>
      </c>
      <c r="K30" s="15" t="str">
        <f aca="false">IF(AND(J30&lt;&gt;"",ISNUMBER(G30)),G30*Parametros!$B$12,"")</f>
        <v/>
      </c>
      <c r="L30" s="15" t="str">
        <f aca="false">IF(AND(J30&lt;&gt;"",ISNUMBER(G30)),G30*Parametros!$B$13,"")</f>
        <v/>
      </c>
      <c r="M30" s="14" t="str">
        <f aca="false">IF(AND(J30&lt;&gt;"",ISNUMBER(G30)),G30-J30-K30-L30,"")</f>
        <v/>
      </c>
      <c r="N30" s="16" t="str">
        <f aca="false">IF(AND(J30&lt;&gt;"",ISNUMBER(G30)),M30/G30,"")</f>
        <v/>
      </c>
      <c r="O30" s="15" t="str">
        <f aca="false">IF(OR(J30="",Parametros!$B$14&gt;=1),"",J30/(1-Parametros!$B$14))</f>
        <v/>
      </c>
      <c r="P30" s="15" t="str">
        <f aca="false">IF(OR(J30="",Parametros!$B$14+Parametros!$B$18&gt;=1),"",J30/(1-Parametros!$B$14-Parametros!$B$18))</f>
        <v/>
      </c>
      <c r="Q30" s="17" t="str">
        <f aca="false">IF(B30="","",IF(E30="","SIN RECETA",IF(J30="","FALTAN DATOS",IF(NOT(ISNUMBER(G30)),"FALTA PRECIO",IF(M30&lt;0,"PIERDE",IF(N30&lt;Parametros!$B$18,"BAJO META","OK"))))))</f>
        <v>SIN RECETA</v>
      </c>
      <c r="R30" s="18" t="str">
        <f aca="false">IF(B30="","",IF(E30="","Elegir receta (molde).",IF(ISNA(MATCH(E30,Recetas!$A$5:$A$84,0)),"La receta no existe en Recetas.",IF(J30="","Completar la receta "&amp;E30&amp;": "&amp;INDEX(Recetas!$T$5:$T$84,MATCH(E30,Recetas!$A$5:$A$84,0)),IF(NOT(ISNUMBER(G30)),"Precio de venta.","")))))</f>
        <v>Elegir receta (molde).</v>
      </c>
    </row>
    <row r="31" customFormat="false" ht="22.35" hidden="false" customHeight="false" outlineLevel="0" collapsed="false">
      <c r="A31" s="10" t="s">
        <v>107</v>
      </c>
      <c r="B31" s="10" t="s">
        <v>108</v>
      </c>
      <c r="C31" s="10" t="s">
        <v>66</v>
      </c>
      <c r="D31" s="10" t="n">
        <v>37</v>
      </c>
      <c r="E31" s="11"/>
      <c r="F31" s="12"/>
      <c r="G31" s="12" t="n">
        <v>54022</v>
      </c>
      <c r="H31" s="11" t="s">
        <v>45</v>
      </c>
      <c r="I31" s="13" t="s">
        <v>56</v>
      </c>
      <c r="J31" s="14" t="str">
        <f aca="false">IF(OR(B31="",E31=""),"",IF(IFERROR(INDEX(Recetas!$S$5:$S$84,MATCH(E31,Recetas!$A$5:$A$84,0)),"")="","",IFERROR(INDEX(Recetas!$S$5:$S$84,MATCH(E31,Recetas!$A$5:$A$84,0)),"")+N(F31)))</f>
        <v/>
      </c>
      <c r="K31" s="15" t="str">
        <f aca="false">IF(AND(J31&lt;&gt;"",ISNUMBER(G31)),G31*Parametros!$B$12,"")</f>
        <v/>
      </c>
      <c r="L31" s="15" t="str">
        <f aca="false">IF(AND(J31&lt;&gt;"",ISNUMBER(G31)),G31*Parametros!$B$13,"")</f>
        <v/>
      </c>
      <c r="M31" s="14" t="str">
        <f aca="false">IF(AND(J31&lt;&gt;"",ISNUMBER(G31)),G31-J31-K31-L31,"")</f>
        <v/>
      </c>
      <c r="N31" s="16" t="str">
        <f aca="false">IF(AND(J31&lt;&gt;"",ISNUMBER(G31)),M31/G31,"")</f>
        <v/>
      </c>
      <c r="O31" s="15" t="str">
        <f aca="false">IF(OR(J31="",Parametros!$B$14&gt;=1),"",J31/(1-Parametros!$B$14))</f>
        <v/>
      </c>
      <c r="P31" s="15" t="str">
        <f aca="false">IF(OR(J31="",Parametros!$B$14+Parametros!$B$18&gt;=1),"",J31/(1-Parametros!$B$14-Parametros!$B$18))</f>
        <v/>
      </c>
      <c r="Q31" s="17" t="str">
        <f aca="false">IF(B31="","",IF(E31="","SIN RECETA",IF(J31="","FALTAN DATOS",IF(NOT(ISNUMBER(G31)),"FALTA PRECIO",IF(M31&lt;0,"PIERDE",IF(N31&lt;Parametros!$B$18,"BAJO META","OK"))))))</f>
        <v>SIN RECETA</v>
      </c>
      <c r="R31" s="18" t="str">
        <f aca="false">IF(B31="","",IF(E31="","Elegir receta (molde).",IF(ISNA(MATCH(E31,Recetas!$A$5:$A$84,0)),"La receta no existe en Recetas.",IF(J31="","Completar la receta "&amp;E31&amp;": "&amp;INDEX(Recetas!$T$5:$T$84,MATCH(E31,Recetas!$A$5:$A$84,0)),IF(NOT(ISNUMBER(G31)),"Precio de venta.","")))))</f>
        <v>Elegir receta (molde).</v>
      </c>
    </row>
    <row r="32" customFormat="false" ht="15" hidden="false" customHeight="false" outlineLevel="0" collapsed="false">
      <c r="A32" s="10" t="s">
        <v>109</v>
      </c>
      <c r="B32" s="10" t="s">
        <v>110</v>
      </c>
      <c r="C32" s="10" t="s">
        <v>43</v>
      </c>
      <c r="D32" s="10" t="n">
        <v>35</v>
      </c>
      <c r="E32" s="11" t="s">
        <v>86</v>
      </c>
      <c r="F32" s="12"/>
      <c r="G32" s="12" t="n">
        <v>14202</v>
      </c>
      <c r="H32" s="11" t="s">
        <v>45</v>
      </c>
      <c r="I32" s="13" t="s">
        <v>111</v>
      </c>
      <c r="J32" s="14" t="n">
        <f aca="false">IF(OR(B32="",E32=""),"",IF(IFERROR(INDEX(Recetas!$S$5:$S$84,MATCH(E32,Recetas!$A$5:$A$84,0)),"")="","",IFERROR(INDEX(Recetas!$S$5:$S$84,MATCH(E32,Recetas!$A$5:$A$84,0)),"")+N(F32)))</f>
        <v>2706.55</v>
      </c>
      <c r="K32" s="15" t="n">
        <f aca="false">IF(AND(J32&lt;&gt;"",ISNUMBER(G32)),G32*Parametros!$B$12,"")</f>
        <v>5012.54680699924</v>
      </c>
      <c r="L32" s="15" t="n">
        <f aca="false">IF(AND(J32&lt;&gt;"",ISNUMBER(G32)),G32*Parametros!$B$13,"")</f>
        <v>1799.34288440524</v>
      </c>
      <c r="M32" s="14" t="n">
        <f aca="false">IF(AND(J32&lt;&gt;"",ISNUMBER(G32)),G32-J32-K32-L32,"")</f>
        <v>4683.56030859552</v>
      </c>
      <c r="N32" s="16" t="n">
        <f aca="false">IF(AND(J32&lt;&gt;"",ISNUMBER(G32)),M32/G32,"")</f>
        <v>0.329781742613401</v>
      </c>
      <c r="O32" s="15" t="n">
        <f aca="false">IF(OR(J32="",Parametros!$B$14&gt;=1),"",J32/(1-Parametros!$B$14))</f>
        <v>5201.33279408452</v>
      </c>
      <c r="P32" s="15" t="n">
        <f aca="false">IF(OR(J32="",Parametros!$B$14+Parametros!$B$18&gt;=1),"",J32/(1-Parametros!$B$14-Parametros!$B$18))</f>
        <v>6438.69356708024</v>
      </c>
      <c r="Q32" s="17" t="str">
        <f aca="false">IF(B32="","",IF(E32="","SIN RECETA",IF(J32="","FALTAN DATOS",IF(NOT(ISNUMBER(G32)),"FALTA PRECIO",IF(M32&lt;0,"PIERDE",IF(N32&lt;Parametros!$B$18,"BAJO META","OK"))))))</f>
        <v>OK</v>
      </c>
      <c r="R32" s="18" t="str">
        <f aca="false">IF(B32="","",IF(E32="","Elegir receta (molde).",IF(ISNA(MATCH(E32,Recetas!$A$5:$A$84,0)),"La receta no existe en Recetas.",IF(J32="","Completar la receta "&amp;E32&amp;": "&amp;INDEX(Recetas!$T$5:$T$84,MATCH(E32,Recetas!$A$5:$A$84,0)),IF(NOT(ISNUMBER(G32)),"Precio de venta.","")))))</f>
        <v/>
      </c>
    </row>
    <row r="33" customFormat="false" ht="22.35" hidden="false" customHeight="false" outlineLevel="0" collapsed="false">
      <c r="A33" s="10" t="s">
        <v>112</v>
      </c>
      <c r="B33" s="10" t="s">
        <v>113</v>
      </c>
      <c r="C33" s="10" t="s">
        <v>66</v>
      </c>
      <c r="D33" s="10" t="n">
        <v>35</v>
      </c>
      <c r="E33" s="11"/>
      <c r="F33" s="12"/>
      <c r="G33" s="12" t="n">
        <v>27647</v>
      </c>
      <c r="H33" s="11" t="s">
        <v>45</v>
      </c>
      <c r="I33" s="13" t="s">
        <v>56</v>
      </c>
      <c r="J33" s="14" t="str">
        <f aca="false">IF(OR(B33="",E33=""),"",IF(IFERROR(INDEX(Recetas!$S$5:$S$84,MATCH(E33,Recetas!$A$5:$A$84,0)),"")="","",IFERROR(INDEX(Recetas!$S$5:$S$84,MATCH(E33,Recetas!$A$5:$A$84,0)),"")+N(F33)))</f>
        <v/>
      </c>
      <c r="K33" s="15" t="str">
        <f aca="false">IF(AND(J33&lt;&gt;"",ISNUMBER(G33)),G33*Parametros!$B$12,"")</f>
        <v/>
      </c>
      <c r="L33" s="15" t="str">
        <f aca="false">IF(AND(J33&lt;&gt;"",ISNUMBER(G33)),G33*Parametros!$B$13,"")</f>
        <v/>
      </c>
      <c r="M33" s="14" t="str">
        <f aca="false">IF(AND(J33&lt;&gt;"",ISNUMBER(G33)),G33-J33-K33-L33,"")</f>
        <v/>
      </c>
      <c r="N33" s="16" t="str">
        <f aca="false">IF(AND(J33&lt;&gt;"",ISNUMBER(G33)),M33/G33,"")</f>
        <v/>
      </c>
      <c r="O33" s="15" t="str">
        <f aca="false">IF(OR(J33="",Parametros!$B$14&gt;=1),"",J33/(1-Parametros!$B$14))</f>
        <v/>
      </c>
      <c r="P33" s="15" t="str">
        <f aca="false">IF(OR(J33="",Parametros!$B$14+Parametros!$B$18&gt;=1),"",J33/(1-Parametros!$B$14-Parametros!$B$18))</f>
        <v/>
      </c>
      <c r="Q33" s="17" t="str">
        <f aca="false">IF(B33="","",IF(E33="","SIN RECETA",IF(J33="","FALTAN DATOS",IF(NOT(ISNUMBER(G33)),"FALTA PRECIO",IF(M33&lt;0,"PIERDE",IF(N33&lt;Parametros!$B$18,"BAJO META","OK"))))))</f>
        <v>SIN RECETA</v>
      </c>
      <c r="R33" s="18" t="str">
        <f aca="false">IF(B33="","",IF(E33="","Elegir receta (molde).",IF(ISNA(MATCH(E33,Recetas!$A$5:$A$84,0)),"La receta no existe en Recetas.",IF(J33="","Completar la receta "&amp;E33&amp;": "&amp;INDEX(Recetas!$T$5:$T$84,MATCH(E33,Recetas!$A$5:$A$84,0)),IF(NOT(ISNUMBER(G33)),"Precio de venta.","")))))</f>
        <v>Elegir receta (molde).</v>
      </c>
    </row>
    <row r="34" customFormat="false" ht="22.35" hidden="false" customHeight="false" outlineLevel="0" collapsed="false">
      <c r="A34" s="10" t="s">
        <v>114</v>
      </c>
      <c r="B34" s="10" t="s">
        <v>115</v>
      </c>
      <c r="C34" s="10" t="s">
        <v>43</v>
      </c>
      <c r="D34" s="10" t="n">
        <v>34</v>
      </c>
      <c r="E34" s="11"/>
      <c r="F34" s="12"/>
      <c r="G34" s="12" t="n">
        <v>19664</v>
      </c>
      <c r="H34" s="11" t="s">
        <v>45</v>
      </c>
      <c r="I34" s="13" t="s">
        <v>56</v>
      </c>
      <c r="J34" s="14" t="str">
        <f aca="false">IF(OR(B34="",E34=""),"",IF(IFERROR(INDEX(Recetas!$S$5:$S$84,MATCH(E34,Recetas!$A$5:$A$84,0)),"")="","",IFERROR(INDEX(Recetas!$S$5:$S$84,MATCH(E34,Recetas!$A$5:$A$84,0)),"")+N(F34)))</f>
        <v/>
      </c>
      <c r="K34" s="15" t="str">
        <f aca="false">IF(AND(J34&lt;&gt;"",ISNUMBER(G34)),G34*Parametros!$B$12,"")</f>
        <v/>
      </c>
      <c r="L34" s="15" t="str">
        <f aca="false">IF(AND(J34&lt;&gt;"",ISNUMBER(G34)),G34*Parametros!$B$13,"")</f>
        <v/>
      </c>
      <c r="M34" s="14" t="str">
        <f aca="false">IF(AND(J34&lt;&gt;"",ISNUMBER(G34)),G34-J34-K34-L34,"")</f>
        <v/>
      </c>
      <c r="N34" s="16" t="str">
        <f aca="false">IF(AND(J34&lt;&gt;"",ISNUMBER(G34)),M34/G34,"")</f>
        <v/>
      </c>
      <c r="O34" s="15" t="str">
        <f aca="false">IF(OR(J34="",Parametros!$B$14&gt;=1),"",J34/(1-Parametros!$B$14))</f>
        <v/>
      </c>
      <c r="P34" s="15" t="str">
        <f aca="false">IF(OR(J34="",Parametros!$B$14+Parametros!$B$18&gt;=1),"",J34/(1-Parametros!$B$14-Parametros!$B$18))</f>
        <v/>
      </c>
      <c r="Q34" s="17" t="str">
        <f aca="false">IF(B34="","",IF(E34="","SIN RECETA",IF(J34="","FALTAN DATOS",IF(NOT(ISNUMBER(G34)),"FALTA PRECIO",IF(M34&lt;0,"PIERDE",IF(N34&lt;Parametros!$B$18,"BAJO META","OK"))))))</f>
        <v>SIN RECETA</v>
      </c>
      <c r="R34" s="18" t="str">
        <f aca="false">IF(B34="","",IF(E34="","Elegir receta (molde).",IF(ISNA(MATCH(E34,Recetas!$A$5:$A$84,0)),"La receta no existe en Recetas.",IF(J34="","Completar la receta "&amp;E34&amp;": "&amp;INDEX(Recetas!$T$5:$T$84,MATCH(E34,Recetas!$A$5:$A$84,0)),IF(NOT(ISNUMBER(G34)),"Precio de venta.","")))))</f>
        <v>Elegir receta (molde).</v>
      </c>
    </row>
    <row r="35" customFormat="false" ht="23.85" hidden="false" customHeight="false" outlineLevel="0" collapsed="false">
      <c r="A35" s="10" t="s">
        <v>116</v>
      </c>
      <c r="B35" s="10" t="s">
        <v>117</v>
      </c>
      <c r="C35" s="10" t="s">
        <v>43</v>
      </c>
      <c r="D35" s="10" t="n">
        <v>34</v>
      </c>
      <c r="E35" s="11" t="s">
        <v>44</v>
      </c>
      <c r="F35" s="12"/>
      <c r="G35" s="12" t="n">
        <v>17563</v>
      </c>
      <c r="H35" s="11" t="s">
        <v>45</v>
      </c>
      <c r="I35" s="13" t="s">
        <v>118</v>
      </c>
      <c r="J35" s="14" t="str">
        <f aca="false">IF(OR(B35="",E35=""),"",IF(IFERROR(INDEX(Recetas!$S$5:$S$84,MATCH(E35,Recetas!$A$5:$A$84,0)),"")="","",IFERROR(INDEX(Recetas!$S$5:$S$84,MATCH(E35,Recetas!$A$5:$A$84,0)),"")+N(F35)))</f>
        <v/>
      </c>
      <c r="K35" s="15" t="str">
        <f aca="false">IF(AND(J35&lt;&gt;"",ISNUMBER(G35)),G35*Parametros!$B$12,"")</f>
        <v/>
      </c>
      <c r="L35" s="15" t="str">
        <f aca="false">IF(AND(J35&lt;&gt;"",ISNUMBER(G35)),G35*Parametros!$B$13,"")</f>
        <v/>
      </c>
      <c r="M35" s="14" t="str">
        <f aca="false">IF(AND(J35&lt;&gt;"",ISNUMBER(G35)),G35-J35-K35-L35,"")</f>
        <v/>
      </c>
      <c r="N35" s="16" t="str">
        <f aca="false">IF(AND(J35&lt;&gt;"",ISNUMBER(G35)),M35/G35,"")</f>
        <v/>
      </c>
      <c r="O35" s="15" t="str">
        <f aca="false">IF(OR(J35="",Parametros!$B$14&gt;=1),"",J35/(1-Parametros!$B$14))</f>
        <v/>
      </c>
      <c r="P35" s="15" t="str">
        <f aca="false">IF(OR(J35="",Parametros!$B$14+Parametros!$B$18&gt;=1),"",J35/(1-Parametros!$B$14-Parametros!$B$18))</f>
        <v/>
      </c>
      <c r="Q35" s="17" t="str">
        <f aca="false">IF(B35="","",IF(E35="","SIN RECETA",IF(J35="","FALTAN DATOS",IF(NOT(ISNUMBER(G35)),"FALTA PRECIO",IF(M35&lt;0,"PIERDE",IF(N35&lt;Parametros!$B$18,"BAJO META","OK"))))))</f>
        <v>FALTAN DATOS</v>
      </c>
      <c r="R35" s="18" t="str">
        <f aca="false">IF(B35="","",IF(E35="","Elegir receta (molde).",IF(ISNA(MATCH(E35,Recetas!$A$5:$A$84,0)),"La receta no existe en Recetas.",IF(J35="","Completar la receta "&amp;E35&amp;": "&amp;INDEX(Recetas!$T$5:$T$84,MATCH(E35,Recetas!$A$5:$A$84,0)),IF(NOT(ISNUMBER(G35)),"Precio de venta.","")))))</f>
        <v>Completar la receta 02 · FUTHOMU01: Tela. Kg de tela. Metros impresos. </v>
      </c>
    </row>
    <row r="36" customFormat="false" ht="22.35" hidden="false" customHeight="false" outlineLevel="0" collapsed="false">
      <c r="A36" s="10" t="s">
        <v>119</v>
      </c>
      <c r="B36" s="10" t="s">
        <v>120</v>
      </c>
      <c r="C36" s="10" t="s">
        <v>43</v>
      </c>
      <c r="D36" s="10" t="n">
        <v>31</v>
      </c>
      <c r="E36" s="11"/>
      <c r="F36" s="12"/>
      <c r="G36" s="12" t="n">
        <v>12521</v>
      </c>
      <c r="H36" s="11" t="s">
        <v>45</v>
      </c>
      <c r="I36" s="13" t="s">
        <v>56</v>
      </c>
      <c r="J36" s="14" t="str">
        <f aca="false">IF(OR(B36="",E36=""),"",IF(IFERROR(INDEX(Recetas!$S$5:$S$84,MATCH(E36,Recetas!$A$5:$A$84,0)),"")="","",IFERROR(INDEX(Recetas!$S$5:$S$84,MATCH(E36,Recetas!$A$5:$A$84,0)),"")+N(F36)))</f>
        <v/>
      </c>
      <c r="K36" s="15" t="str">
        <f aca="false">IF(AND(J36&lt;&gt;"",ISNUMBER(G36)),G36*Parametros!$B$12,"")</f>
        <v/>
      </c>
      <c r="L36" s="15" t="str">
        <f aca="false">IF(AND(J36&lt;&gt;"",ISNUMBER(G36)),G36*Parametros!$B$13,"")</f>
        <v/>
      </c>
      <c r="M36" s="14" t="str">
        <f aca="false">IF(AND(J36&lt;&gt;"",ISNUMBER(G36)),G36-J36-K36-L36,"")</f>
        <v/>
      </c>
      <c r="N36" s="16" t="str">
        <f aca="false">IF(AND(J36&lt;&gt;"",ISNUMBER(G36)),M36/G36,"")</f>
        <v/>
      </c>
      <c r="O36" s="15" t="str">
        <f aca="false">IF(OR(J36="",Parametros!$B$14&gt;=1),"",J36/(1-Parametros!$B$14))</f>
        <v/>
      </c>
      <c r="P36" s="15" t="str">
        <f aca="false">IF(OR(J36="",Parametros!$B$14+Parametros!$B$18&gt;=1),"",J36/(1-Parametros!$B$14-Parametros!$B$18))</f>
        <v/>
      </c>
      <c r="Q36" s="17" t="str">
        <f aca="false">IF(B36="","",IF(E36="","SIN RECETA",IF(J36="","FALTAN DATOS",IF(NOT(ISNUMBER(G36)),"FALTA PRECIO",IF(M36&lt;0,"PIERDE",IF(N36&lt;Parametros!$B$18,"BAJO META","OK"))))))</f>
        <v>SIN RECETA</v>
      </c>
      <c r="R36" s="18" t="str">
        <f aca="false">IF(B36="","",IF(E36="","Elegir receta (molde).",IF(ISNA(MATCH(E36,Recetas!$A$5:$A$84,0)),"La receta no existe en Recetas.",IF(J36="","Completar la receta "&amp;E36&amp;": "&amp;INDEX(Recetas!$T$5:$T$84,MATCH(E36,Recetas!$A$5:$A$84,0)),IF(NOT(ISNUMBER(G36)),"Precio de venta.","")))))</f>
        <v>Elegir receta (molde).</v>
      </c>
    </row>
    <row r="37" customFormat="false" ht="22.35" hidden="false" customHeight="false" outlineLevel="0" collapsed="false">
      <c r="A37" s="10" t="s">
        <v>121</v>
      </c>
      <c r="B37" s="10" t="s">
        <v>122</v>
      </c>
      <c r="C37" s="10" t="s">
        <v>43</v>
      </c>
      <c r="D37" s="10" t="n">
        <v>29</v>
      </c>
      <c r="E37" s="11"/>
      <c r="F37" s="12"/>
      <c r="G37" s="12" t="n">
        <v>21204</v>
      </c>
      <c r="H37" s="11" t="s">
        <v>45</v>
      </c>
      <c r="I37" s="13" t="s">
        <v>56</v>
      </c>
      <c r="J37" s="14" t="str">
        <f aca="false">IF(OR(B37="",E37=""),"",IF(IFERROR(INDEX(Recetas!$S$5:$S$84,MATCH(E37,Recetas!$A$5:$A$84,0)),"")="","",IFERROR(INDEX(Recetas!$S$5:$S$84,MATCH(E37,Recetas!$A$5:$A$84,0)),"")+N(F37)))</f>
        <v/>
      </c>
      <c r="K37" s="15" t="str">
        <f aca="false">IF(AND(J37&lt;&gt;"",ISNUMBER(G37)),G37*Parametros!$B$12,"")</f>
        <v/>
      </c>
      <c r="L37" s="15" t="str">
        <f aca="false">IF(AND(J37&lt;&gt;"",ISNUMBER(G37)),G37*Parametros!$B$13,"")</f>
        <v/>
      </c>
      <c r="M37" s="14" t="str">
        <f aca="false">IF(AND(J37&lt;&gt;"",ISNUMBER(G37)),G37-J37-K37-L37,"")</f>
        <v/>
      </c>
      <c r="N37" s="16" t="str">
        <f aca="false">IF(AND(J37&lt;&gt;"",ISNUMBER(G37)),M37/G37,"")</f>
        <v/>
      </c>
      <c r="O37" s="15" t="str">
        <f aca="false">IF(OR(J37="",Parametros!$B$14&gt;=1),"",J37/(1-Parametros!$B$14))</f>
        <v/>
      </c>
      <c r="P37" s="15" t="str">
        <f aca="false">IF(OR(J37="",Parametros!$B$14+Parametros!$B$18&gt;=1),"",J37/(1-Parametros!$B$14-Parametros!$B$18))</f>
        <v/>
      </c>
      <c r="Q37" s="17" t="str">
        <f aca="false">IF(B37="","",IF(E37="","SIN RECETA",IF(J37="","FALTAN DATOS",IF(NOT(ISNUMBER(G37)),"FALTA PRECIO",IF(M37&lt;0,"PIERDE",IF(N37&lt;Parametros!$B$18,"BAJO META","OK"))))))</f>
        <v>SIN RECETA</v>
      </c>
      <c r="R37" s="18" t="str">
        <f aca="false">IF(B37="","",IF(E37="","Elegir receta (molde).",IF(ISNA(MATCH(E37,Recetas!$A$5:$A$84,0)),"La receta no existe en Recetas.",IF(J37="","Completar la receta "&amp;E37&amp;": "&amp;INDEX(Recetas!$T$5:$T$84,MATCH(E37,Recetas!$A$5:$A$84,0)),IF(NOT(ISNUMBER(G37)),"Precio de venta.","")))))</f>
        <v>Elegir receta (molde).</v>
      </c>
    </row>
    <row r="38" customFormat="false" ht="22.35" hidden="false" customHeight="false" outlineLevel="0" collapsed="false">
      <c r="A38" s="10" t="s">
        <v>123</v>
      </c>
      <c r="B38" s="10" t="s">
        <v>124</v>
      </c>
      <c r="C38" s="10" t="s">
        <v>66</v>
      </c>
      <c r="D38" s="10" t="n">
        <v>29</v>
      </c>
      <c r="E38" s="11"/>
      <c r="F38" s="12"/>
      <c r="G38" s="12" t="n">
        <v>22605</v>
      </c>
      <c r="H38" s="11" t="s">
        <v>45</v>
      </c>
      <c r="I38" s="13" t="s">
        <v>56</v>
      </c>
      <c r="J38" s="14" t="str">
        <f aca="false">IF(OR(B38="",E38=""),"",IF(IFERROR(INDEX(Recetas!$S$5:$S$84,MATCH(E38,Recetas!$A$5:$A$84,0)),"")="","",IFERROR(INDEX(Recetas!$S$5:$S$84,MATCH(E38,Recetas!$A$5:$A$84,0)),"")+N(F38)))</f>
        <v/>
      </c>
      <c r="K38" s="15" t="str">
        <f aca="false">IF(AND(J38&lt;&gt;"",ISNUMBER(G38)),G38*Parametros!$B$12,"")</f>
        <v/>
      </c>
      <c r="L38" s="15" t="str">
        <f aca="false">IF(AND(J38&lt;&gt;"",ISNUMBER(G38)),G38*Parametros!$B$13,"")</f>
        <v/>
      </c>
      <c r="M38" s="14" t="str">
        <f aca="false">IF(AND(J38&lt;&gt;"",ISNUMBER(G38)),G38-J38-K38-L38,"")</f>
        <v/>
      </c>
      <c r="N38" s="16" t="str">
        <f aca="false">IF(AND(J38&lt;&gt;"",ISNUMBER(G38)),M38/G38,"")</f>
        <v/>
      </c>
      <c r="O38" s="15" t="str">
        <f aca="false">IF(OR(J38="",Parametros!$B$14&gt;=1),"",J38/(1-Parametros!$B$14))</f>
        <v/>
      </c>
      <c r="P38" s="15" t="str">
        <f aca="false">IF(OR(J38="",Parametros!$B$14+Parametros!$B$18&gt;=1),"",J38/(1-Parametros!$B$14-Parametros!$B$18))</f>
        <v/>
      </c>
      <c r="Q38" s="17" t="str">
        <f aca="false">IF(B38="","",IF(E38="","SIN RECETA",IF(J38="","FALTAN DATOS",IF(NOT(ISNUMBER(G38)),"FALTA PRECIO",IF(M38&lt;0,"PIERDE",IF(N38&lt;Parametros!$B$18,"BAJO META","OK"))))))</f>
        <v>SIN RECETA</v>
      </c>
      <c r="R38" s="18" t="str">
        <f aca="false">IF(B38="","",IF(E38="","Elegir receta (molde).",IF(ISNA(MATCH(E38,Recetas!$A$5:$A$84,0)),"La receta no existe en Recetas.",IF(J38="","Completar la receta "&amp;E38&amp;": "&amp;INDEX(Recetas!$T$5:$T$84,MATCH(E38,Recetas!$A$5:$A$84,0)),IF(NOT(ISNUMBER(G38)),"Precio de venta.","")))))</f>
        <v>Elegir receta (molde).</v>
      </c>
    </row>
    <row r="39" customFormat="false" ht="22.35" hidden="false" customHeight="false" outlineLevel="0" collapsed="false">
      <c r="A39" s="10" t="s">
        <v>125</v>
      </c>
      <c r="B39" s="10" t="s">
        <v>126</v>
      </c>
      <c r="C39" s="10" t="s">
        <v>43</v>
      </c>
      <c r="D39" s="10" t="n">
        <v>29</v>
      </c>
      <c r="E39" s="11"/>
      <c r="F39" s="12"/>
      <c r="G39" s="12" t="n">
        <v>16723</v>
      </c>
      <c r="H39" s="11" t="s">
        <v>45</v>
      </c>
      <c r="I39" s="13" t="s">
        <v>56</v>
      </c>
      <c r="J39" s="14" t="str">
        <f aca="false">IF(OR(B39="",E39=""),"",IF(IFERROR(INDEX(Recetas!$S$5:$S$84,MATCH(E39,Recetas!$A$5:$A$84,0)),"")="","",IFERROR(INDEX(Recetas!$S$5:$S$84,MATCH(E39,Recetas!$A$5:$A$84,0)),"")+N(F39)))</f>
        <v/>
      </c>
      <c r="K39" s="15" t="str">
        <f aca="false">IF(AND(J39&lt;&gt;"",ISNUMBER(G39)),G39*Parametros!$B$12,"")</f>
        <v/>
      </c>
      <c r="L39" s="15" t="str">
        <f aca="false">IF(AND(J39&lt;&gt;"",ISNUMBER(G39)),G39*Parametros!$B$13,"")</f>
        <v/>
      </c>
      <c r="M39" s="14" t="str">
        <f aca="false">IF(AND(J39&lt;&gt;"",ISNUMBER(G39)),G39-J39-K39-L39,"")</f>
        <v/>
      </c>
      <c r="N39" s="16" t="str">
        <f aca="false">IF(AND(J39&lt;&gt;"",ISNUMBER(G39)),M39/G39,"")</f>
        <v/>
      </c>
      <c r="O39" s="15" t="str">
        <f aca="false">IF(OR(J39="",Parametros!$B$14&gt;=1),"",J39/(1-Parametros!$B$14))</f>
        <v/>
      </c>
      <c r="P39" s="15" t="str">
        <f aca="false">IF(OR(J39="",Parametros!$B$14+Parametros!$B$18&gt;=1),"",J39/(1-Parametros!$B$14-Parametros!$B$18))</f>
        <v/>
      </c>
      <c r="Q39" s="17" t="str">
        <f aca="false">IF(B39="","",IF(E39="","SIN RECETA",IF(J39="","FALTAN DATOS",IF(NOT(ISNUMBER(G39)),"FALTA PRECIO",IF(M39&lt;0,"PIERDE",IF(N39&lt;Parametros!$B$18,"BAJO META","OK"))))))</f>
        <v>SIN RECETA</v>
      </c>
      <c r="R39" s="18" t="str">
        <f aca="false">IF(B39="","",IF(E39="","Elegir receta (molde).",IF(ISNA(MATCH(E39,Recetas!$A$5:$A$84,0)),"La receta no existe en Recetas.",IF(J39="","Completar la receta "&amp;E39&amp;": "&amp;INDEX(Recetas!$T$5:$T$84,MATCH(E39,Recetas!$A$5:$A$84,0)),IF(NOT(ISNUMBER(G39)),"Precio de venta.","")))))</f>
        <v>Elegir receta (molde).</v>
      </c>
    </row>
    <row r="40" customFormat="false" ht="22.35" hidden="false" customHeight="false" outlineLevel="0" collapsed="false">
      <c r="A40" s="10" t="s">
        <v>127</v>
      </c>
      <c r="B40" s="10" t="s">
        <v>128</v>
      </c>
      <c r="C40" s="10" t="s">
        <v>43</v>
      </c>
      <c r="D40" s="10" t="n">
        <v>26</v>
      </c>
      <c r="E40" s="11"/>
      <c r="F40" s="12"/>
      <c r="G40" s="12" t="n">
        <v>23488</v>
      </c>
      <c r="H40" s="11" t="s">
        <v>45</v>
      </c>
      <c r="I40" s="13" t="s">
        <v>56</v>
      </c>
      <c r="J40" s="14" t="str">
        <f aca="false">IF(OR(B40="",E40=""),"",IF(IFERROR(INDEX(Recetas!$S$5:$S$84,MATCH(E40,Recetas!$A$5:$A$84,0)),"")="","",IFERROR(INDEX(Recetas!$S$5:$S$84,MATCH(E40,Recetas!$A$5:$A$84,0)),"")+N(F40)))</f>
        <v/>
      </c>
      <c r="K40" s="15" t="str">
        <f aca="false">IF(AND(J40&lt;&gt;"",ISNUMBER(G40)),G40*Parametros!$B$12,"")</f>
        <v/>
      </c>
      <c r="L40" s="15" t="str">
        <f aca="false">IF(AND(J40&lt;&gt;"",ISNUMBER(G40)),G40*Parametros!$B$13,"")</f>
        <v/>
      </c>
      <c r="M40" s="14" t="str">
        <f aca="false">IF(AND(J40&lt;&gt;"",ISNUMBER(G40)),G40-J40-K40-L40,"")</f>
        <v/>
      </c>
      <c r="N40" s="16" t="str">
        <f aca="false">IF(AND(J40&lt;&gt;"",ISNUMBER(G40)),M40/G40,"")</f>
        <v/>
      </c>
      <c r="O40" s="15" t="str">
        <f aca="false">IF(OR(J40="",Parametros!$B$14&gt;=1),"",J40/(1-Parametros!$B$14))</f>
        <v/>
      </c>
      <c r="P40" s="15" t="str">
        <f aca="false">IF(OR(J40="",Parametros!$B$14+Parametros!$B$18&gt;=1),"",J40/(1-Parametros!$B$14-Parametros!$B$18))</f>
        <v/>
      </c>
      <c r="Q40" s="17" t="str">
        <f aca="false">IF(B40="","",IF(E40="","SIN RECETA",IF(J40="","FALTAN DATOS",IF(NOT(ISNUMBER(G40)),"FALTA PRECIO",IF(M40&lt;0,"PIERDE",IF(N40&lt;Parametros!$B$18,"BAJO META","OK"))))))</f>
        <v>SIN RECETA</v>
      </c>
      <c r="R40" s="18" t="str">
        <f aca="false">IF(B40="","",IF(E40="","Elegir receta (molde).",IF(ISNA(MATCH(E40,Recetas!$A$5:$A$84,0)),"La receta no existe en Recetas.",IF(J40="","Completar la receta "&amp;E40&amp;": "&amp;INDEX(Recetas!$T$5:$T$84,MATCH(E40,Recetas!$A$5:$A$84,0)),IF(NOT(ISNUMBER(G40)),"Precio de venta.","")))))</f>
        <v>Elegir receta (molde).</v>
      </c>
    </row>
    <row r="41" customFormat="false" ht="22.35" hidden="false" customHeight="false" outlineLevel="0" collapsed="false">
      <c r="A41" s="10" t="s">
        <v>129</v>
      </c>
      <c r="B41" s="10" t="s">
        <v>130</v>
      </c>
      <c r="C41" s="10" t="s">
        <v>43</v>
      </c>
      <c r="D41" s="10" t="n">
        <v>25</v>
      </c>
      <c r="E41" s="11"/>
      <c r="F41" s="12"/>
      <c r="G41" s="12" t="n">
        <v>19244</v>
      </c>
      <c r="H41" s="11" t="s">
        <v>45</v>
      </c>
      <c r="I41" s="13" t="s">
        <v>56</v>
      </c>
      <c r="J41" s="14" t="str">
        <f aca="false">IF(OR(B41="",E41=""),"",IF(IFERROR(INDEX(Recetas!$S$5:$S$84,MATCH(E41,Recetas!$A$5:$A$84,0)),"")="","",IFERROR(INDEX(Recetas!$S$5:$S$84,MATCH(E41,Recetas!$A$5:$A$84,0)),"")+N(F41)))</f>
        <v/>
      </c>
      <c r="K41" s="15" t="str">
        <f aca="false">IF(AND(J41&lt;&gt;"",ISNUMBER(G41)),G41*Parametros!$B$12,"")</f>
        <v/>
      </c>
      <c r="L41" s="15" t="str">
        <f aca="false">IF(AND(J41&lt;&gt;"",ISNUMBER(G41)),G41*Parametros!$B$13,"")</f>
        <v/>
      </c>
      <c r="M41" s="14" t="str">
        <f aca="false">IF(AND(J41&lt;&gt;"",ISNUMBER(G41)),G41-J41-K41-L41,"")</f>
        <v/>
      </c>
      <c r="N41" s="16" t="str">
        <f aca="false">IF(AND(J41&lt;&gt;"",ISNUMBER(G41)),M41/G41,"")</f>
        <v/>
      </c>
      <c r="O41" s="15" t="str">
        <f aca="false">IF(OR(J41="",Parametros!$B$14&gt;=1),"",J41/(1-Parametros!$B$14))</f>
        <v/>
      </c>
      <c r="P41" s="15" t="str">
        <f aca="false">IF(OR(J41="",Parametros!$B$14+Parametros!$B$18&gt;=1),"",J41/(1-Parametros!$B$14-Parametros!$B$18))</f>
        <v/>
      </c>
      <c r="Q41" s="17" t="str">
        <f aca="false">IF(B41="","",IF(E41="","SIN RECETA",IF(J41="","FALTAN DATOS",IF(NOT(ISNUMBER(G41)),"FALTA PRECIO",IF(M41&lt;0,"PIERDE",IF(N41&lt;Parametros!$B$18,"BAJO META","OK"))))))</f>
        <v>SIN RECETA</v>
      </c>
      <c r="R41" s="18" t="str">
        <f aca="false">IF(B41="","",IF(E41="","Elegir receta (molde).",IF(ISNA(MATCH(E41,Recetas!$A$5:$A$84,0)),"La receta no existe en Recetas.",IF(J41="","Completar la receta "&amp;E41&amp;": "&amp;INDEX(Recetas!$T$5:$T$84,MATCH(E41,Recetas!$A$5:$A$84,0)),IF(NOT(ISNUMBER(G41)),"Precio de venta.","")))))</f>
        <v>Elegir receta (molde).</v>
      </c>
    </row>
    <row r="42" customFormat="false" ht="22.35" hidden="false" customHeight="false" outlineLevel="0" collapsed="false">
      <c r="A42" s="10" t="s">
        <v>131</v>
      </c>
      <c r="B42" s="10" t="s">
        <v>132</v>
      </c>
      <c r="C42" s="10" t="s">
        <v>66</v>
      </c>
      <c r="D42" s="10" t="n">
        <v>25</v>
      </c>
      <c r="E42" s="11"/>
      <c r="F42" s="12"/>
      <c r="G42" s="12" t="n">
        <v>15882</v>
      </c>
      <c r="H42" s="11" t="s">
        <v>45</v>
      </c>
      <c r="I42" s="13" t="s">
        <v>56</v>
      </c>
      <c r="J42" s="14" t="str">
        <f aca="false">IF(OR(B42="",E42=""),"",IF(IFERROR(INDEX(Recetas!$S$5:$S$84,MATCH(E42,Recetas!$A$5:$A$84,0)),"")="","",IFERROR(INDEX(Recetas!$S$5:$S$84,MATCH(E42,Recetas!$A$5:$A$84,0)),"")+N(F42)))</f>
        <v/>
      </c>
      <c r="K42" s="15" t="str">
        <f aca="false">IF(AND(J42&lt;&gt;"",ISNUMBER(G42)),G42*Parametros!$B$12,"")</f>
        <v/>
      </c>
      <c r="L42" s="15" t="str">
        <f aca="false">IF(AND(J42&lt;&gt;"",ISNUMBER(G42)),G42*Parametros!$B$13,"")</f>
        <v/>
      </c>
      <c r="M42" s="14" t="str">
        <f aca="false">IF(AND(J42&lt;&gt;"",ISNUMBER(G42)),G42-J42-K42-L42,"")</f>
        <v/>
      </c>
      <c r="N42" s="16" t="str">
        <f aca="false">IF(AND(J42&lt;&gt;"",ISNUMBER(G42)),M42/G42,"")</f>
        <v/>
      </c>
      <c r="O42" s="15" t="str">
        <f aca="false">IF(OR(J42="",Parametros!$B$14&gt;=1),"",J42/(1-Parametros!$B$14))</f>
        <v/>
      </c>
      <c r="P42" s="15" t="str">
        <f aca="false">IF(OR(J42="",Parametros!$B$14+Parametros!$B$18&gt;=1),"",J42/(1-Parametros!$B$14-Parametros!$B$18))</f>
        <v/>
      </c>
      <c r="Q42" s="17" t="str">
        <f aca="false">IF(B42="","",IF(E42="","SIN RECETA",IF(J42="","FALTAN DATOS",IF(NOT(ISNUMBER(G42)),"FALTA PRECIO",IF(M42&lt;0,"PIERDE",IF(N42&lt;Parametros!$B$18,"BAJO META","OK"))))))</f>
        <v>SIN RECETA</v>
      </c>
      <c r="R42" s="18" t="str">
        <f aca="false">IF(B42="","",IF(E42="","Elegir receta (molde).",IF(ISNA(MATCH(E42,Recetas!$A$5:$A$84,0)),"La receta no existe en Recetas.",IF(J42="","Completar la receta "&amp;E42&amp;": "&amp;INDEX(Recetas!$T$5:$T$84,MATCH(E42,Recetas!$A$5:$A$84,0)),IF(NOT(ISNUMBER(G42)),"Precio de venta.","")))))</f>
        <v>Elegir receta (molde).</v>
      </c>
    </row>
    <row r="43" customFormat="false" ht="23.85" hidden="false" customHeight="false" outlineLevel="0" collapsed="false">
      <c r="A43" s="10" t="s">
        <v>133</v>
      </c>
      <c r="B43" s="10" t="s">
        <v>134</v>
      </c>
      <c r="C43" s="10" t="s">
        <v>43</v>
      </c>
      <c r="D43" s="10" t="n">
        <v>24</v>
      </c>
      <c r="E43" s="11" t="s">
        <v>135</v>
      </c>
      <c r="F43" s="12"/>
      <c r="G43" s="12" t="n">
        <v>18403</v>
      </c>
      <c r="H43" s="11" t="s">
        <v>45</v>
      </c>
      <c r="I43" s="13" t="s">
        <v>136</v>
      </c>
      <c r="J43" s="14" t="str">
        <f aca="false">IF(OR(B43="",E43=""),"",IF(IFERROR(INDEX(Recetas!$S$5:$S$84,MATCH(E43,Recetas!$A$5:$A$84,0)),"")="","",IFERROR(INDEX(Recetas!$S$5:$S$84,MATCH(E43,Recetas!$A$5:$A$84,0)),"")+N(F43)))</f>
        <v/>
      </c>
      <c r="K43" s="15" t="str">
        <f aca="false">IF(AND(J43&lt;&gt;"",ISNUMBER(G43)),G43*Parametros!$B$12,"")</f>
        <v/>
      </c>
      <c r="L43" s="15" t="str">
        <f aca="false">IF(AND(J43&lt;&gt;"",ISNUMBER(G43)),G43*Parametros!$B$13,"")</f>
        <v/>
      </c>
      <c r="M43" s="14" t="str">
        <f aca="false">IF(AND(J43&lt;&gt;"",ISNUMBER(G43)),G43-J43-K43-L43,"")</f>
        <v/>
      </c>
      <c r="N43" s="16" t="str">
        <f aca="false">IF(AND(J43&lt;&gt;"",ISNUMBER(G43)),M43/G43,"")</f>
        <v/>
      </c>
      <c r="O43" s="15" t="str">
        <f aca="false">IF(OR(J43="",Parametros!$B$14&gt;=1),"",J43/(1-Parametros!$B$14))</f>
        <v/>
      </c>
      <c r="P43" s="15" t="str">
        <f aca="false">IF(OR(J43="",Parametros!$B$14+Parametros!$B$18&gt;=1),"",J43/(1-Parametros!$B$14-Parametros!$B$18))</f>
        <v/>
      </c>
      <c r="Q43" s="17" t="str">
        <f aca="false">IF(B43="","",IF(E43="","SIN RECETA",IF(J43="","FALTAN DATOS",IF(NOT(ISNUMBER(G43)),"FALTA PRECIO",IF(M43&lt;0,"PIERDE",IF(N43&lt;Parametros!$B$18,"BAJO META","OK"))))))</f>
        <v>FALTAN DATOS</v>
      </c>
      <c r="R43" s="18" t="str">
        <f aca="false">IF(B43="","",IF(E43="","Elegir receta (molde).",IF(ISNA(MATCH(E43,Recetas!$A$5:$A$84,0)),"La receta no existe en Recetas.",IF(J43="","Completar la receta "&amp;E43&amp;": "&amp;INDEX(Recetas!$T$5:$T$84,MATCH(E43,Recetas!$A$5:$A$84,0)),IF(NOT(ISNUMBER(G43)),"Precio de venta.","")))))</f>
        <v>Completar la receta 10 · FUTHOMCC01: Tela. Kg de tela. Metros impresos. </v>
      </c>
    </row>
    <row r="44" customFormat="false" ht="23.85" hidden="false" customHeight="false" outlineLevel="0" collapsed="false">
      <c r="A44" s="10" t="s">
        <v>137</v>
      </c>
      <c r="B44" s="10" t="s">
        <v>138</v>
      </c>
      <c r="C44" s="10" t="s">
        <v>43</v>
      </c>
      <c r="D44" s="10" t="n">
        <v>23</v>
      </c>
      <c r="E44" s="11" t="s">
        <v>139</v>
      </c>
      <c r="F44" s="12"/>
      <c r="G44" s="12" t="n">
        <v>19244</v>
      </c>
      <c r="H44" s="11" t="s">
        <v>45</v>
      </c>
      <c r="I44" s="13" t="s">
        <v>140</v>
      </c>
      <c r="J44" s="14" t="str">
        <f aca="false">IF(OR(B44="",E44=""),"",IF(IFERROR(INDEX(Recetas!$S$5:$S$84,MATCH(E44,Recetas!$A$5:$A$84,0)),"")="","",IFERROR(INDEX(Recetas!$S$5:$S$84,MATCH(E44,Recetas!$A$5:$A$84,0)),"")+N(F44)))</f>
        <v/>
      </c>
      <c r="K44" s="15" t="str">
        <f aca="false">IF(AND(J44&lt;&gt;"",ISNUMBER(G44)),G44*Parametros!$B$12,"")</f>
        <v/>
      </c>
      <c r="L44" s="15" t="str">
        <f aca="false">IF(AND(J44&lt;&gt;"",ISNUMBER(G44)),G44*Parametros!$B$13,"")</f>
        <v/>
      </c>
      <c r="M44" s="14" t="str">
        <f aca="false">IF(AND(J44&lt;&gt;"",ISNUMBER(G44)),G44-J44-K44-L44,"")</f>
        <v/>
      </c>
      <c r="N44" s="16" t="str">
        <f aca="false">IF(AND(J44&lt;&gt;"",ISNUMBER(G44)),M44/G44,"")</f>
        <v/>
      </c>
      <c r="O44" s="15" t="str">
        <f aca="false">IF(OR(J44="",Parametros!$B$14&gt;=1),"",J44/(1-Parametros!$B$14))</f>
        <v/>
      </c>
      <c r="P44" s="15" t="str">
        <f aca="false">IF(OR(J44="",Parametros!$B$14+Parametros!$B$18&gt;=1),"",J44/(1-Parametros!$B$14-Parametros!$B$18))</f>
        <v/>
      </c>
      <c r="Q44" s="17" t="str">
        <f aca="false">IF(B44="","",IF(E44="","SIN RECETA",IF(J44="","FALTAN DATOS",IF(NOT(ISNUMBER(G44)),"FALTA PRECIO",IF(M44&lt;0,"PIERDE",IF(N44&lt;Parametros!$B$18,"BAJO META","OK"))))))</f>
        <v>FALTAN DATOS</v>
      </c>
      <c r="R44" s="18" t="str">
        <f aca="false">IF(B44="","",IF(E44="","Elegir receta (molde).",IF(ISNA(MATCH(E44,Recetas!$A$5:$A$84,0)),"La receta no existe en Recetas.",IF(J44="","Completar la receta "&amp;E44&amp;": "&amp;INDEX(Recetas!$T$5:$T$84,MATCH(E44,Recetas!$A$5:$A$84,0)),IF(NOT(ISNUMBER(G44)),"Precio de venta.","")))))</f>
        <v>Completar la receta 16 · FUTHOMV01PRO: Tela. Kg de tela. Metros impresos. </v>
      </c>
    </row>
    <row r="45" customFormat="false" ht="23.85" hidden="false" customHeight="false" outlineLevel="0" collapsed="false">
      <c r="A45" s="10" t="s">
        <v>141</v>
      </c>
      <c r="B45" s="10" t="s">
        <v>142</v>
      </c>
      <c r="C45" s="10" t="s">
        <v>43</v>
      </c>
      <c r="D45" s="10" t="n">
        <v>21</v>
      </c>
      <c r="E45" s="11" t="s">
        <v>143</v>
      </c>
      <c r="F45" s="12"/>
      <c r="G45" s="12" t="n">
        <v>17563</v>
      </c>
      <c r="H45" s="11" t="s">
        <v>45</v>
      </c>
      <c r="I45" s="13" t="s">
        <v>144</v>
      </c>
      <c r="J45" s="14" t="str">
        <f aca="false">IF(OR(B45="",E45=""),"",IF(IFERROR(INDEX(Recetas!$S$5:$S$84,MATCH(E45,Recetas!$A$5:$A$84,0)),"")="","",IFERROR(INDEX(Recetas!$S$5:$S$84,MATCH(E45,Recetas!$A$5:$A$84,0)),"")+N(F45)))</f>
        <v/>
      </c>
      <c r="K45" s="15" t="str">
        <f aca="false">IF(AND(J45&lt;&gt;"",ISNUMBER(G45)),G45*Parametros!$B$12,"")</f>
        <v/>
      </c>
      <c r="L45" s="15" t="str">
        <f aca="false">IF(AND(J45&lt;&gt;"",ISNUMBER(G45)),G45*Parametros!$B$13,"")</f>
        <v/>
      </c>
      <c r="M45" s="14" t="str">
        <f aca="false">IF(AND(J45&lt;&gt;"",ISNUMBER(G45)),G45-J45-K45-L45,"")</f>
        <v/>
      </c>
      <c r="N45" s="16" t="str">
        <f aca="false">IF(AND(J45&lt;&gt;"",ISNUMBER(G45)),M45/G45,"")</f>
        <v/>
      </c>
      <c r="O45" s="15" t="str">
        <f aca="false">IF(OR(J45="",Parametros!$B$14&gt;=1),"",J45/(1-Parametros!$B$14))</f>
        <v/>
      </c>
      <c r="P45" s="15" t="str">
        <f aca="false">IF(OR(J45="",Parametros!$B$14+Parametros!$B$18&gt;=1),"",J45/(1-Parametros!$B$14-Parametros!$B$18))</f>
        <v/>
      </c>
      <c r="Q45" s="17" t="str">
        <f aca="false">IF(B45="","",IF(E45="","SIN RECETA",IF(J45="","FALTAN DATOS",IF(NOT(ISNUMBER(G45)),"FALTA PRECIO",IF(M45&lt;0,"PIERDE",IF(N45&lt;Parametros!$B$18,"BAJO META","OK"))))))</f>
        <v>FALTAN DATOS</v>
      </c>
      <c r="R45" s="18" t="str">
        <f aca="false">IF(B45="","",IF(E45="","Elegir receta (molde).",IF(ISNA(MATCH(E45,Recetas!$A$5:$A$84,0)),"La receta no existe en Recetas.",IF(J45="","Completar la receta "&amp;E45&amp;": "&amp;INDEX(Recetas!$T$5:$T$84,MATCH(E45,Recetas!$A$5:$A$84,0)),IF(NOT(ISNUMBER(G45)),"Precio de venta.","")))))</f>
        <v>Completar la receta 30 · BKHOMU03: Metros impresos. </v>
      </c>
    </row>
    <row r="46" customFormat="false" ht="15" hidden="false" customHeight="false" outlineLevel="0" collapsed="false">
      <c r="A46" s="10" t="s">
        <v>145</v>
      </c>
      <c r="B46" s="10" t="s">
        <v>146</v>
      </c>
      <c r="C46" s="10" t="s">
        <v>43</v>
      </c>
      <c r="D46" s="10" t="n">
        <v>20</v>
      </c>
      <c r="E46" s="11" t="s">
        <v>91</v>
      </c>
      <c r="F46" s="12"/>
      <c r="G46" s="12" t="n">
        <v>12521</v>
      </c>
      <c r="H46" s="11" t="s">
        <v>45</v>
      </c>
      <c r="I46" s="13" t="s">
        <v>147</v>
      </c>
      <c r="J46" s="14" t="n">
        <f aca="false">IF(OR(B46="",E46=""),"",IF(IFERROR(INDEX(Recetas!$S$5:$S$84,MATCH(E46,Recetas!$A$5:$A$84,0)),"")="","",IFERROR(INDEX(Recetas!$S$5:$S$84,MATCH(E46,Recetas!$A$5:$A$84,0)),"")+N(F46)))</f>
        <v>2601.04</v>
      </c>
      <c r="K46" s="15" t="n">
        <f aca="false">IF(AND(J46&lt;&gt;"",ISNUMBER(G46)),G46*Parametros!$B$12,"")</f>
        <v>4419.24366782407</v>
      </c>
      <c r="L46" s="15" t="n">
        <f aca="false">IF(AND(J46&lt;&gt;"",ISNUMBER(G46)),G46*Parametros!$B$13,"")</f>
        <v>1586.36616361344</v>
      </c>
      <c r="M46" s="14" t="n">
        <f aca="false">IF(AND(J46&lt;&gt;"",ISNUMBER(G46)),G46-J46-K46-L46,"")</f>
        <v>3914.35016856249</v>
      </c>
      <c r="N46" s="16" t="n">
        <f aca="false">IF(AND(J46&lt;&gt;"",ISNUMBER(G46)),M46/G46,"")</f>
        <v>0.312622807168956</v>
      </c>
      <c r="O46" s="15" t="n">
        <f aca="false">IF(OR(J46="",Parametros!$B$14&gt;=1),"",J46/(1-Parametros!$B$14))</f>
        <v>4998.56815899415</v>
      </c>
      <c r="P46" s="15" t="n">
        <f aca="false">IF(OR(J46="",Parametros!$B$14+Parametros!$B$18&gt;=1),"",J46/(1-Parametros!$B$14-Parametros!$B$18))</f>
        <v>6187.69264034227</v>
      </c>
      <c r="Q46" s="17" t="str">
        <f aca="false">IF(B46="","",IF(E46="","SIN RECETA",IF(J46="","FALTAN DATOS",IF(NOT(ISNUMBER(G46)),"FALTA PRECIO",IF(M46&lt;0,"PIERDE",IF(N46&lt;Parametros!$B$18,"BAJO META","OK"))))))</f>
        <v>OK</v>
      </c>
      <c r="R46" s="18" t="str">
        <f aca="false">IF(B46="","",IF(E46="","Elegir receta (molde).",IF(ISNA(MATCH(E46,Recetas!$A$5:$A$84,0)),"La receta no existe en Recetas.",IF(J46="","Completar la receta "&amp;E46&amp;": "&amp;INDEX(Recetas!$T$5:$T$84,MATCH(E46,Recetas!$A$5:$A$84,0)),IF(NOT(ISNUMBER(G46)),"Precio de venta.","")))))</f>
        <v/>
      </c>
    </row>
    <row r="47" customFormat="false" ht="22.35" hidden="false" customHeight="false" outlineLevel="0" collapsed="false">
      <c r="A47" s="10" t="s">
        <v>148</v>
      </c>
      <c r="B47" s="10" t="s">
        <v>149</v>
      </c>
      <c r="C47" s="10" t="s">
        <v>43</v>
      </c>
      <c r="D47" s="10" t="n">
        <v>20</v>
      </c>
      <c r="E47" s="11"/>
      <c r="F47" s="12"/>
      <c r="G47" s="12" t="n">
        <v>18403</v>
      </c>
      <c r="H47" s="11" t="s">
        <v>45</v>
      </c>
      <c r="I47" s="13" t="s">
        <v>56</v>
      </c>
      <c r="J47" s="14" t="str">
        <f aca="false">IF(OR(B47="",E47=""),"",IF(IFERROR(INDEX(Recetas!$S$5:$S$84,MATCH(E47,Recetas!$A$5:$A$84,0)),"")="","",IFERROR(INDEX(Recetas!$S$5:$S$84,MATCH(E47,Recetas!$A$5:$A$84,0)),"")+N(F47)))</f>
        <v/>
      </c>
      <c r="K47" s="15" t="str">
        <f aca="false">IF(AND(J47&lt;&gt;"",ISNUMBER(G47)),G47*Parametros!$B$12,"")</f>
        <v/>
      </c>
      <c r="L47" s="15" t="str">
        <f aca="false">IF(AND(J47&lt;&gt;"",ISNUMBER(G47)),G47*Parametros!$B$13,"")</f>
        <v/>
      </c>
      <c r="M47" s="14" t="str">
        <f aca="false">IF(AND(J47&lt;&gt;"",ISNUMBER(G47)),G47-J47-K47-L47,"")</f>
        <v/>
      </c>
      <c r="N47" s="16" t="str">
        <f aca="false">IF(AND(J47&lt;&gt;"",ISNUMBER(G47)),M47/G47,"")</f>
        <v/>
      </c>
      <c r="O47" s="15" t="str">
        <f aca="false">IF(OR(J47="",Parametros!$B$14&gt;=1),"",J47/(1-Parametros!$B$14))</f>
        <v/>
      </c>
      <c r="P47" s="15" t="str">
        <f aca="false">IF(OR(J47="",Parametros!$B$14+Parametros!$B$18&gt;=1),"",J47/(1-Parametros!$B$14-Parametros!$B$18))</f>
        <v/>
      </c>
      <c r="Q47" s="17" t="str">
        <f aca="false">IF(B47="","",IF(E47="","SIN RECETA",IF(J47="","FALTAN DATOS",IF(NOT(ISNUMBER(G47)),"FALTA PRECIO",IF(M47&lt;0,"PIERDE",IF(N47&lt;Parametros!$B$18,"BAJO META","OK"))))))</f>
        <v>SIN RECETA</v>
      </c>
      <c r="R47" s="18" t="str">
        <f aca="false">IF(B47="","",IF(E47="","Elegir receta (molde).",IF(ISNA(MATCH(E47,Recetas!$A$5:$A$84,0)),"La receta no existe en Recetas.",IF(J47="","Completar la receta "&amp;E47&amp;": "&amp;INDEX(Recetas!$T$5:$T$84,MATCH(E47,Recetas!$A$5:$A$84,0)),IF(NOT(ISNUMBER(G47)),"Precio de venta.","")))))</f>
        <v>Elegir receta (molde).</v>
      </c>
    </row>
    <row r="48" customFormat="false" ht="22.35" hidden="false" customHeight="false" outlineLevel="0" collapsed="false">
      <c r="A48" s="10" t="s">
        <v>150</v>
      </c>
      <c r="B48" s="10" t="s">
        <v>151</v>
      </c>
      <c r="C48" s="10" t="s">
        <v>43</v>
      </c>
      <c r="D48" s="10" t="n">
        <v>20</v>
      </c>
      <c r="E48" s="11"/>
      <c r="F48" s="12"/>
      <c r="G48" s="12" t="n">
        <v>30000</v>
      </c>
      <c r="H48" s="11" t="s">
        <v>45</v>
      </c>
      <c r="I48" s="13" t="s">
        <v>56</v>
      </c>
      <c r="J48" s="14" t="str">
        <f aca="false">IF(OR(B48="",E48=""),"",IF(IFERROR(INDEX(Recetas!$S$5:$S$84,MATCH(E48,Recetas!$A$5:$A$84,0)),"")="","",IFERROR(INDEX(Recetas!$S$5:$S$84,MATCH(E48,Recetas!$A$5:$A$84,0)),"")+N(F48)))</f>
        <v/>
      </c>
      <c r="K48" s="15" t="str">
        <f aca="false">IF(AND(J48&lt;&gt;"",ISNUMBER(G48)),G48*Parametros!$B$12,"")</f>
        <v/>
      </c>
      <c r="L48" s="15" t="str">
        <f aca="false">IF(AND(J48&lt;&gt;"",ISNUMBER(G48)),G48*Parametros!$B$13,"")</f>
        <v/>
      </c>
      <c r="M48" s="14" t="str">
        <f aca="false">IF(AND(J48&lt;&gt;"",ISNUMBER(G48)),G48-J48-K48-L48,"")</f>
        <v/>
      </c>
      <c r="N48" s="16" t="str">
        <f aca="false">IF(AND(J48&lt;&gt;"",ISNUMBER(G48)),M48/G48,"")</f>
        <v/>
      </c>
      <c r="O48" s="15" t="str">
        <f aca="false">IF(OR(J48="",Parametros!$B$14&gt;=1),"",J48/(1-Parametros!$B$14))</f>
        <v/>
      </c>
      <c r="P48" s="15" t="str">
        <f aca="false">IF(OR(J48="",Parametros!$B$14+Parametros!$B$18&gt;=1),"",J48/(1-Parametros!$B$14-Parametros!$B$18))</f>
        <v/>
      </c>
      <c r="Q48" s="17" t="str">
        <f aca="false">IF(B48="","",IF(E48="","SIN RECETA",IF(J48="","FALTAN DATOS",IF(NOT(ISNUMBER(G48)),"FALTA PRECIO",IF(M48&lt;0,"PIERDE",IF(N48&lt;Parametros!$B$18,"BAJO META","OK"))))))</f>
        <v>SIN RECETA</v>
      </c>
      <c r="R48" s="18" t="str">
        <f aca="false">IF(B48="","",IF(E48="","Elegir receta (molde).",IF(ISNA(MATCH(E48,Recetas!$A$5:$A$84,0)),"La receta no existe en Recetas.",IF(J48="","Completar la receta "&amp;E48&amp;": "&amp;INDEX(Recetas!$T$5:$T$84,MATCH(E48,Recetas!$A$5:$A$84,0)),IF(NOT(ISNUMBER(G48)),"Precio de venta.","")))))</f>
        <v>Elegir receta (molde).</v>
      </c>
    </row>
    <row r="49" customFormat="false" ht="22.35" hidden="false" customHeight="false" outlineLevel="0" collapsed="false">
      <c r="A49" s="10" t="s">
        <v>152</v>
      </c>
      <c r="B49" s="10" t="s">
        <v>153</v>
      </c>
      <c r="C49" s="10" t="s">
        <v>43</v>
      </c>
      <c r="D49" s="10" t="n">
        <v>20</v>
      </c>
      <c r="E49" s="11"/>
      <c r="F49" s="12"/>
      <c r="G49" s="12" t="n">
        <v>6000</v>
      </c>
      <c r="H49" s="11" t="s">
        <v>45</v>
      </c>
      <c r="I49" s="13" t="s">
        <v>56</v>
      </c>
      <c r="J49" s="14" t="str">
        <f aca="false">IF(OR(B49="",E49=""),"",IF(IFERROR(INDEX(Recetas!$S$5:$S$84,MATCH(E49,Recetas!$A$5:$A$84,0)),"")="","",IFERROR(INDEX(Recetas!$S$5:$S$84,MATCH(E49,Recetas!$A$5:$A$84,0)),"")+N(F49)))</f>
        <v/>
      </c>
      <c r="K49" s="15" t="str">
        <f aca="false">IF(AND(J49&lt;&gt;"",ISNUMBER(G49)),G49*Parametros!$B$12,"")</f>
        <v/>
      </c>
      <c r="L49" s="15" t="str">
        <f aca="false">IF(AND(J49&lt;&gt;"",ISNUMBER(G49)),G49*Parametros!$B$13,"")</f>
        <v/>
      </c>
      <c r="M49" s="14" t="str">
        <f aca="false">IF(AND(J49&lt;&gt;"",ISNUMBER(G49)),G49-J49-K49-L49,"")</f>
        <v/>
      </c>
      <c r="N49" s="16" t="str">
        <f aca="false">IF(AND(J49&lt;&gt;"",ISNUMBER(G49)),M49/G49,"")</f>
        <v/>
      </c>
      <c r="O49" s="15" t="str">
        <f aca="false">IF(OR(J49="",Parametros!$B$14&gt;=1),"",J49/(1-Parametros!$B$14))</f>
        <v/>
      </c>
      <c r="P49" s="15" t="str">
        <f aca="false">IF(OR(J49="",Parametros!$B$14+Parametros!$B$18&gt;=1),"",J49/(1-Parametros!$B$14-Parametros!$B$18))</f>
        <v/>
      </c>
      <c r="Q49" s="17" t="str">
        <f aca="false">IF(B49="","",IF(E49="","SIN RECETA",IF(J49="","FALTAN DATOS",IF(NOT(ISNUMBER(G49)),"FALTA PRECIO",IF(M49&lt;0,"PIERDE",IF(N49&lt;Parametros!$B$18,"BAJO META","OK"))))))</f>
        <v>SIN RECETA</v>
      </c>
      <c r="R49" s="18" t="str">
        <f aca="false">IF(B49="","",IF(E49="","Elegir receta (molde).",IF(ISNA(MATCH(E49,Recetas!$A$5:$A$84,0)),"La receta no existe en Recetas.",IF(J49="","Completar la receta "&amp;E49&amp;": "&amp;INDEX(Recetas!$T$5:$T$84,MATCH(E49,Recetas!$A$5:$A$84,0)),IF(NOT(ISNUMBER(G49)),"Precio de venta.","")))))</f>
        <v>Elegir receta (molde).</v>
      </c>
    </row>
    <row r="50" customFormat="false" ht="22.35" hidden="false" customHeight="false" outlineLevel="0" collapsed="false">
      <c r="A50" s="10" t="s">
        <v>154</v>
      </c>
      <c r="B50" s="10" t="s">
        <v>155</v>
      </c>
      <c r="C50" s="10" t="s">
        <v>43</v>
      </c>
      <c r="D50" s="10" t="n">
        <v>19</v>
      </c>
      <c r="E50" s="11"/>
      <c r="F50" s="12"/>
      <c r="G50" s="12" t="n">
        <v>15882</v>
      </c>
      <c r="H50" s="11" t="s">
        <v>45</v>
      </c>
      <c r="I50" s="13" t="s">
        <v>56</v>
      </c>
      <c r="J50" s="14" t="str">
        <f aca="false">IF(OR(B50="",E50=""),"",IF(IFERROR(INDEX(Recetas!$S$5:$S$84,MATCH(E50,Recetas!$A$5:$A$84,0)),"")="","",IFERROR(INDEX(Recetas!$S$5:$S$84,MATCH(E50,Recetas!$A$5:$A$84,0)),"")+N(F50)))</f>
        <v/>
      </c>
      <c r="K50" s="15" t="str">
        <f aca="false">IF(AND(J50&lt;&gt;"",ISNUMBER(G50)),G50*Parametros!$B$12,"")</f>
        <v/>
      </c>
      <c r="L50" s="15" t="str">
        <f aca="false">IF(AND(J50&lt;&gt;"",ISNUMBER(G50)),G50*Parametros!$B$13,"")</f>
        <v/>
      </c>
      <c r="M50" s="14" t="str">
        <f aca="false">IF(AND(J50&lt;&gt;"",ISNUMBER(G50)),G50-J50-K50-L50,"")</f>
        <v/>
      </c>
      <c r="N50" s="16" t="str">
        <f aca="false">IF(AND(J50&lt;&gt;"",ISNUMBER(G50)),M50/G50,"")</f>
        <v/>
      </c>
      <c r="O50" s="15" t="str">
        <f aca="false">IF(OR(J50="",Parametros!$B$14&gt;=1),"",J50/(1-Parametros!$B$14))</f>
        <v/>
      </c>
      <c r="P50" s="15" t="str">
        <f aca="false">IF(OR(J50="",Parametros!$B$14+Parametros!$B$18&gt;=1),"",J50/(1-Parametros!$B$14-Parametros!$B$18))</f>
        <v/>
      </c>
      <c r="Q50" s="17" t="str">
        <f aca="false">IF(B50="","",IF(E50="","SIN RECETA",IF(J50="","FALTAN DATOS",IF(NOT(ISNUMBER(G50)),"FALTA PRECIO",IF(M50&lt;0,"PIERDE",IF(N50&lt;Parametros!$B$18,"BAJO META","OK"))))))</f>
        <v>SIN RECETA</v>
      </c>
      <c r="R50" s="18" t="str">
        <f aca="false">IF(B50="","",IF(E50="","Elegir receta (molde).",IF(ISNA(MATCH(E50,Recetas!$A$5:$A$84,0)),"La receta no existe en Recetas.",IF(J50="","Completar la receta "&amp;E50&amp;": "&amp;INDEX(Recetas!$T$5:$T$84,MATCH(E50,Recetas!$A$5:$A$84,0)),IF(NOT(ISNUMBER(G50)),"Precio de venta.","")))))</f>
        <v>Elegir receta (molde).</v>
      </c>
    </row>
    <row r="51" customFormat="false" ht="22.35" hidden="false" customHeight="false" outlineLevel="0" collapsed="false">
      <c r="A51" s="10" t="s">
        <v>156</v>
      </c>
      <c r="B51" s="10" t="s">
        <v>157</v>
      </c>
      <c r="C51" s="10" t="s">
        <v>66</v>
      </c>
      <c r="D51" s="10" t="n">
        <v>19</v>
      </c>
      <c r="E51" s="11"/>
      <c r="F51" s="12"/>
      <c r="G51" s="12" t="n">
        <v>15042</v>
      </c>
      <c r="H51" s="11" t="s">
        <v>45</v>
      </c>
      <c r="I51" s="13" t="s">
        <v>56</v>
      </c>
      <c r="J51" s="14" t="str">
        <f aca="false">IF(OR(B51="",E51=""),"",IF(IFERROR(INDEX(Recetas!$S$5:$S$84,MATCH(E51,Recetas!$A$5:$A$84,0)),"")="","",IFERROR(INDEX(Recetas!$S$5:$S$84,MATCH(E51,Recetas!$A$5:$A$84,0)),"")+N(F51)))</f>
        <v/>
      </c>
      <c r="K51" s="15" t="str">
        <f aca="false">IF(AND(J51&lt;&gt;"",ISNUMBER(G51)),G51*Parametros!$B$12,"")</f>
        <v/>
      </c>
      <c r="L51" s="15" t="str">
        <f aca="false">IF(AND(J51&lt;&gt;"",ISNUMBER(G51)),G51*Parametros!$B$13,"")</f>
        <v/>
      </c>
      <c r="M51" s="14" t="str">
        <f aca="false">IF(AND(J51&lt;&gt;"",ISNUMBER(G51)),G51-J51-K51-L51,"")</f>
        <v/>
      </c>
      <c r="N51" s="16" t="str">
        <f aca="false">IF(AND(J51&lt;&gt;"",ISNUMBER(G51)),M51/G51,"")</f>
        <v/>
      </c>
      <c r="O51" s="15" t="str">
        <f aca="false">IF(OR(J51="",Parametros!$B$14&gt;=1),"",J51/(1-Parametros!$B$14))</f>
        <v/>
      </c>
      <c r="P51" s="15" t="str">
        <f aca="false">IF(OR(J51="",Parametros!$B$14+Parametros!$B$18&gt;=1),"",J51/(1-Parametros!$B$14-Parametros!$B$18))</f>
        <v/>
      </c>
      <c r="Q51" s="17" t="str">
        <f aca="false">IF(B51="","",IF(E51="","SIN RECETA",IF(J51="","FALTAN DATOS",IF(NOT(ISNUMBER(G51)),"FALTA PRECIO",IF(M51&lt;0,"PIERDE",IF(N51&lt;Parametros!$B$18,"BAJO META","OK"))))))</f>
        <v>SIN RECETA</v>
      </c>
      <c r="R51" s="18" t="str">
        <f aca="false">IF(B51="","",IF(E51="","Elegir receta (molde).",IF(ISNA(MATCH(E51,Recetas!$A$5:$A$84,0)),"La receta no existe en Recetas.",IF(J51="","Completar la receta "&amp;E51&amp;": "&amp;INDEX(Recetas!$T$5:$T$84,MATCH(E51,Recetas!$A$5:$A$84,0)),IF(NOT(ISNUMBER(G51)),"Precio de venta.","")))))</f>
        <v>Elegir receta (molde).</v>
      </c>
    </row>
    <row r="52" customFormat="false" ht="22.35" hidden="false" customHeight="false" outlineLevel="0" collapsed="false">
      <c r="A52" s="10" t="s">
        <v>158</v>
      </c>
      <c r="B52" s="10" t="s">
        <v>159</v>
      </c>
      <c r="C52" s="10" t="s">
        <v>66</v>
      </c>
      <c r="D52" s="10" t="n">
        <v>17</v>
      </c>
      <c r="E52" s="11"/>
      <c r="F52" s="12"/>
      <c r="G52" s="12" t="n">
        <v>24328</v>
      </c>
      <c r="H52" s="11" t="s">
        <v>45</v>
      </c>
      <c r="I52" s="13" t="s">
        <v>56</v>
      </c>
      <c r="J52" s="14" t="str">
        <f aca="false">IF(OR(B52="",E52=""),"",IF(IFERROR(INDEX(Recetas!$S$5:$S$84,MATCH(E52,Recetas!$A$5:$A$84,0)),"")="","",IFERROR(INDEX(Recetas!$S$5:$S$84,MATCH(E52,Recetas!$A$5:$A$84,0)),"")+N(F52)))</f>
        <v/>
      </c>
      <c r="K52" s="15" t="str">
        <f aca="false">IF(AND(J52&lt;&gt;"",ISNUMBER(G52)),G52*Parametros!$B$12,"")</f>
        <v/>
      </c>
      <c r="L52" s="15" t="str">
        <f aca="false">IF(AND(J52&lt;&gt;"",ISNUMBER(G52)),G52*Parametros!$B$13,"")</f>
        <v/>
      </c>
      <c r="M52" s="14" t="str">
        <f aca="false">IF(AND(J52&lt;&gt;"",ISNUMBER(G52)),G52-J52-K52-L52,"")</f>
        <v/>
      </c>
      <c r="N52" s="16" t="str">
        <f aca="false">IF(AND(J52&lt;&gt;"",ISNUMBER(G52)),M52/G52,"")</f>
        <v/>
      </c>
      <c r="O52" s="15" t="str">
        <f aca="false">IF(OR(J52="",Parametros!$B$14&gt;=1),"",J52/(1-Parametros!$B$14))</f>
        <v/>
      </c>
      <c r="P52" s="15" t="str">
        <f aca="false">IF(OR(J52="",Parametros!$B$14+Parametros!$B$18&gt;=1),"",J52/(1-Parametros!$B$14-Parametros!$B$18))</f>
        <v/>
      </c>
      <c r="Q52" s="17" t="str">
        <f aca="false">IF(B52="","",IF(E52="","SIN RECETA",IF(J52="","FALTAN DATOS",IF(NOT(ISNUMBER(G52)),"FALTA PRECIO",IF(M52&lt;0,"PIERDE",IF(N52&lt;Parametros!$B$18,"BAJO META","OK"))))))</f>
        <v>SIN RECETA</v>
      </c>
      <c r="R52" s="18" t="str">
        <f aca="false">IF(B52="","",IF(E52="","Elegir receta (molde).",IF(ISNA(MATCH(E52,Recetas!$A$5:$A$84,0)),"La receta no existe en Recetas.",IF(J52="","Completar la receta "&amp;E52&amp;": "&amp;INDEX(Recetas!$T$5:$T$84,MATCH(E52,Recetas!$A$5:$A$84,0)),IF(NOT(ISNUMBER(G52)),"Precio de venta.","")))))</f>
        <v>Elegir receta (molde).</v>
      </c>
    </row>
    <row r="53" customFormat="false" ht="22.35" hidden="false" customHeight="false" outlineLevel="0" collapsed="false">
      <c r="A53" s="10" t="s">
        <v>160</v>
      </c>
      <c r="B53" s="10" t="s">
        <v>161</v>
      </c>
      <c r="C53" s="10" t="s">
        <v>43</v>
      </c>
      <c r="D53" s="10" t="n">
        <v>16</v>
      </c>
      <c r="E53" s="11"/>
      <c r="F53" s="12"/>
      <c r="G53" s="12" t="n">
        <v>15882</v>
      </c>
      <c r="H53" s="11" t="s">
        <v>45</v>
      </c>
      <c r="I53" s="13" t="s">
        <v>56</v>
      </c>
      <c r="J53" s="14" t="str">
        <f aca="false">IF(OR(B53="",E53=""),"",IF(IFERROR(INDEX(Recetas!$S$5:$S$84,MATCH(E53,Recetas!$A$5:$A$84,0)),"")="","",IFERROR(INDEX(Recetas!$S$5:$S$84,MATCH(E53,Recetas!$A$5:$A$84,0)),"")+N(F53)))</f>
        <v/>
      </c>
      <c r="K53" s="15" t="str">
        <f aca="false">IF(AND(J53&lt;&gt;"",ISNUMBER(G53)),G53*Parametros!$B$12,"")</f>
        <v/>
      </c>
      <c r="L53" s="15" t="str">
        <f aca="false">IF(AND(J53&lt;&gt;"",ISNUMBER(G53)),G53*Parametros!$B$13,"")</f>
        <v/>
      </c>
      <c r="M53" s="14" t="str">
        <f aca="false">IF(AND(J53&lt;&gt;"",ISNUMBER(G53)),G53-J53-K53-L53,"")</f>
        <v/>
      </c>
      <c r="N53" s="16" t="str">
        <f aca="false">IF(AND(J53&lt;&gt;"",ISNUMBER(G53)),M53/G53,"")</f>
        <v/>
      </c>
      <c r="O53" s="15" t="str">
        <f aca="false">IF(OR(J53="",Parametros!$B$14&gt;=1),"",J53/(1-Parametros!$B$14))</f>
        <v/>
      </c>
      <c r="P53" s="15" t="str">
        <f aca="false">IF(OR(J53="",Parametros!$B$14+Parametros!$B$18&gt;=1),"",J53/(1-Parametros!$B$14-Parametros!$B$18))</f>
        <v/>
      </c>
      <c r="Q53" s="17" t="str">
        <f aca="false">IF(B53="","",IF(E53="","SIN RECETA",IF(J53="","FALTAN DATOS",IF(NOT(ISNUMBER(G53)),"FALTA PRECIO",IF(M53&lt;0,"PIERDE",IF(N53&lt;Parametros!$B$18,"BAJO META","OK"))))))</f>
        <v>SIN RECETA</v>
      </c>
      <c r="R53" s="18" t="str">
        <f aca="false">IF(B53="","",IF(E53="","Elegir receta (molde).",IF(ISNA(MATCH(E53,Recetas!$A$5:$A$84,0)),"La receta no existe en Recetas.",IF(J53="","Completar la receta "&amp;E53&amp;": "&amp;INDEX(Recetas!$T$5:$T$84,MATCH(E53,Recetas!$A$5:$A$84,0)),IF(NOT(ISNUMBER(G53)),"Precio de venta.","")))))</f>
        <v>Elegir receta (molde).</v>
      </c>
    </row>
    <row r="54" customFormat="false" ht="22.35" hidden="false" customHeight="false" outlineLevel="0" collapsed="false">
      <c r="A54" s="10" t="s">
        <v>162</v>
      </c>
      <c r="B54" s="10" t="s">
        <v>163</v>
      </c>
      <c r="C54" s="10" t="s">
        <v>43</v>
      </c>
      <c r="D54" s="10" t="n">
        <v>15</v>
      </c>
      <c r="E54" s="11"/>
      <c r="F54" s="12"/>
      <c r="G54" s="12" t="n">
        <v>17563</v>
      </c>
      <c r="H54" s="11" t="s">
        <v>45</v>
      </c>
      <c r="I54" s="13" t="s">
        <v>56</v>
      </c>
      <c r="J54" s="14" t="str">
        <f aca="false">IF(OR(B54="",E54=""),"",IF(IFERROR(INDEX(Recetas!$S$5:$S$84,MATCH(E54,Recetas!$A$5:$A$84,0)),"")="","",IFERROR(INDEX(Recetas!$S$5:$S$84,MATCH(E54,Recetas!$A$5:$A$84,0)),"")+N(F54)))</f>
        <v/>
      </c>
      <c r="K54" s="15" t="str">
        <f aca="false">IF(AND(J54&lt;&gt;"",ISNUMBER(G54)),G54*Parametros!$B$12,"")</f>
        <v/>
      </c>
      <c r="L54" s="15" t="str">
        <f aca="false">IF(AND(J54&lt;&gt;"",ISNUMBER(G54)),G54*Parametros!$B$13,"")</f>
        <v/>
      </c>
      <c r="M54" s="14" t="str">
        <f aca="false">IF(AND(J54&lt;&gt;"",ISNUMBER(G54)),G54-J54-K54-L54,"")</f>
        <v/>
      </c>
      <c r="N54" s="16" t="str">
        <f aca="false">IF(AND(J54&lt;&gt;"",ISNUMBER(G54)),M54/G54,"")</f>
        <v/>
      </c>
      <c r="O54" s="15" t="str">
        <f aca="false">IF(OR(J54="",Parametros!$B$14&gt;=1),"",J54/(1-Parametros!$B$14))</f>
        <v/>
      </c>
      <c r="P54" s="15" t="str">
        <f aca="false">IF(OR(J54="",Parametros!$B$14+Parametros!$B$18&gt;=1),"",J54/(1-Parametros!$B$14-Parametros!$B$18))</f>
        <v/>
      </c>
      <c r="Q54" s="17" t="str">
        <f aca="false">IF(B54="","",IF(E54="","SIN RECETA",IF(J54="","FALTAN DATOS",IF(NOT(ISNUMBER(G54)),"FALTA PRECIO",IF(M54&lt;0,"PIERDE",IF(N54&lt;Parametros!$B$18,"BAJO META","OK"))))))</f>
        <v>SIN RECETA</v>
      </c>
      <c r="R54" s="18" t="str">
        <f aca="false">IF(B54="","",IF(E54="","Elegir receta (molde).",IF(ISNA(MATCH(E54,Recetas!$A$5:$A$84,0)),"La receta no existe en Recetas.",IF(J54="","Completar la receta "&amp;E54&amp;": "&amp;INDEX(Recetas!$T$5:$T$84,MATCH(E54,Recetas!$A$5:$A$84,0)),IF(NOT(ISNUMBER(G54)),"Precio de venta.","")))))</f>
        <v>Elegir receta (molde).</v>
      </c>
    </row>
    <row r="55" customFormat="false" ht="22.35" hidden="false" customHeight="false" outlineLevel="0" collapsed="false">
      <c r="A55" s="10" t="s">
        <v>164</v>
      </c>
      <c r="B55" s="10" t="s">
        <v>165</v>
      </c>
      <c r="C55" s="10" t="s">
        <v>43</v>
      </c>
      <c r="D55" s="10" t="n">
        <v>15</v>
      </c>
      <c r="E55" s="11"/>
      <c r="F55" s="12"/>
      <c r="G55" s="12" t="n">
        <v>14202</v>
      </c>
      <c r="H55" s="11" t="s">
        <v>45</v>
      </c>
      <c r="I55" s="13" t="s">
        <v>56</v>
      </c>
      <c r="J55" s="14" t="str">
        <f aca="false">IF(OR(B55="",E55=""),"",IF(IFERROR(INDEX(Recetas!$S$5:$S$84,MATCH(E55,Recetas!$A$5:$A$84,0)),"")="","",IFERROR(INDEX(Recetas!$S$5:$S$84,MATCH(E55,Recetas!$A$5:$A$84,0)),"")+N(F55)))</f>
        <v/>
      </c>
      <c r="K55" s="15" t="str">
        <f aca="false">IF(AND(J55&lt;&gt;"",ISNUMBER(G55)),G55*Parametros!$B$12,"")</f>
        <v/>
      </c>
      <c r="L55" s="15" t="str">
        <f aca="false">IF(AND(J55&lt;&gt;"",ISNUMBER(G55)),G55*Parametros!$B$13,"")</f>
        <v/>
      </c>
      <c r="M55" s="14" t="str">
        <f aca="false">IF(AND(J55&lt;&gt;"",ISNUMBER(G55)),G55-J55-K55-L55,"")</f>
        <v/>
      </c>
      <c r="N55" s="16" t="str">
        <f aca="false">IF(AND(J55&lt;&gt;"",ISNUMBER(G55)),M55/G55,"")</f>
        <v/>
      </c>
      <c r="O55" s="15" t="str">
        <f aca="false">IF(OR(J55="",Parametros!$B$14&gt;=1),"",J55/(1-Parametros!$B$14))</f>
        <v/>
      </c>
      <c r="P55" s="15" t="str">
        <f aca="false">IF(OR(J55="",Parametros!$B$14+Parametros!$B$18&gt;=1),"",J55/(1-Parametros!$B$14-Parametros!$B$18))</f>
        <v/>
      </c>
      <c r="Q55" s="17" t="str">
        <f aca="false">IF(B55="","",IF(E55="","SIN RECETA",IF(J55="","FALTAN DATOS",IF(NOT(ISNUMBER(G55)),"FALTA PRECIO",IF(M55&lt;0,"PIERDE",IF(N55&lt;Parametros!$B$18,"BAJO META","OK"))))))</f>
        <v>SIN RECETA</v>
      </c>
      <c r="R55" s="18" t="str">
        <f aca="false">IF(B55="","",IF(E55="","Elegir receta (molde).",IF(ISNA(MATCH(E55,Recetas!$A$5:$A$84,0)),"La receta no existe en Recetas.",IF(J55="","Completar la receta "&amp;E55&amp;": "&amp;INDEX(Recetas!$T$5:$T$84,MATCH(E55,Recetas!$A$5:$A$84,0)),IF(NOT(ISNUMBER(G55)),"Precio de venta.","")))))</f>
        <v>Elegir receta (molde).</v>
      </c>
    </row>
    <row r="56" customFormat="false" ht="22.35" hidden="false" customHeight="false" outlineLevel="0" collapsed="false">
      <c r="A56" s="10" t="s">
        <v>166</v>
      </c>
      <c r="B56" s="10" t="s">
        <v>167</v>
      </c>
      <c r="C56" s="10" t="s">
        <v>43</v>
      </c>
      <c r="D56" s="10" t="n">
        <v>14</v>
      </c>
      <c r="E56" s="11"/>
      <c r="F56" s="12"/>
      <c r="G56" s="12" t="n">
        <v>11681</v>
      </c>
      <c r="H56" s="11" t="s">
        <v>45</v>
      </c>
      <c r="I56" s="13" t="s">
        <v>56</v>
      </c>
      <c r="J56" s="14" t="str">
        <f aca="false">IF(OR(B56="",E56=""),"",IF(IFERROR(INDEX(Recetas!$S$5:$S$84,MATCH(E56,Recetas!$A$5:$A$84,0)),"")="","",IFERROR(INDEX(Recetas!$S$5:$S$84,MATCH(E56,Recetas!$A$5:$A$84,0)),"")+N(F56)))</f>
        <v/>
      </c>
      <c r="K56" s="15" t="str">
        <f aca="false">IF(AND(J56&lt;&gt;"",ISNUMBER(G56)),G56*Parametros!$B$12,"")</f>
        <v/>
      </c>
      <c r="L56" s="15" t="str">
        <f aca="false">IF(AND(J56&lt;&gt;"",ISNUMBER(G56)),G56*Parametros!$B$13,"")</f>
        <v/>
      </c>
      <c r="M56" s="14" t="str">
        <f aca="false">IF(AND(J56&lt;&gt;"",ISNUMBER(G56)),G56-J56-K56-L56,"")</f>
        <v/>
      </c>
      <c r="N56" s="16" t="str">
        <f aca="false">IF(AND(J56&lt;&gt;"",ISNUMBER(G56)),M56/G56,"")</f>
        <v/>
      </c>
      <c r="O56" s="15" t="str">
        <f aca="false">IF(OR(J56="",Parametros!$B$14&gt;=1),"",J56/(1-Parametros!$B$14))</f>
        <v/>
      </c>
      <c r="P56" s="15" t="str">
        <f aca="false">IF(OR(J56="",Parametros!$B$14+Parametros!$B$18&gt;=1),"",J56/(1-Parametros!$B$14-Parametros!$B$18))</f>
        <v/>
      </c>
      <c r="Q56" s="17" t="str">
        <f aca="false">IF(B56="","",IF(E56="","SIN RECETA",IF(J56="","FALTAN DATOS",IF(NOT(ISNUMBER(G56)),"FALTA PRECIO",IF(M56&lt;0,"PIERDE",IF(N56&lt;Parametros!$B$18,"BAJO META","OK"))))))</f>
        <v>SIN RECETA</v>
      </c>
      <c r="R56" s="18" t="str">
        <f aca="false">IF(B56="","",IF(E56="","Elegir receta (molde).",IF(ISNA(MATCH(E56,Recetas!$A$5:$A$84,0)),"La receta no existe en Recetas.",IF(J56="","Completar la receta "&amp;E56&amp;": "&amp;INDEX(Recetas!$T$5:$T$84,MATCH(E56,Recetas!$A$5:$A$84,0)),IF(NOT(ISNUMBER(G56)),"Precio de venta.","")))))</f>
        <v>Elegir receta (molde).</v>
      </c>
    </row>
    <row r="57" customFormat="false" ht="22.35" hidden="false" customHeight="false" outlineLevel="0" collapsed="false">
      <c r="A57" s="10" t="s">
        <v>168</v>
      </c>
      <c r="B57" s="10" t="s">
        <v>169</v>
      </c>
      <c r="C57" s="10" t="s">
        <v>66</v>
      </c>
      <c r="D57" s="10" t="n">
        <v>14</v>
      </c>
      <c r="E57" s="11"/>
      <c r="F57" s="12"/>
      <c r="G57" s="12" t="n">
        <v>31092</v>
      </c>
      <c r="H57" s="11" t="s">
        <v>45</v>
      </c>
      <c r="I57" s="13" t="s">
        <v>56</v>
      </c>
      <c r="J57" s="14" t="str">
        <f aca="false">IF(OR(B57="",E57=""),"",IF(IFERROR(INDEX(Recetas!$S$5:$S$84,MATCH(E57,Recetas!$A$5:$A$84,0)),"")="","",IFERROR(INDEX(Recetas!$S$5:$S$84,MATCH(E57,Recetas!$A$5:$A$84,0)),"")+N(F57)))</f>
        <v/>
      </c>
      <c r="K57" s="15" t="str">
        <f aca="false">IF(AND(J57&lt;&gt;"",ISNUMBER(G57)),G57*Parametros!$B$12,"")</f>
        <v/>
      </c>
      <c r="L57" s="15" t="str">
        <f aca="false">IF(AND(J57&lt;&gt;"",ISNUMBER(G57)),G57*Parametros!$B$13,"")</f>
        <v/>
      </c>
      <c r="M57" s="14" t="str">
        <f aca="false">IF(AND(J57&lt;&gt;"",ISNUMBER(G57)),G57-J57-K57-L57,"")</f>
        <v/>
      </c>
      <c r="N57" s="16" t="str">
        <f aca="false">IF(AND(J57&lt;&gt;"",ISNUMBER(G57)),M57/G57,"")</f>
        <v/>
      </c>
      <c r="O57" s="15" t="str">
        <f aca="false">IF(OR(J57="",Parametros!$B$14&gt;=1),"",J57/(1-Parametros!$B$14))</f>
        <v/>
      </c>
      <c r="P57" s="15" t="str">
        <f aca="false">IF(OR(J57="",Parametros!$B$14+Parametros!$B$18&gt;=1),"",J57/(1-Parametros!$B$14-Parametros!$B$18))</f>
        <v/>
      </c>
      <c r="Q57" s="17" t="str">
        <f aca="false">IF(B57="","",IF(E57="","SIN RECETA",IF(J57="","FALTAN DATOS",IF(NOT(ISNUMBER(G57)),"FALTA PRECIO",IF(M57&lt;0,"PIERDE",IF(N57&lt;Parametros!$B$18,"BAJO META","OK"))))))</f>
        <v>SIN RECETA</v>
      </c>
      <c r="R57" s="18" t="str">
        <f aca="false">IF(B57="","",IF(E57="","Elegir receta (molde).",IF(ISNA(MATCH(E57,Recetas!$A$5:$A$84,0)),"La receta no existe en Recetas.",IF(J57="","Completar la receta "&amp;E57&amp;": "&amp;INDEX(Recetas!$T$5:$T$84,MATCH(E57,Recetas!$A$5:$A$84,0)),IF(NOT(ISNUMBER(G57)),"Precio de venta.","")))))</f>
        <v>Elegir receta (molde).</v>
      </c>
    </row>
    <row r="58" customFormat="false" ht="22.35" hidden="false" customHeight="false" outlineLevel="0" collapsed="false">
      <c r="A58" s="10" t="s">
        <v>170</v>
      </c>
      <c r="B58" s="10" t="s">
        <v>171</v>
      </c>
      <c r="C58" s="10" t="s">
        <v>66</v>
      </c>
      <c r="D58" s="10" t="n">
        <v>13</v>
      </c>
      <c r="E58" s="11"/>
      <c r="F58" s="12"/>
      <c r="G58" s="12" t="n">
        <v>17646</v>
      </c>
      <c r="H58" s="11" t="s">
        <v>45</v>
      </c>
      <c r="I58" s="13" t="s">
        <v>56</v>
      </c>
      <c r="J58" s="14" t="str">
        <f aca="false">IF(OR(B58="",E58=""),"",IF(IFERROR(INDEX(Recetas!$S$5:$S$84,MATCH(E58,Recetas!$A$5:$A$84,0)),"")="","",IFERROR(INDEX(Recetas!$S$5:$S$84,MATCH(E58,Recetas!$A$5:$A$84,0)),"")+N(F58)))</f>
        <v/>
      </c>
      <c r="K58" s="15" t="str">
        <f aca="false">IF(AND(J58&lt;&gt;"",ISNUMBER(G58)),G58*Parametros!$B$12,"")</f>
        <v/>
      </c>
      <c r="L58" s="15" t="str">
        <f aca="false">IF(AND(J58&lt;&gt;"",ISNUMBER(G58)),G58*Parametros!$B$13,"")</f>
        <v/>
      </c>
      <c r="M58" s="14" t="str">
        <f aca="false">IF(AND(J58&lt;&gt;"",ISNUMBER(G58)),G58-J58-K58-L58,"")</f>
        <v/>
      </c>
      <c r="N58" s="16" t="str">
        <f aca="false">IF(AND(J58&lt;&gt;"",ISNUMBER(G58)),M58/G58,"")</f>
        <v/>
      </c>
      <c r="O58" s="15" t="str">
        <f aca="false">IF(OR(J58="",Parametros!$B$14&gt;=1),"",J58/(1-Parametros!$B$14))</f>
        <v/>
      </c>
      <c r="P58" s="15" t="str">
        <f aca="false">IF(OR(J58="",Parametros!$B$14+Parametros!$B$18&gt;=1),"",J58/(1-Parametros!$B$14-Parametros!$B$18))</f>
        <v/>
      </c>
      <c r="Q58" s="17" t="str">
        <f aca="false">IF(B58="","",IF(E58="","SIN RECETA",IF(J58="","FALTAN DATOS",IF(NOT(ISNUMBER(G58)),"FALTA PRECIO",IF(M58&lt;0,"PIERDE",IF(N58&lt;Parametros!$B$18,"BAJO META","OK"))))))</f>
        <v>SIN RECETA</v>
      </c>
      <c r="R58" s="18" t="str">
        <f aca="false">IF(B58="","",IF(E58="","Elegir receta (molde).",IF(ISNA(MATCH(E58,Recetas!$A$5:$A$84,0)),"La receta no existe en Recetas.",IF(J58="","Completar la receta "&amp;E58&amp;": "&amp;INDEX(Recetas!$T$5:$T$84,MATCH(E58,Recetas!$A$5:$A$84,0)),IF(NOT(ISNUMBER(G58)),"Precio de venta.","")))))</f>
        <v>Elegir receta (molde).</v>
      </c>
    </row>
    <row r="59" customFormat="false" ht="22.35" hidden="false" customHeight="false" outlineLevel="0" collapsed="false">
      <c r="A59" s="10" t="s">
        <v>172</v>
      </c>
      <c r="B59" s="10" t="s">
        <v>173</v>
      </c>
      <c r="C59" s="10" t="s">
        <v>43</v>
      </c>
      <c r="D59" s="10" t="n">
        <v>13</v>
      </c>
      <c r="E59" s="11"/>
      <c r="F59" s="12"/>
      <c r="G59" s="12" t="n">
        <v>16723</v>
      </c>
      <c r="H59" s="11" t="s">
        <v>45</v>
      </c>
      <c r="I59" s="13" t="s">
        <v>56</v>
      </c>
      <c r="J59" s="14" t="str">
        <f aca="false">IF(OR(B59="",E59=""),"",IF(IFERROR(INDEX(Recetas!$S$5:$S$84,MATCH(E59,Recetas!$A$5:$A$84,0)),"")="","",IFERROR(INDEX(Recetas!$S$5:$S$84,MATCH(E59,Recetas!$A$5:$A$84,0)),"")+N(F59)))</f>
        <v/>
      </c>
      <c r="K59" s="15" t="str">
        <f aca="false">IF(AND(J59&lt;&gt;"",ISNUMBER(G59)),G59*Parametros!$B$12,"")</f>
        <v/>
      </c>
      <c r="L59" s="15" t="str">
        <f aca="false">IF(AND(J59&lt;&gt;"",ISNUMBER(G59)),G59*Parametros!$B$13,"")</f>
        <v/>
      </c>
      <c r="M59" s="14" t="str">
        <f aca="false">IF(AND(J59&lt;&gt;"",ISNUMBER(G59)),G59-J59-K59-L59,"")</f>
        <v/>
      </c>
      <c r="N59" s="16" t="str">
        <f aca="false">IF(AND(J59&lt;&gt;"",ISNUMBER(G59)),M59/G59,"")</f>
        <v/>
      </c>
      <c r="O59" s="15" t="str">
        <f aca="false">IF(OR(J59="",Parametros!$B$14&gt;=1),"",J59/(1-Parametros!$B$14))</f>
        <v/>
      </c>
      <c r="P59" s="15" t="str">
        <f aca="false">IF(OR(J59="",Parametros!$B$14+Parametros!$B$18&gt;=1),"",J59/(1-Parametros!$B$14-Parametros!$B$18))</f>
        <v/>
      </c>
      <c r="Q59" s="17" t="str">
        <f aca="false">IF(B59="","",IF(E59="","SIN RECETA",IF(J59="","FALTAN DATOS",IF(NOT(ISNUMBER(G59)),"FALTA PRECIO",IF(M59&lt;0,"PIERDE",IF(N59&lt;Parametros!$B$18,"BAJO META","OK"))))))</f>
        <v>SIN RECETA</v>
      </c>
      <c r="R59" s="18" t="str">
        <f aca="false">IF(B59="","",IF(E59="","Elegir receta (molde).",IF(ISNA(MATCH(E59,Recetas!$A$5:$A$84,0)),"La receta no existe en Recetas.",IF(J59="","Completar la receta "&amp;E59&amp;": "&amp;INDEX(Recetas!$T$5:$T$84,MATCH(E59,Recetas!$A$5:$A$84,0)),IF(NOT(ISNUMBER(G59)),"Precio de venta.","")))))</f>
        <v>Elegir receta (molde).</v>
      </c>
    </row>
    <row r="60" customFormat="false" ht="22.35" hidden="false" customHeight="false" outlineLevel="0" collapsed="false">
      <c r="A60" s="10" t="s">
        <v>174</v>
      </c>
      <c r="B60" s="10" t="s">
        <v>175</v>
      </c>
      <c r="C60" s="10" t="s">
        <v>66</v>
      </c>
      <c r="D60" s="10" t="n">
        <v>13</v>
      </c>
      <c r="E60" s="11"/>
      <c r="F60" s="12"/>
      <c r="G60" s="12" t="n">
        <v>17563</v>
      </c>
      <c r="H60" s="11" t="s">
        <v>45</v>
      </c>
      <c r="I60" s="13" t="s">
        <v>56</v>
      </c>
      <c r="J60" s="14" t="str">
        <f aca="false">IF(OR(B60="",E60=""),"",IF(IFERROR(INDEX(Recetas!$S$5:$S$84,MATCH(E60,Recetas!$A$5:$A$84,0)),"")="","",IFERROR(INDEX(Recetas!$S$5:$S$84,MATCH(E60,Recetas!$A$5:$A$84,0)),"")+N(F60)))</f>
        <v/>
      </c>
      <c r="K60" s="15" t="str">
        <f aca="false">IF(AND(J60&lt;&gt;"",ISNUMBER(G60)),G60*Parametros!$B$12,"")</f>
        <v/>
      </c>
      <c r="L60" s="15" t="str">
        <f aca="false">IF(AND(J60&lt;&gt;"",ISNUMBER(G60)),G60*Parametros!$B$13,"")</f>
        <v/>
      </c>
      <c r="M60" s="14" t="str">
        <f aca="false">IF(AND(J60&lt;&gt;"",ISNUMBER(G60)),G60-J60-K60-L60,"")</f>
        <v/>
      </c>
      <c r="N60" s="16" t="str">
        <f aca="false">IF(AND(J60&lt;&gt;"",ISNUMBER(G60)),M60/G60,"")</f>
        <v/>
      </c>
      <c r="O60" s="15" t="str">
        <f aca="false">IF(OR(J60="",Parametros!$B$14&gt;=1),"",J60/(1-Parametros!$B$14))</f>
        <v/>
      </c>
      <c r="P60" s="15" t="str">
        <f aca="false">IF(OR(J60="",Parametros!$B$14+Parametros!$B$18&gt;=1),"",J60/(1-Parametros!$B$14-Parametros!$B$18))</f>
        <v/>
      </c>
      <c r="Q60" s="17" t="str">
        <f aca="false">IF(B60="","",IF(E60="","SIN RECETA",IF(J60="","FALTAN DATOS",IF(NOT(ISNUMBER(G60)),"FALTA PRECIO",IF(M60&lt;0,"PIERDE",IF(N60&lt;Parametros!$B$18,"BAJO META","OK"))))))</f>
        <v>SIN RECETA</v>
      </c>
      <c r="R60" s="18" t="str">
        <f aca="false">IF(B60="","",IF(E60="","Elegir receta (molde).",IF(ISNA(MATCH(E60,Recetas!$A$5:$A$84,0)),"La receta no existe en Recetas.",IF(J60="","Completar la receta "&amp;E60&amp;": "&amp;INDEX(Recetas!$T$5:$T$84,MATCH(E60,Recetas!$A$5:$A$84,0)),IF(NOT(ISNUMBER(G60)),"Precio de venta.","")))))</f>
        <v>Elegir receta (molde).</v>
      </c>
    </row>
    <row r="61" customFormat="false" ht="22.35" hidden="false" customHeight="false" outlineLevel="0" collapsed="false">
      <c r="A61" s="10" t="s">
        <v>176</v>
      </c>
      <c r="B61" s="10" t="s">
        <v>177</v>
      </c>
      <c r="C61" s="10" t="s">
        <v>43</v>
      </c>
      <c r="D61" s="10" t="n">
        <v>12</v>
      </c>
      <c r="E61" s="11"/>
      <c r="F61" s="12"/>
      <c r="G61" s="12" t="n">
        <v>16554</v>
      </c>
      <c r="H61" s="11" t="s">
        <v>45</v>
      </c>
      <c r="I61" s="13" t="s">
        <v>56</v>
      </c>
      <c r="J61" s="14" t="str">
        <f aca="false">IF(OR(B61="",E61=""),"",IF(IFERROR(INDEX(Recetas!$S$5:$S$84,MATCH(E61,Recetas!$A$5:$A$84,0)),"")="","",IFERROR(INDEX(Recetas!$S$5:$S$84,MATCH(E61,Recetas!$A$5:$A$84,0)),"")+N(F61)))</f>
        <v/>
      </c>
      <c r="K61" s="15" t="str">
        <f aca="false">IF(AND(J61&lt;&gt;"",ISNUMBER(G61)),G61*Parametros!$B$12,"")</f>
        <v/>
      </c>
      <c r="L61" s="15" t="str">
        <f aca="false">IF(AND(J61&lt;&gt;"",ISNUMBER(G61)),G61*Parametros!$B$13,"")</f>
        <v/>
      </c>
      <c r="M61" s="14" t="str">
        <f aca="false">IF(AND(J61&lt;&gt;"",ISNUMBER(G61)),G61-J61-K61-L61,"")</f>
        <v/>
      </c>
      <c r="N61" s="16" t="str">
        <f aca="false">IF(AND(J61&lt;&gt;"",ISNUMBER(G61)),M61/G61,"")</f>
        <v/>
      </c>
      <c r="O61" s="15" t="str">
        <f aca="false">IF(OR(J61="",Parametros!$B$14&gt;=1),"",J61/(1-Parametros!$B$14))</f>
        <v/>
      </c>
      <c r="P61" s="15" t="str">
        <f aca="false">IF(OR(J61="",Parametros!$B$14+Parametros!$B$18&gt;=1),"",J61/(1-Parametros!$B$14-Parametros!$B$18))</f>
        <v/>
      </c>
      <c r="Q61" s="17" t="str">
        <f aca="false">IF(B61="","",IF(E61="","SIN RECETA",IF(J61="","FALTAN DATOS",IF(NOT(ISNUMBER(G61)),"FALTA PRECIO",IF(M61&lt;0,"PIERDE",IF(N61&lt;Parametros!$B$18,"BAJO META","OK"))))))</f>
        <v>SIN RECETA</v>
      </c>
      <c r="R61" s="18" t="str">
        <f aca="false">IF(B61="","",IF(E61="","Elegir receta (molde).",IF(ISNA(MATCH(E61,Recetas!$A$5:$A$84,0)),"La receta no existe en Recetas.",IF(J61="","Completar la receta "&amp;E61&amp;": "&amp;INDEX(Recetas!$T$5:$T$84,MATCH(E61,Recetas!$A$5:$A$84,0)),IF(NOT(ISNUMBER(G61)),"Precio de venta.","")))))</f>
        <v>Elegir receta (molde).</v>
      </c>
    </row>
    <row r="62" customFormat="false" ht="22.35" hidden="false" customHeight="false" outlineLevel="0" collapsed="false">
      <c r="A62" s="10" t="s">
        <v>178</v>
      </c>
      <c r="B62" s="10" t="s">
        <v>179</v>
      </c>
      <c r="C62" s="10" t="s">
        <v>66</v>
      </c>
      <c r="D62" s="10" t="n">
        <v>12</v>
      </c>
      <c r="E62" s="11"/>
      <c r="F62" s="12"/>
      <c r="G62" s="12" t="n">
        <v>30168</v>
      </c>
      <c r="H62" s="11" t="s">
        <v>45</v>
      </c>
      <c r="I62" s="13" t="s">
        <v>56</v>
      </c>
      <c r="J62" s="14" t="str">
        <f aca="false">IF(OR(B62="",E62=""),"",IF(IFERROR(INDEX(Recetas!$S$5:$S$84,MATCH(E62,Recetas!$A$5:$A$84,0)),"")="","",IFERROR(INDEX(Recetas!$S$5:$S$84,MATCH(E62,Recetas!$A$5:$A$84,0)),"")+N(F62)))</f>
        <v/>
      </c>
      <c r="K62" s="15" t="str">
        <f aca="false">IF(AND(J62&lt;&gt;"",ISNUMBER(G62)),G62*Parametros!$B$12,"")</f>
        <v/>
      </c>
      <c r="L62" s="15" t="str">
        <f aca="false">IF(AND(J62&lt;&gt;"",ISNUMBER(G62)),G62*Parametros!$B$13,"")</f>
        <v/>
      </c>
      <c r="M62" s="14" t="str">
        <f aca="false">IF(AND(J62&lt;&gt;"",ISNUMBER(G62)),G62-J62-K62-L62,"")</f>
        <v/>
      </c>
      <c r="N62" s="16" t="str">
        <f aca="false">IF(AND(J62&lt;&gt;"",ISNUMBER(G62)),M62/G62,"")</f>
        <v/>
      </c>
      <c r="O62" s="15" t="str">
        <f aca="false">IF(OR(J62="",Parametros!$B$14&gt;=1),"",J62/(1-Parametros!$B$14))</f>
        <v/>
      </c>
      <c r="P62" s="15" t="str">
        <f aca="false">IF(OR(J62="",Parametros!$B$14+Parametros!$B$18&gt;=1),"",J62/(1-Parametros!$B$14-Parametros!$B$18))</f>
        <v/>
      </c>
      <c r="Q62" s="17" t="str">
        <f aca="false">IF(B62="","",IF(E62="","SIN RECETA",IF(J62="","FALTAN DATOS",IF(NOT(ISNUMBER(G62)),"FALTA PRECIO",IF(M62&lt;0,"PIERDE",IF(N62&lt;Parametros!$B$18,"BAJO META","OK"))))))</f>
        <v>SIN RECETA</v>
      </c>
      <c r="R62" s="18" t="str">
        <f aca="false">IF(B62="","",IF(E62="","Elegir receta (molde).",IF(ISNA(MATCH(E62,Recetas!$A$5:$A$84,0)),"La receta no existe en Recetas.",IF(J62="","Completar la receta "&amp;E62&amp;": "&amp;INDEX(Recetas!$T$5:$T$84,MATCH(E62,Recetas!$A$5:$A$84,0)),IF(NOT(ISNUMBER(G62)),"Precio de venta.","")))))</f>
        <v>Elegir receta (molde).</v>
      </c>
    </row>
    <row r="63" customFormat="false" ht="22.35" hidden="false" customHeight="false" outlineLevel="0" collapsed="false">
      <c r="A63" s="10" t="s">
        <v>180</v>
      </c>
      <c r="B63" s="10" t="s">
        <v>181</v>
      </c>
      <c r="C63" s="10" t="s">
        <v>43</v>
      </c>
      <c r="D63" s="10" t="n">
        <v>12</v>
      </c>
      <c r="E63" s="11"/>
      <c r="F63" s="12"/>
      <c r="G63" s="12" t="n">
        <v>17563</v>
      </c>
      <c r="H63" s="11" t="s">
        <v>45</v>
      </c>
      <c r="I63" s="13" t="s">
        <v>56</v>
      </c>
      <c r="J63" s="14" t="str">
        <f aca="false">IF(OR(B63="",E63=""),"",IF(IFERROR(INDEX(Recetas!$S$5:$S$84,MATCH(E63,Recetas!$A$5:$A$84,0)),"")="","",IFERROR(INDEX(Recetas!$S$5:$S$84,MATCH(E63,Recetas!$A$5:$A$84,0)),"")+N(F63)))</f>
        <v/>
      </c>
      <c r="K63" s="15" t="str">
        <f aca="false">IF(AND(J63&lt;&gt;"",ISNUMBER(G63)),G63*Parametros!$B$12,"")</f>
        <v/>
      </c>
      <c r="L63" s="15" t="str">
        <f aca="false">IF(AND(J63&lt;&gt;"",ISNUMBER(G63)),G63*Parametros!$B$13,"")</f>
        <v/>
      </c>
      <c r="M63" s="14" t="str">
        <f aca="false">IF(AND(J63&lt;&gt;"",ISNUMBER(G63)),G63-J63-K63-L63,"")</f>
        <v/>
      </c>
      <c r="N63" s="16" t="str">
        <f aca="false">IF(AND(J63&lt;&gt;"",ISNUMBER(G63)),M63/G63,"")</f>
        <v/>
      </c>
      <c r="O63" s="15" t="str">
        <f aca="false">IF(OR(J63="",Parametros!$B$14&gt;=1),"",J63/(1-Parametros!$B$14))</f>
        <v/>
      </c>
      <c r="P63" s="15" t="str">
        <f aca="false">IF(OR(J63="",Parametros!$B$14+Parametros!$B$18&gt;=1),"",J63/(1-Parametros!$B$14-Parametros!$B$18))</f>
        <v/>
      </c>
      <c r="Q63" s="17" t="str">
        <f aca="false">IF(B63="","",IF(E63="","SIN RECETA",IF(J63="","FALTAN DATOS",IF(NOT(ISNUMBER(G63)),"FALTA PRECIO",IF(M63&lt;0,"PIERDE",IF(N63&lt;Parametros!$B$18,"BAJO META","OK"))))))</f>
        <v>SIN RECETA</v>
      </c>
      <c r="R63" s="18" t="str">
        <f aca="false">IF(B63="","",IF(E63="","Elegir receta (molde).",IF(ISNA(MATCH(E63,Recetas!$A$5:$A$84,0)),"La receta no existe en Recetas.",IF(J63="","Completar la receta "&amp;E63&amp;": "&amp;INDEX(Recetas!$T$5:$T$84,MATCH(E63,Recetas!$A$5:$A$84,0)),IF(NOT(ISNUMBER(G63)),"Precio de venta.","")))))</f>
        <v>Elegir receta (molde).</v>
      </c>
    </row>
    <row r="64" customFormat="false" ht="22.35" hidden="false" customHeight="false" outlineLevel="0" collapsed="false">
      <c r="A64" s="10" t="s">
        <v>182</v>
      </c>
      <c r="B64" s="10" t="s">
        <v>183</v>
      </c>
      <c r="C64" s="10" t="s">
        <v>43</v>
      </c>
      <c r="D64" s="10" t="n">
        <v>12</v>
      </c>
      <c r="E64" s="11"/>
      <c r="F64" s="12"/>
      <c r="G64" s="12" t="n">
        <v>19244</v>
      </c>
      <c r="H64" s="11" t="s">
        <v>45</v>
      </c>
      <c r="I64" s="13" t="s">
        <v>56</v>
      </c>
      <c r="J64" s="14" t="str">
        <f aca="false">IF(OR(B64="",E64=""),"",IF(IFERROR(INDEX(Recetas!$S$5:$S$84,MATCH(E64,Recetas!$A$5:$A$84,0)),"")="","",IFERROR(INDEX(Recetas!$S$5:$S$84,MATCH(E64,Recetas!$A$5:$A$84,0)),"")+N(F64)))</f>
        <v/>
      </c>
      <c r="K64" s="15" t="str">
        <f aca="false">IF(AND(J64&lt;&gt;"",ISNUMBER(G64)),G64*Parametros!$B$12,"")</f>
        <v/>
      </c>
      <c r="L64" s="15" t="str">
        <f aca="false">IF(AND(J64&lt;&gt;"",ISNUMBER(G64)),G64*Parametros!$B$13,"")</f>
        <v/>
      </c>
      <c r="M64" s="14" t="str">
        <f aca="false">IF(AND(J64&lt;&gt;"",ISNUMBER(G64)),G64-J64-K64-L64,"")</f>
        <v/>
      </c>
      <c r="N64" s="16" t="str">
        <f aca="false">IF(AND(J64&lt;&gt;"",ISNUMBER(G64)),M64/G64,"")</f>
        <v/>
      </c>
      <c r="O64" s="15" t="str">
        <f aca="false">IF(OR(J64="",Parametros!$B$14&gt;=1),"",J64/(1-Parametros!$B$14))</f>
        <v/>
      </c>
      <c r="P64" s="15" t="str">
        <f aca="false">IF(OR(J64="",Parametros!$B$14+Parametros!$B$18&gt;=1),"",J64/(1-Parametros!$B$14-Parametros!$B$18))</f>
        <v/>
      </c>
      <c r="Q64" s="17" t="str">
        <f aca="false">IF(B64="","",IF(E64="","SIN RECETA",IF(J64="","FALTAN DATOS",IF(NOT(ISNUMBER(G64)),"FALTA PRECIO",IF(M64&lt;0,"PIERDE",IF(N64&lt;Parametros!$B$18,"BAJO META","OK"))))))</f>
        <v>SIN RECETA</v>
      </c>
      <c r="R64" s="18" t="str">
        <f aca="false">IF(B64="","",IF(E64="","Elegir receta (molde).",IF(ISNA(MATCH(E64,Recetas!$A$5:$A$84,0)),"La receta no existe en Recetas.",IF(J64="","Completar la receta "&amp;E64&amp;": "&amp;INDEX(Recetas!$T$5:$T$84,MATCH(E64,Recetas!$A$5:$A$84,0)),IF(NOT(ISNUMBER(G64)),"Precio de venta.","")))))</f>
        <v>Elegir receta (molde).</v>
      </c>
    </row>
    <row r="65" customFormat="false" ht="22.35" hidden="false" customHeight="false" outlineLevel="0" collapsed="false">
      <c r="A65" s="10" t="s">
        <v>184</v>
      </c>
      <c r="B65" s="10" t="s">
        <v>185</v>
      </c>
      <c r="C65" s="10" t="s">
        <v>66</v>
      </c>
      <c r="D65" s="10" t="n">
        <v>11</v>
      </c>
      <c r="E65" s="11"/>
      <c r="F65" s="12"/>
      <c r="G65" s="12" t="n">
        <v>20084</v>
      </c>
      <c r="H65" s="11" t="s">
        <v>45</v>
      </c>
      <c r="I65" s="13" t="s">
        <v>56</v>
      </c>
      <c r="J65" s="14" t="str">
        <f aca="false">IF(OR(B65="",E65=""),"",IF(IFERROR(INDEX(Recetas!$S$5:$S$84,MATCH(E65,Recetas!$A$5:$A$84,0)),"")="","",IFERROR(INDEX(Recetas!$S$5:$S$84,MATCH(E65,Recetas!$A$5:$A$84,0)),"")+N(F65)))</f>
        <v/>
      </c>
      <c r="K65" s="15" t="str">
        <f aca="false">IF(AND(J65&lt;&gt;"",ISNUMBER(G65)),G65*Parametros!$B$12,"")</f>
        <v/>
      </c>
      <c r="L65" s="15" t="str">
        <f aca="false">IF(AND(J65&lt;&gt;"",ISNUMBER(G65)),G65*Parametros!$B$13,"")</f>
        <v/>
      </c>
      <c r="M65" s="14" t="str">
        <f aca="false">IF(AND(J65&lt;&gt;"",ISNUMBER(G65)),G65-J65-K65-L65,"")</f>
        <v/>
      </c>
      <c r="N65" s="16" t="str">
        <f aca="false">IF(AND(J65&lt;&gt;"",ISNUMBER(G65)),M65/G65,"")</f>
        <v/>
      </c>
      <c r="O65" s="15" t="str">
        <f aca="false">IF(OR(J65="",Parametros!$B$14&gt;=1),"",J65/(1-Parametros!$B$14))</f>
        <v/>
      </c>
      <c r="P65" s="15" t="str">
        <f aca="false">IF(OR(J65="",Parametros!$B$14+Parametros!$B$18&gt;=1),"",J65/(1-Parametros!$B$14-Parametros!$B$18))</f>
        <v/>
      </c>
      <c r="Q65" s="17" t="str">
        <f aca="false">IF(B65="","",IF(E65="","SIN RECETA",IF(J65="","FALTAN DATOS",IF(NOT(ISNUMBER(G65)),"FALTA PRECIO",IF(M65&lt;0,"PIERDE",IF(N65&lt;Parametros!$B$18,"BAJO META","OK"))))))</f>
        <v>SIN RECETA</v>
      </c>
      <c r="R65" s="18" t="str">
        <f aca="false">IF(B65="","",IF(E65="","Elegir receta (molde).",IF(ISNA(MATCH(E65,Recetas!$A$5:$A$84,0)),"La receta no existe en Recetas.",IF(J65="","Completar la receta "&amp;E65&amp;": "&amp;INDEX(Recetas!$T$5:$T$84,MATCH(E65,Recetas!$A$5:$A$84,0)),IF(NOT(ISNUMBER(G65)),"Precio de venta.","")))))</f>
        <v>Elegir receta (molde).</v>
      </c>
    </row>
    <row r="66" customFormat="false" ht="22.35" hidden="false" customHeight="false" outlineLevel="0" collapsed="false">
      <c r="A66" s="10" t="s">
        <v>186</v>
      </c>
      <c r="B66" s="10" t="s">
        <v>187</v>
      </c>
      <c r="C66" s="10" t="s">
        <v>43</v>
      </c>
      <c r="D66" s="10" t="n">
        <v>9</v>
      </c>
      <c r="E66" s="11"/>
      <c r="F66" s="12"/>
      <c r="G66" s="12" t="n">
        <v>17143</v>
      </c>
      <c r="H66" s="11" t="s">
        <v>45</v>
      </c>
      <c r="I66" s="13" t="s">
        <v>56</v>
      </c>
      <c r="J66" s="14" t="str">
        <f aca="false">IF(OR(B66="",E66=""),"",IF(IFERROR(INDEX(Recetas!$S$5:$S$84,MATCH(E66,Recetas!$A$5:$A$84,0)),"")="","",IFERROR(INDEX(Recetas!$S$5:$S$84,MATCH(E66,Recetas!$A$5:$A$84,0)),"")+N(F66)))</f>
        <v/>
      </c>
      <c r="K66" s="15" t="str">
        <f aca="false">IF(AND(J66&lt;&gt;"",ISNUMBER(G66)),G66*Parametros!$B$12,"")</f>
        <v/>
      </c>
      <c r="L66" s="15" t="str">
        <f aca="false">IF(AND(J66&lt;&gt;"",ISNUMBER(G66)),G66*Parametros!$B$13,"")</f>
        <v/>
      </c>
      <c r="M66" s="14" t="str">
        <f aca="false">IF(AND(J66&lt;&gt;"",ISNUMBER(G66)),G66-J66-K66-L66,"")</f>
        <v/>
      </c>
      <c r="N66" s="16" t="str">
        <f aca="false">IF(AND(J66&lt;&gt;"",ISNUMBER(G66)),M66/G66,"")</f>
        <v/>
      </c>
      <c r="O66" s="15" t="str">
        <f aca="false">IF(OR(J66="",Parametros!$B$14&gt;=1),"",J66/(1-Parametros!$B$14))</f>
        <v/>
      </c>
      <c r="P66" s="15" t="str">
        <f aca="false">IF(OR(J66="",Parametros!$B$14+Parametros!$B$18&gt;=1),"",J66/(1-Parametros!$B$14-Parametros!$B$18))</f>
        <v/>
      </c>
      <c r="Q66" s="17" t="str">
        <f aca="false">IF(B66="","",IF(E66="","SIN RECETA",IF(J66="","FALTAN DATOS",IF(NOT(ISNUMBER(G66)),"FALTA PRECIO",IF(M66&lt;0,"PIERDE",IF(N66&lt;Parametros!$B$18,"BAJO META","OK"))))))</f>
        <v>SIN RECETA</v>
      </c>
      <c r="R66" s="18" t="str">
        <f aca="false">IF(B66="","",IF(E66="","Elegir receta (molde).",IF(ISNA(MATCH(E66,Recetas!$A$5:$A$84,0)),"La receta no existe en Recetas.",IF(J66="","Completar la receta "&amp;E66&amp;": "&amp;INDEX(Recetas!$T$5:$T$84,MATCH(E66,Recetas!$A$5:$A$84,0)),IF(NOT(ISNUMBER(G66)),"Precio de venta.","")))))</f>
        <v>Elegir receta (molde).</v>
      </c>
    </row>
    <row r="67" customFormat="false" ht="22.35" hidden="false" customHeight="false" outlineLevel="0" collapsed="false">
      <c r="A67" s="10" t="s">
        <v>188</v>
      </c>
      <c r="B67" s="10" t="s">
        <v>189</v>
      </c>
      <c r="C67" s="10" t="s">
        <v>66</v>
      </c>
      <c r="D67" s="10" t="n">
        <v>6</v>
      </c>
      <c r="E67" s="11"/>
      <c r="F67" s="12"/>
      <c r="G67" s="12" t="n">
        <v>32731</v>
      </c>
      <c r="H67" s="11" t="s">
        <v>45</v>
      </c>
      <c r="I67" s="13" t="s">
        <v>56</v>
      </c>
      <c r="J67" s="14" t="str">
        <f aca="false">IF(OR(B67="",E67=""),"",IF(IFERROR(INDEX(Recetas!$S$5:$S$84,MATCH(E67,Recetas!$A$5:$A$84,0)),"")="","",IFERROR(INDEX(Recetas!$S$5:$S$84,MATCH(E67,Recetas!$A$5:$A$84,0)),"")+N(F67)))</f>
        <v/>
      </c>
      <c r="K67" s="15" t="str">
        <f aca="false">IF(AND(J67&lt;&gt;"",ISNUMBER(G67)),G67*Parametros!$B$12,"")</f>
        <v/>
      </c>
      <c r="L67" s="15" t="str">
        <f aca="false">IF(AND(J67&lt;&gt;"",ISNUMBER(G67)),G67*Parametros!$B$13,"")</f>
        <v/>
      </c>
      <c r="M67" s="14" t="str">
        <f aca="false">IF(AND(J67&lt;&gt;"",ISNUMBER(G67)),G67-J67-K67-L67,"")</f>
        <v/>
      </c>
      <c r="N67" s="16" t="str">
        <f aca="false">IF(AND(J67&lt;&gt;"",ISNUMBER(G67)),M67/G67,"")</f>
        <v/>
      </c>
      <c r="O67" s="15" t="str">
        <f aca="false">IF(OR(J67="",Parametros!$B$14&gt;=1),"",J67/(1-Parametros!$B$14))</f>
        <v/>
      </c>
      <c r="P67" s="15" t="str">
        <f aca="false">IF(OR(J67="",Parametros!$B$14+Parametros!$B$18&gt;=1),"",J67/(1-Parametros!$B$14-Parametros!$B$18))</f>
        <v/>
      </c>
      <c r="Q67" s="17" t="str">
        <f aca="false">IF(B67="","",IF(E67="","SIN RECETA",IF(J67="","FALTAN DATOS",IF(NOT(ISNUMBER(G67)),"FALTA PRECIO",IF(M67&lt;0,"PIERDE",IF(N67&lt;Parametros!$B$18,"BAJO META","OK"))))))</f>
        <v>SIN RECETA</v>
      </c>
      <c r="R67" s="18" t="str">
        <f aca="false">IF(B67="","",IF(E67="","Elegir receta (molde).",IF(ISNA(MATCH(E67,Recetas!$A$5:$A$84,0)),"La receta no existe en Recetas.",IF(J67="","Completar la receta "&amp;E67&amp;": "&amp;INDEX(Recetas!$T$5:$T$84,MATCH(E67,Recetas!$A$5:$A$84,0)),IF(NOT(ISNUMBER(G67)),"Precio de venta.","")))))</f>
        <v>Elegir receta (molde).</v>
      </c>
    </row>
    <row r="68" customFormat="false" ht="22.35" hidden="false" customHeight="false" outlineLevel="0" collapsed="false">
      <c r="A68" s="10" t="s">
        <v>190</v>
      </c>
      <c r="B68" s="10" t="s">
        <v>191</v>
      </c>
      <c r="C68" s="10" t="s">
        <v>43</v>
      </c>
      <c r="D68" s="10" t="n">
        <v>6</v>
      </c>
      <c r="E68" s="11"/>
      <c r="F68" s="12"/>
      <c r="G68" s="12" t="n">
        <v>16723</v>
      </c>
      <c r="H68" s="11" t="s">
        <v>45</v>
      </c>
      <c r="I68" s="13" t="s">
        <v>56</v>
      </c>
      <c r="J68" s="14" t="str">
        <f aca="false">IF(OR(B68="",E68=""),"",IF(IFERROR(INDEX(Recetas!$S$5:$S$84,MATCH(E68,Recetas!$A$5:$A$84,0)),"")="","",IFERROR(INDEX(Recetas!$S$5:$S$84,MATCH(E68,Recetas!$A$5:$A$84,0)),"")+N(F68)))</f>
        <v/>
      </c>
      <c r="K68" s="15" t="str">
        <f aca="false">IF(AND(J68&lt;&gt;"",ISNUMBER(G68)),G68*Parametros!$B$12,"")</f>
        <v/>
      </c>
      <c r="L68" s="15" t="str">
        <f aca="false">IF(AND(J68&lt;&gt;"",ISNUMBER(G68)),G68*Parametros!$B$13,"")</f>
        <v/>
      </c>
      <c r="M68" s="14" t="str">
        <f aca="false">IF(AND(J68&lt;&gt;"",ISNUMBER(G68)),G68-J68-K68-L68,"")</f>
        <v/>
      </c>
      <c r="N68" s="16" t="str">
        <f aca="false">IF(AND(J68&lt;&gt;"",ISNUMBER(G68)),M68/G68,"")</f>
        <v/>
      </c>
      <c r="O68" s="15" t="str">
        <f aca="false">IF(OR(J68="",Parametros!$B$14&gt;=1),"",J68/(1-Parametros!$B$14))</f>
        <v/>
      </c>
      <c r="P68" s="15" t="str">
        <f aca="false">IF(OR(J68="",Parametros!$B$14+Parametros!$B$18&gt;=1),"",J68/(1-Parametros!$B$14-Parametros!$B$18))</f>
        <v/>
      </c>
      <c r="Q68" s="17" t="str">
        <f aca="false">IF(B68="","",IF(E68="","SIN RECETA",IF(J68="","FALTAN DATOS",IF(NOT(ISNUMBER(G68)),"FALTA PRECIO",IF(M68&lt;0,"PIERDE",IF(N68&lt;Parametros!$B$18,"BAJO META","OK"))))))</f>
        <v>SIN RECETA</v>
      </c>
      <c r="R68" s="18" t="str">
        <f aca="false">IF(B68="","",IF(E68="","Elegir receta (molde).",IF(ISNA(MATCH(E68,Recetas!$A$5:$A$84,0)),"La receta no existe en Recetas.",IF(J68="","Completar la receta "&amp;E68&amp;": "&amp;INDEX(Recetas!$T$5:$T$84,MATCH(E68,Recetas!$A$5:$A$84,0)),IF(NOT(ISNUMBER(G68)),"Precio de venta.","")))))</f>
        <v>Elegir receta (molde).</v>
      </c>
    </row>
    <row r="69" customFormat="false" ht="22.35" hidden="false" customHeight="false" outlineLevel="0" collapsed="false">
      <c r="A69" s="10" t="s">
        <v>192</v>
      </c>
      <c r="B69" s="10" t="s">
        <v>193</v>
      </c>
      <c r="C69" s="10" t="s">
        <v>43</v>
      </c>
      <c r="D69" s="10" t="n">
        <v>5</v>
      </c>
      <c r="E69" s="11"/>
      <c r="F69" s="12"/>
      <c r="G69" s="12" t="n">
        <v>15882</v>
      </c>
      <c r="H69" s="11" t="s">
        <v>45</v>
      </c>
      <c r="I69" s="13" t="s">
        <v>56</v>
      </c>
      <c r="J69" s="14" t="str">
        <f aca="false">IF(OR(B69="",E69=""),"",IF(IFERROR(INDEX(Recetas!$S$5:$S$84,MATCH(E69,Recetas!$A$5:$A$84,0)),"")="","",IFERROR(INDEX(Recetas!$S$5:$S$84,MATCH(E69,Recetas!$A$5:$A$84,0)),"")+N(F69)))</f>
        <v/>
      </c>
      <c r="K69" s="15" t="str">
        <f aca="false">IF(AND(J69&lt;&gt;"",ISNUMBER(G69)),G69*Parametros!$B$12,"")</f>
        <v/>
      </c>
      <c r="L69" s="15" t="str">
        <f aca="false">IF(AND(J69&lt;&gt;"",ISNUMBER(G69)),G69*Parametros!$B$13,"")</f>
        <v/>
      </c>
      <c r="M69" s="14" t="str">
        <f aca="false">IF(AND(J69&lt;&gt;"",ISNUMBER(G69)),G69-J69-K69-L69,"")</f>
        <v/>
      </c>
      <c r="N69" s="16" t="str">
        <f aca="false">IF(AND(J69&lt;&gt;"",ISNUMBER(G69)),M69/G69,"")</f>
        <v/>
      </c>
      <c r="O69" s="15" t="str">
        <f aca="false">IF(OR(J69="",Parametros!$B$14&gt;=1),"",J69/(1-Parametros!$B$14))</f>
        <v/>
      </c>
      <c r="P69" s="15" t="str">
        <f aca="false">IF(OR(J69="",Parametros!$B$14+Parametros!$B$18&gt;=1),"",J69/(1-Parametros!$B$14-Parametros!$B$18))</f>
        <v/>
      </c>
      <c r="Q69" s="17" t="str">
        <f aca="false">IF(B69="","",IF(E69="","SIN RECETA",IF(J69="","FALTAN DATOS",IF(NOT(ISNUMBER(G69)),"FALTA PRECIO",IF(M69&lt;0,"PIERDE",IF(N69&lt;Parametros!$B$18,"BAJO META","OK"))))))</f>
        <v>SIN RECETA</v>
      </c>
      <c r="R69" s="18" t="str">
        <f aca="false">IF(B69="","",IF(E69="","Elegir receta (molde).",IF(ISNA(MATCH(E69,Recetas!$A$5:$A$84,0)),"La receta no existe en Recetas.",IF(J69="","Completar la receta "&amp;E69&amp;": "&amp;INDEX(Recetas!$T$5:$T$84,MATCH(E69,Recetas!$A$5:$A$84,0)),IF(NOT(ISNUMBER(G69)),"Precio de venta.","")))))</f>
        <v>Elegir receta (molde).</v>
      </c>
    </row>
    <row r="70" customFormat="false" ht="23.85" hidden="false" customHeight="false" outlineLevel="0" collapsed="false">
      <c r="A70" s="10" t="s">
        <v>194</v>
      </c>
      <c r="B70" s="10" t="s">
        <v>195</v>
      </c>
      <c r="C70" s="10" t="s">
        <v>43</v>
      </c>
      <c r="D70" s="10" t="n">
        <v>4</v>
      </c>
      <c r="E70" s="11" t="s">
        <v>196</v>
      </c>
      <c r="F70" s="12"/>
      <c r="G70" s="12" t="n">
        <v>12689</v>
      </c>
      <c r="H70" s="11" t="s">
        <v>45</v>
      </c>
      <c r="I70" s="13"/>
      <c r="J70" s="14" t="str">
        <f aca="false">IF(OR(B70="",E70=""),"",IF(IFERROR(INDEX(Recetas!$S$5:$S$84,MATCH(E70,Recetas!$A$5:$A$84,0)),"")="","",IFERROR(INDEX(Recetas!$S$5:$S$84,MATCH(E70,Recetas!$A$5:$A$84,0)),"")+N(F70)))</f>
        <v/>
      </c>
      <c r="K70" s="15" t="str">
        <f aca="false">IF(AND(J70&lt;&gt;"",ISNUMBER(G70)),G70*Parametros!$B$12,"")</f>
        <v/>
      </c>
      <c r="L70" s="15" t="str">
        <f aca="false">IF(AND(J70&lt;&gt;"",ISNUMBER(G70)),G70*Parametros!$B$13,"")</f>
        <v/>
      </c>
      <c r="M70" s="14" t="str">
        <f aca="false">IF(AND(J70&lt;&gt;"",ISNUMBER(G70)),G70-J70-K70-L70,"")</f>
        <v/>
      </c>
      <c r="N70" s="16" t="str">
        <f aca="false">IF(AND(J70&lt;&gt;"",ISNUMBER(G70)),M70/G70,"")</f>
        <v/>
      </c>
      <c r="O70" s="15" t="str">
        <f aca="false">IF(OR(J70="",Parametros!$B$14&gt;=1),"",J70/(1-Parametros!$B$14))</f>
        <v/>
      </c>
      <c r="P70" s="15" t="str">
        <f aca="false">IF(OR(J70="",Parametros!$B$14+Parametros!$B$18&gt;=1),"",J70/(1-Parametros!$B$14-Parametros!$B$18))</f>
        <v/>
      </c>
      <c r="Q70" s="17" t="str">
        <f aca="false">IF(B70="","",IF(E70="","SIN RECETA",IF(J70="","FALTAN DATOS",IF(NOT(ISNUMBER(G70)),"FALTA PRECIO",IF(M70&lt;0,"PIERDE",IF(N70&lt;Parametros!$B$18,"BAJO META","OK"))))))</f>
        <v>FALTAN DATOS</v>
      </c>
      <c r="R70" s="18" t="str">
        <f aca="false">IF(B70="","",IF(E70="","Elegir receta (molde).",IF(ISNA(MATCH(E70,Recetas!$A$5:$A$84,0)),"La receta no existe en Recetas.",IF(J70="","Completar la receta "&amp;E70&amp;": "&amp;INDEX(Recetas!$T$5:$T$84,MATCH(E70,Recetas!$A$5:$A$84,0)),IF(NOT(ISNUMBER(G70)),"Precio de venta.","")))))</f>
        <v>Completar la receta SM-04 · Calza Vóley: Tela sin precio. </v>
      </c>
    </row>
    <row r="71" customFormat="false" ht="22.35" hidden="false" customHeight="false" outlineLevel="0" collapsed="false">
      <c r="A71" s="10" t="s">
        <v>197</v>
      </c>
      <c r="B71" s="10" t="s">
        <v>198</v>
      </c>
      <c r="C71" s="10" t="s">
        <v>66</v>
      </c>
      <c r="D71" s="10" t="n">
        <v>4</v>
      </c>
      <c r="E71" s="11"/>
      <c r="F71" s="12"/>
      <c r="G71" s="12" t="n">
        <v>13445</v>
      </c>
      <c r="H71" s="11" t="s">
        <v>45</v>
      </c>
      <c r="I71" s="13" t="s">
        <v>56</v>
      </c>
      <c r="J71" s="14" t="str">
        <f aca="false">IF(OR(B71="",E71=""),"",IF(IFERROR(INDEX(Recetas!$S$5:$S$84,MATCH(E71,Recetas!$A$5:$A$84,0)),"")="","",IFERROR(INDEX(Recetas!$S$5:$S$84,MATCH(E71,Recetas!$A$5:$A$84,0)),"")+N(F71)))</f>
        <v/>
      </c>
      <c r="K71" s="15" t="str">
        <f aca="false">IF(AND(J71&lt;&gt;"",ISNUMBER(G71)),G71*Parametros!$B$12,"")</f>
        <v/>
      </c>
      <c r="L71" s="15" t="str">
        <f aca="false">IF(AND(J71&lt;&gt;"",ISNUMBER(G71)),G71*Parametros!$B$13,"")</f>
        <v/>
      </c>
      <c r="M71" s="14" t="str">
        <f aca="false">IF(AND(J71&lt;&gt;"",ISNUMBER(G71)),G71-J71-K71-L71,"")</f>
        <v/>
      </c>
      <c r="N71" s="16" t="str">
        <f aca="false">IF(AND(J71&lt;&gt;"",ISNUMBER(G71)),M71/G71,"")</f>
        <v/>
      </c>
      <c r="O71" s="15" t="str">
        <f aca="false">IF(OR(J71="",Parametros!$B$14&gt;=1),"",J71/(1-Parametros!$B$14))</f>
        <v/>
      </c>
      <c r="P71" s="15" t="str">
        <f aca="false">IF(OR(J71="",Parametros!$B$14+Parametros!$B$18&gt;=1),"",J71/(1-Parametros!$B$14-Parametros!$B$18))</f>
        <v/>
      </c>
      <c r="Q71" s="17" t="str">
        <f aca="false">IF(B71="","",IF(E71="","SIN RECETA",IF(J71="","FALTAN DATOS",IF(NOT(ISNUMBER(G71)),"FALTA PRECIO",IF(M71&lt;0,"PIERDE",IF(N71&lt;Parametros!$B$18,"BAJO META","OK"))))))</f>
        <v>SIN RECETA</v>
      </c>
      <c r="R71" s="18" t="str">
        <f aca="false">IF(B71="","",IF(E71="","Elegir receta (molde).",IF(ISNA(MATCH(E71,Recetas!$A$5:$A$84,0)),"La receta no existe en Recetas.",IF(J71="","Completar la receta "&amp;E71&amp;": "&amp;INDEX(Recetas!$T$5:$T$84,MATCH(E71,Recetas!$A$5:$A$84,0)),IF(NOT(ISNUMBER(G71)),"Precio de venta.","")))))</f>
        <v>Elegir receta (molde).</v>
      </c>
    </row>
    <row r="72" customFormat="false" ht="22.35" hidden="false" customHeight="false" outlineLevel="0" collapsed="false">
      <c r="A72" s="10" t="s">
        <v>199</v>
      </c>
      <c r="B72" s="10" t="s">
        <v>200</v>
      </c>
      <c r="C72" s="10" t="s">
        <v>66</v>
      </c>
      <c r="D72" s="10" t="n">
        <v>4</v>
      </c>
      <c r="E72" s="11"/>
      <c r="F72" s="12"/>
      <c r="G72" s="12" t="n">
        <v>30168</v>
      </c>
      <c r="H72" s="11" t="s">
        <v>45</v>
      </c>
      <c r="I72" s="13" t="s">
        <v>56</v>
      </c>
      <c r="J72" s="14" t="str">
        <f aca="false">IF(OR(B72="",E72=""),"",IF(IFERROR(INDEX(Recetas!$S$5:$S$84,MATCH(E72,Recetas!$A$5:$A$84,0)),"")="","",IFERROR(INDEX(Recetas!$S$5:$S$84,MATCH(E72,Recetas!$A$5:$A$84,0)),"")+N(F72)))</f>
        <v/>
      </c>
      <c r="K72" s="15" t="str">
        <f aca="false">IF(AND(J72&lt;&gt;"",ISNUMBER(G72)),G72*Parametros!$B$12,"")</f>
        <v/>
      </c>
      <c r="L72" s="15" t="str">
        <f aca="false">IF(AND(J72&lt;&gt;"",ISNUMBER(G72)),G72*Parametros!$B$13,"")</f>
        <v/>
      </c>
      <c r="M72" s="14" t="str">
        <f aca="false">IF(AND(J72&lt;&gt;"",ISNUMBER(G72)),G72-J72-K72-L72,"")</f>
        <v/>
      </c>
      <c r="N72" s="16" t="str">
        <f aca="false">IF(AND(J72&lt;&gt;"",ISNUMBER(G72)),M72/G72,"")</f>
        <v/>
      </c>
      <c r="O72" s="15" t="str">
        <f aca="false">IF(OR(J72="",Parametros!$B$14&gt;=1),"",J72/(1-Parametros!$B$14))</f>
        <v/>
      </c>
      <c r="P72" s="15" t="str">
        <f aca="false">IF(OR(J72="",Parametros!$B$14+Parametros!$B$18&gt;=1),"",J72/(1-Parametros!$B$14-Parametros!$B$18))</f>
        <v/>
      </c>
      <c r="Q72" s="17" t="str">
        <f aca="false">IF(B72="","",IF(E72="","SIN RECETA",IF(J72="","FALTAN DATOS",IF(NOT(ISNUMBER(G72)),"FALTA PRECIO",IF(M72&lt;0,"PIERDE",IF(N72&lt;Parametros!$B$18,"BAJO META","OK"))))))</f>
        <v>SIN RECETA</v>
      </c>
      <c r="R72" s="18" t="str">
        <f aca="false">IF(B72="","",IF(E72="","Elegir receta (molde).",IF(ISNA(MATCH(E72,Recetas!$A$5:$A$84,0)),"La receta no existe en Recetas.",IF(J72="","Completar la receta "&amp;E72&amp;": "&amp;INDEX(Recetas!$T$5:$T$84,MATCH(E72,Recetas!$A$5:$A$84,0)),IF(NOT(ISNUMBER(G72)),"Precio de venta.","")))))</f>
        <v>Elegir receta (molde).</v>
      </c>
    </row>
    <row r="73" customFormat="false" ht="22.35" hidden="false" customHeight="false" outlineLevel="0" collapsed="false">
      <c r="A73" s="10" t="s">
        <v>201</v>
      </c>
      <c r="B73" s="10" t="s">
        <v>202</v>
      </c>
      <c r="C73" s="10" t="s">
        <v>43</v>
      </c>
      <c r="D73" s="10" t="n">
        <v>3</v>
      </c>
      <c r="E73" s="11"/>
      <c r="F73" s="12"/>
      <c r="G73" s="12" t="n">
        <v>16723</v>
      </c>
      <c r="H73" s="11" t="s">
        <v>45</v>
      </c>
      <c r="I73" s="13" t="s">
        <v>56</v>
      </c>
      <c r="J73" s="14" t="str">
        <f aca="false">IF(OR(B73="",E73=""),"",IF(IFERROR(INDEX(Recetas!$S$5:$S$84,MATCH(E73,Recetas!$A$5:$A$84,0)),"")="","",IFERROR(INDEX(Recetas!$S$5:$S$84,MATCH(E73,Recetas!$A$5:$A$84,0)),"")+N(F73)))</f>
        <v/>
      </c>
      <c r="K73" s="15" t="str">
        <f aca="false">IF(AND(J73&lt;&gt;"",ISNUMBER(G73)),G73*Parametros!$B$12,"")</f>
        <v/>
      </c>
      <c r="L73" s="15" t="str">
        <f aca="false">IF(AND(J73&lt;&gt;"",ISNUMBER(G73)),G73*Parametros!$B$13,"")</f>
        <v/>
      </c>
      <c r="M73" s="14" t="str">
        <f aca="false">IF(AND(J73&lt;&gt;"",ISNUMBER(G73)),G73-J73-K73-L73,"")</f>
        <v/>
      </c>
      <c r="N73" s="16" t="str">
        <f aca="false">IF(AND(J73&lt;&gt;"",ISNUMBER(G73)),M73/G73,"")</f>
        <v/>
      </c>
      <c r="O73" s="15" t="str">
        <f aca="false">IF(OR(J73="",Parametros!$B$14&gt;=1),"",J73/(1-Parametros!$B$14))</f>
        <v/>
      </c>
      <c r="P73" s="15" t="str">
        <f aca="false">IF(OR(J73="",Parametros!$B$14+Parametros!$B$18&gt;=1),"",J73/(1-Parametros!$B$14-Parametros!$B$18))</f>
        <v/>
      </c>
      <c r="Q73" s="17" t="str">
        <f aca="false">IF(B73="","",IF(E73="","SIN RECETA",IF(J73="","FALTAN DATOS",IF(NOT(ISNUMBER(G73)),"FALTA PRECIO",IF(M73&lt;0,"PIERDE",IF(N73&lt;Parametros!$B$18,"BAJO META","OK"))))))</f>
        <v>SIN RECETA</v>
      </c>
      <c r="R73" s="18" t="str">
        <f aca="false">IF(B73="","",IF(E73="","Elegir receta (molde).",IF(ISNA(MATCH(E73,Recetas!$A$5:$A$84,0)),"La receta no existe en Recetas.",IF(J73="","Completar la receta "&amp;E73&amp;": "&amp;INDEX(Recetas!$T$5:$T$84,MATCH(E73,Recetas!$A$5:$A$84,0)),IF(NOT(ISNUMBER(G73)),"Precio de venta.","")))))</f>
        <v>Elegir receta (molde).</v>
      </c>
    </row>
    <row r="74" customFormat="false" ht="22.35" hidden="false" customHeight="false" outlineLevel="0" collapsed="false">
      <c r="A74" s="10" t="s">
        <v>203</v>
      </c>
      <c r="B74" s="10" t="s">
        <v>204</v>
      </c>
      <c r="C74" s="10" t="s">
        <v>66</v>
      </c>
      <c r="D74" s="10" t="n">
        <v>2</v>
      </c>
      <c r="E74" s="11"/>
      <c r="F74" s="12"/>
      <c r="G74" s="12" t="n">
        <v>27647</v>
      </c>
      <c r="H74" s="11" t="s">
        <v>45</v>
      </c>
      <c r="I74" s="13" t="s">
        <v>56</v>
      </c>
      <c r="J74" s="14" t="str">
        <f aca="false">IF(OR(B74="",E74=""),"",IF(IFERROR(INDEX(Recetas!$S$5:$S$84,MATCH(E74,Recetas!$A$5:$A$84,0)),"")="","",IFERROR(INDEX(Recetas!$S$5:$S$84,MATCH(E74,Recetas!$A$5:$A$84,0)),"")+N(F74)))</f>
        <v/>
      </c>
      <c r="K74" s="15" t="str">
        <f aca="false">IF(AND(J74&lt;&gt;"",ISNUMBER(G74)),G74*Parametros!$B$12,"")</f>
        <v/>
      </c>
      <c r="L74" s="15" t="str">
        <f aca="false">IF(AND(J74&lt;&gt;"",ISNUMBER(G74)),G74*Parametros!$B$13,"")</f>
        <v/>
      </c>
      <c r="M74" s="14" t="str">
        <f aca="false">IF(AND(J74&lt;&gt;"",ISNUMBER(G74)),G74-J74-K74-L74,"")</f>
        <v/>
      </c>
      <c r="N74" s="16" t="str">
        <f aca="false">IF(AND(J74&lt;&gt;"",ISNUMBER(G74)),M74/G74,"")</f>
        <v/>
      </c>
      <c r="O74" s="15" t="str">
        <f aca="false">IF(OR(J74="",Parametros!$B$14&gt;=1),"",J74/(1-Parametros!$B$14))</f>
        <v/>
      </c>
      <c r="P74" s="15" t="str">
        <f aca="false">IF(OR(J74="",Parametros!$B$14+Parametros!$B$18&gt;=1),"",J74/(1-Parametros!$B$14-Parametros!$B$18))</f>
        <v/>
      </c>
      <c r="Q74" s="17" t="str">
        <f aca="false">IF(B74="","",IF(E74="","SIN RECETA",IF(J74="","FALTAN DATOS",IF(NOT(ISNUMBER(G74)),"FALTA PRECIO",IF(M74&lt;0,"PIERDE",IF(N74&lt;Parametros!$B$18,"BAJO META","OK"))))))</f>
        <v>SIN RECETA</v>
      </c>
      <c r="R74" s="18" t="str">
        <f aca="false">IF(B74="","",IF(E74="","Elegir receta (molde).",IF(ISNA(MATCH(E74,Recetas!$A$5:$A$84,0)),"La receta no existe en Recetas.",IF(J74="","Completar la receta "&amp;E74&amp;": "&amp;INDEX(Recetas!$T$5:$T$84,MATCH(E74,Recetas!$A$5:$A$84,0)),IF(NOT(ISNUMBER(G74)),"Precio de venta.","")))))</f>
        <v>Elegir receta (molde).</v>
      </c>
    </row>
    <row r="75" customFormat="false" ht="22.35" hidden="false" customHeight="false" outlineLevel="0" collapsed="false">
      <c r="A75" s="10" t="s">
        <v>205</v>
      </c>
      <c r="B75" s="10" t="s">
        <v>206</v>
      </c>
      <c r="C75" s="10" t="s">
        <v>43</v>
      </c>
      <c r="D75" s="10" t="n">
        <v>1</v>
      </c>
      <c r="E75" s="11"/>
      <c r="F75" s="12"/>
      <c r="G75" s="12" t="n">
        <v>19244</v>
      </c>
      <c r="H75" s="11" t="s">
        <v>45</v>
      </c>
      <c r="I75" s="13" t="s">
        <v>56</v>
      </c>
      <c r="J75" s="14" t="str">
        <f aca="false">IF(OR(B75="",E75=""),"",IF(IFERROR(INDEX(Recetas!$S$5:$S$84,MATCH(E75,Recetas!$A$5:$A$84,0)),"")="","",IFERROR(INDEX(Recetas!$S$5:$S$84,MATCH(E75,Recetas!$A$5:$A$84,0)),"")+N(F75)))</f>
        <v/>
      </c>
      <c r="K75" s="15" t="str">
        <f aca="false">IF(AND(J75&lt;&gt;"",ISNUMBER(G75)),G75*Parametros!$B$12,"")</f>
        <v/>
      </c>
      <c r="L75" s="15" t="str">
        <f aca="false">IF(AND(J75&lt;&gt;"",ISNUMBER(G75)),G75*Parametros!$B$13,"")</f>
        <v/>
      </c>
      <c r="M75" s="14" t="str">
        <f aca="false">IF(AND(J75&lt;&gt;"",ISNUMBER(G75)),G75-J75-K75-L75,"")</f>
        <v/>
      </c>
      <c r="N75" s="16" t="str">
        <f aca="false">IF(AND(J75&lt;&gt;"",ISNUMBER(G75)),M75/G75,"")</f>
        <v/>
      </c>
      <c r="O75" s="15" t="str">
        <f aca="false">IF(OR(J75="",Parametros!$B$14&gt;=1),"",J75/(1-Parametros!$B$14))</f>
        <v/>
      </c>
      <c r="P75" s="15" t="str">
        <f aca="false">IF(OR(J75="",Parametros!$B$14+Parametros!$B$18&gt;=1),"",J75/(1-Parametros!$B$14-Parametros!$B$18))</f>
        <v/>
      </c>
      <c r="Q75" s="17" t="str">
        <f aca="false">IF(B75="","",IF(E75="","SIN RECETA",IF(J75="","FALTAN DATOS",IF(NOT(ISNUMBER(G75)),"FALTA PRECIO",IF(M75&lt;0,"PIERDE",IF(N75&lt;Parametros!$B$18,"BAJO META","OK"))))))</f>
        <v>SIN RECETA</v>
      </c>
      <c r="R75" s="18" t="str">
        <f aca="false">IF(B75="","",IF(E75="","Elegir receta (molde).",IF(ISNA(MATCH(E75,Recetas!$A$5:$A$84,0)),"La receta no existe en Recetas.",IF(J75="","Completar la receta "&amp;E75&amp;": "&amp;INDEX(Recetas!$T$5:$T$84,MATCH(E75,Recetas!$A$5:$A$84,0)),IF(NOT(ISNUMBER(G75)),"Precio de venta.","")))))</f>
        <v>Elegir receta (molde).</v>
      </c>
    </row>
    <row r="76" customFormat="false" ht="22.35" hidden="false" customHeight="false" outlineLevel="0" collapsed="false">
      <c r="A76" s="10" t="s">
        <v>207</v>
      </c>
      <c r="B76" s="10" t="s">
        <v>208</v>
      </c>
      <c r="C76" s="10" t="s">
        <v>43</v>
      </c>
      <c r="D76" s="10" t="n">
        <v>1</v>
      </c>
      <c r="E76" s="11"/>
      <c r="F76" s="12"/>
      <c r="G76" s="12" t="n">
        <v>20084</v>
      </c>
      <c r="H76" s="11" t="s">
        <v>45</v>
      </c>
      <c r="I76" s="13" t="s">
        <v>56</v>
      </c>
      <c r="J76" s="14" t="str">
        <f aca="false">IF(OR(B76="",E76=""),"",IF(IFERROR(INDEX(Recetas!$S$5:$S$84,MATCH(E76,Recetas!$A$5:$A$84,0)),"")="","",IFERROR(INDEX(Recetas!$S$5:$S$84,MATCH(E76,Recetas!$A$5:$A$84,0)),"")+N(F76)))</f>
        <v/>
      </c>
      <c r="K76" s="15" t="str">
        <f aca="false">IF(AND(J76&lt;&gt;"",ISNUMBER(G76)),G76*Parametros!$B$12,"")</f>
        <v/>
      </c>
      <c r="L76" s="15" t="str">
        <f aca="false">IF(AND(J76&lt;&gt;"",ISNUMBER(G76)),G76*Parametros!$B$13,"")</f>
        <v/>
      </c>
      <c r="M76" s="14" t="str">
        <f aca="false">IF(AND(J76&lt;&gt;"",ISNUMBER(G76)),G76-J76-K76-L76,"")</f>
        <v/>
      </c>
      <c r="N76" s="16" t="str">
        <f aca="false">IF(AND(J76&lt;&gt;"",ISNUMBER(G76)),M76/G76,"")</f>
        <v/>
      </c>
      <c r="O76" s="15" t="str">
        <f aca="false">IF(OR(J76="",Parametros!$B$14&gt;=1),"",J76/(1-Parametros!$B$14))</f>
        <v/>
      </c>
      <c r="P76" s="15" t="str">
        <f aca="false">IF(OR(J76="",Parametros!$B$14+Parametros!$B$18&gt;=1),"",J76/(1-Parametros!$B$14-Parametros!$B$18))</f>
        <v/>
      </c>
      <c r="Q76" s="17" t="str">
        <f aca="false">IF(B76="","",IF(E76="","SIN RECETA",IF(J76="","FALTAN DATOS",IF(NOT(ISNUMBER(G76)),"FALTA PRECIO",IF(M76&lt;0,"PIERDE",IF(N76&lt;Parametros!$B$18,"BAJO META","OK"))))))</f>
        <v>SIN RECETA</v>
      </c>
      <c r="R76" s="18" t="str">
        <f aca="false">IF(B76="","",IF(E76="","Elegir receta (molde).",IF(ISNA(MATCH(E76,Recetas!$A$5:$A$84,0)),"La receta no existe en Recetas.",IF(J76="","Completar la receta "&amp;E76&amp;": "&amp;INDEX(Recetas!$T$5:$T$84,MATCH(E76,Recetas!$A$5:$A$84,0)),IF(NOT(ISNUMBER(G76)),"Precio de venta.","")))))</f>
        <v>Elegir receta (molde).</v>
      </c>
    </row>
    <row r="77" customFormat="false" ht="22.35" hidden="false" customHeight="false" outlineLevel="0" collapsed="false">
      <c r="A77" s="10" t="s">
        <v>209</v>
      </c>
      <c r="B77" s="10" t="s">
        <v>210</v>
      </c>
      <c r="C77" s="10" t="s">
        <v>43</v>
      </c>
      <c r="D77" s="10" t="n">
        <v>1</v>
      </c>
      <c r="E77" s="11"/>
      <c r="F77" s="12"/>
      <c r="G77" s="12" t="n">
        <v>21765</v>
      </c>
      <c r="H77" s="11" t="s">
        <v>45</v>
      </c>
      <c r="I77" s="13" t="s">
        <v>56</v>
      </c>
      <c r="J77" s="14" t="str">
        <f aca="false">IF(OR(B77="",E77=""),"",IF(IFERROR(INDEX(Recetas!$S$5:$S$84,MATCH(E77,Recetas!$A$5:$A$84,0)),"")="","",IFERROR(INDEX(Recetas!$S$5:$S$84,MATCH(E77,Recetas!$A$5:$A$84,0)),"")+N(F77)))</f>
        <v/>
      </c>
      <c r="K77" s="15" t="str">
        <f aca="false">IF(AND(J77&lt;&gt;"",ISNUMBER(G77)),G77*Parametros!$B$12,"")</f>
        <v/>
      </c>
      <c r="L77" s="15" t="str">
        <f aca="false">IF(AND(J77&lt;&gt;"",ISNUMBER(G77)),G77*Parametros!$B$13,"")</f>
        <v/>
      </c>
      <c r="M77" s="14" t="str">
        <f aca="false">IF(AND(J77&lt;&gt;"",ISNUMBER(G77)),G77-J77-K77-L77,"")</f>
        <v/>
      </c>
      <c r="N77" s="16" t="str">
        <f aca="false">IF(AND(J77&lt;&gt;"",ISNUMBER(G77)),M77/G77,"")</f>
        <v/>
      </c>
      <c r="O77" s="15" t="str">
        <f aca="false">IF(OR(J77="",Parametros!$B$14&gt;=1),"",J77/(1-Parametros!$B$14))</f>
        <v/>
      </c>
      <c r="P77" s="15" t="str">
        <f aca="false">IF(OR(J77="",Parametros!$B$14+Parametros!$B$18&gt;=1),"",J77/(1-Parametros!$B$14-Parametros!$B$18))</f>
        <v/>
      </c>
      <c r="Q77" s="17" t="str">
        <f aca="false">IF(B77="","",IF(E77="","SIN RECETA",IF(J77="","FALTAN DATOS",IF(NOT(ISNUMBER(G77)),"FALTA PRECIO",IF(M77&lt;0,"PIERDE",IF(N77&lt;Parametros!$B$18,"BAJO META","OK"))))))</f>
        <v>SIN RECETA</v>
      </c>
      <c r="R77" s="18" t="str">
        <f aca="false">IF(B77="","",IF(E77="","Elegir receta (molde).",IF(ISNA(MATCH(E77,Recetas!$A$5:$A$84,0)),"La receta no existe en Recetas.",IF(J77="","Completar la receta "&amp;E77&amp;": "&amp;INDEX(Recetas!$T$5:$T$84,MATCH(E77,Recetas!$A$5:$A$84,0)),IF(NOT(ISNUMBER(G77)),"Precio de venta.","")))))</f>
        <v>Elegir receta (molde).</v>
      </c>
    </row>
    <row r="78" customFormat="false" ht="22.35" hidden="false" customHeight="false" outlineLevel="0" collapsed="false">
      <c r="A78" s="10" t="s">
        <v>211</v>
      </c>
      <c r="B78" s="10" t="s">
        <v>212</v>
      </c>
      <c r="C78" s="10" t="s">
        <v>43</v>
      </c>
      <c r="D78" s="10" t="n">
        <v>1</v>
      </c>
      <c r="E78" s="11"/>
      <c r="F78" s="12"/>
      <c r="G78" s="12" t="n">
        <v>11681</v>
      </c>
      <c r="H78" s="11" t="s">
        <v>45</v>
      </c>
      <c r="I78" s="13" t="s">
        <v>56</v>
      </c>
      <c r="J78" s="14" t="str">
        <f aca="false">IF(OR(B78="",E78=""),"",IF(IFERROR(INDEX(Recetas!$S$5:$S$84,MATCH(E78,Recetas!$A$5:$A$84,0)),"")="","",IFERROR(INDEX(Recetas!$S$5:$S$84,MATCH(E78,Recetas!$A$5:$A$84,0)),"")+N(F78)))</f>
        <v/>
      </c>
      <c r="K78" s="15" t="str">
        <f aca="false">IF(AND(J78&lt;&gt;"",ISNUMBER(G78)),G78*Parametros!$B$12,"")</f>
        <v/>
      </c>
      <c r="L78" s="15" t="str">
        <f aca="false">IF(AND(J78&lt;&gt;"",ISNUMBER(G78)),G78*Parametros!$B$13,"")</f>
        <v/>
      </c>
      <c r="M78" s="14" t="str">
        <f aca="false">IF(AND(J78&lt;&gt;"",ISNUMBER(G78)),G78-J78-K78-L78,"")</f>
        <v/>
      </c>
      <c r="N78" s="16" t="str">
        <f aca="false">IF(AND(J78&lt;&gt;"",ISNUMBER(G78)),M78/G78,"")</f>
        <v/>
      </c>
      <c r="O78" s="15" t="str">
        <f aca="false">IF(OR(J78="",Parametros!$B$14&gt;=1),"",J78/(1-Parametros!$B$14))</f>
        <v/>
      </c>
      <c r="P78" s="15" t="str">
        <f aca="false">IF(OR(J78="",Parametros!$B$14+Parametros!$B$18&gt;=1),"",J78/(1-Parametros!$B$14-Parametros!$B$18))</f>
        <v/>
      </c>
      <c r="Q78" s="17" t="str">
        <f aca="false">IF(B78="","",IF(E78="","SIN RECETA",IF(J78="","FALTAN DATOS",IF(NOT(ISNUMBER(G78)),"FALTA PRECIO",IF(M78&lt;0,"PIERDE",IF(N78&lt;Parametros!$B$18,"BAJO META","OK"))))))</f>
        <v>SIN RECETA</v>
      </c>
      <c r="R78" s="18" t="str">
        <f aca="false">IF(B78="","",IF(E78="","Elegir receta (molde).",IF(ISNA(MATCH(E78,Recetas!$A$5:$A$84,0)),"La receta no existe en Recetas.",IF(J78="","Completar la receta "&amp;E78&amp;": "&amp;INDEX(Recetas!$T$5:$T$84,MATCH(E78,Recetas!$A$5:$A$84,0)),IF(NOT(ISNUMBER(G78)),"Precio de venta.","")))))</f>
        <v>Elegir receta (molde).</v>
      </c>
    </row>
    <row r="79" customFormat="false" ht="22.35" hidden="false" customHeight="false" outlineLevel="0" collapsed="false">
      <c r="A79" s="10" t="s">
        <v>213</v>
      </c>
      <c r="B79" s="10" t="s">
        <v>214</v>
      </c>
      <c r="C79" s="10" t="s">
        <v>66</v>
      </c>
      <c r="D79" s="10" t="n">
        <v>1</v>
      </c>
      <c r="E79" s="11"/>
      <c r="F79" s="12"/>
      <c r="G79" s="12" t="n">
        <v>21765</v>
      </c>
      <c r="H79" s="11" t="s">
        <v>45</v>
      </c>
      <c r="I79" s="13" t="s">
        <v>56</v>
      </c>
      <c r="J79" s="14" t="str">
        <f aca="false">IF(OR(B79="",E79=""),"",IF(IFERROR(INDEX(Recetas!$S$5:$S$84,MATCH(E79,Recetas!$A$5:$A$84,0)),"")="","",IFERROR(INDEX(Recetas!$S$5:$S$84,MATCH(E79,Recetas!$A$5:$A$84,0)),"")+N(F79)))</f>
        <v/>
      </c>
      <c r="K79" s="15" t="str">
        <f aca="false">IF(AND(J79&lt;&gt;"",ISNUMBER(G79)),G79*Parametros!$B$12,"")</f>
        <v/>
      </c>
      <c r="L79" s="15" t="str">
        <f aca="false">IF(AND(J79&lt;&gt;"",ISNUMBER(G79)),G79*Parametros!$B$13,"")</f>
        <v/>
      </c>
      <c r="M79" s="14" t="str">
        <f aca="false">IF(AND(J79&lt;&gt;"",ISNUMBER(G79)),G79-J79-K79-L79,"")</f>
        <v/>
      </c>
      <c r="N79" s="16" t="str">
        <f aca="false">IF(AND(J79&lt;&gt;"",ISNUMBER(G79)),M79/G79,"")</f>
        <v/>
      </c>
      <c r="O79" s="15" t="str">
        <f aca="false">IF(OR(J79="",Parametros!$B$14&gt;=1),"",J79/(1-Parametros!$B$14))</f>
        <v/>
      </c>
      <c r="P79" s="15" t="str">
        <f aca="false">IF(OR(J79="",Parametros!$B$14+Parametros!$B$18&gt;=1),"",J79/(1-Parametros!$B$14-Parametros!$B$18))</f>
        <v/>
      </c>
      <c r="Q79" s="17" t="str">
        <f aca="false">IF(B79="","",IF(E79="","SIN RECETA",IF(J79="","FALTAN DATOS",IF(NOT(ISNUMBER(G79)),"FALTA PRECIO",IF(M79&lt;0,"PIERDE",IF(N79&lt;Parametros!$B$18,"BAJO META","OK"))))))</f>
        <v>SIN RECETA</v>
      </c>
      <c r="R79" s="18" t="str">
        <f aca="false">IF(B79="","",IF(E79="","Elegir receta (molde).",IF(ISNA(MATCH(E79,Recetas!$A$5:$A$84,0)),"La receta no existe en Recetas.",IF(J79="","Completar la receta "&amp;E79&amp;": "&amp;INDEX(Recetas!$T$5:$T$84,MATCH(E79,Recetas!$A$5:$A$84,0)),IF(NOT(ISNUMBER(G79)),"Precio de venta.","")))))</f>
        <v>Elegir receta (molde).</v>
      </c>
    </row>
    <row r="80" customFormat="false" ht="15" hidden="false" customHeight="false" outlineLevel="0" collapsed="false">
      <c r="A80" s="11"/>
      <c r="B80" s="11"/>
      <c r="C80" s="11"/>
      <c r="D80" s="11"/>
      <c r="E80" s="11"/>
      <c r="F80" s="12"/>
      <c r="G80" s="12"/>
      <c r="H80" s="11"/>
      <c r="J80" s="14" t="str">
        <f aca="false">IF(OR(B80="",E80=""),"",IF(IFERROR(INDEX(Recetas!$S$5:$S$84,MATCH(E80,Recetas!$A$5:$A$84,0)),"")="","",IFERROR(INDEX(Recetas!$S$5:$S$84,MATCH(E80,Recetas!$A$5:$A$84,0)),"")+N(F80)))</f>
        <v/>
      </c>
      <c r="K80" s="15" t="str">
        <f aca="false">IF(AND(J80&lt;&gt;"",ISNUMBER(G80)),G80*Parametros!$B$12,"")</f>
        <v/>
      </c>
      <c r="L80" s="15" t="str">
        <f aca="false">IF(AND(J80&lt;&gt;"",ISNUMBER(G80)),G80*Parametros!$B$13,"")</f>
        <v/>
      </c>
      <c r="M80" s="14" t="str">
        <f aca="false">IF(AND(J80&lt;&gt;"",ISNUMBER(G80)),G80-J80-K80-L80,"")</f>
        <v/>
      </c>
      <c r="N80" s="16" t="str">
        <f aca="false">IF(AND(J80&lt;&gt;"",ISNUMBER(G80)),M80/G80,"")</f>
        <v/>
      </c>
      <c r="O80" s="15" t="str">
        <f aca="false">IF(OR(J80="",Parametros!$B$14&gt;=1),"",J80/(1-Parametros!$B$14))</f>
        <v/>
      </c>
      <c r="P80" s="15" t="str">
        <f aca="false">IF(OR(J80="",Parametros!$B$14+Parametros!$B$18&gt;=1),"",J80/(1-Parametros!$B$14-Parametros!$B$18))</f>
        <v/>
      </c>
      <c r="Q80" s="17" t="str">
        <f aca="false">IF(B80="","",IF(E80="","SIN RECETA",IF(J80="","FALTAN DATOS",IF(NOT(ISNUMBER(G80)),"FALTA PRECIO",IF(M80&lt;0,"PIERDE",IF(N80&lt;Parametros!$B$18,"BAJO META","OK"))))))</f>
        <v/>
      </c>
      <c r="R80" s="18" t="str">
        <f aca="false">IF(B80="","",IF(E80="","Elegir receta (molde).",IF(ISNA(MATCH(E80,Recetas!$A$5:$A$84,0)),"La receta no existe en Recetas.",IF(J80="","Completar la receta "&amp;E80&amp;": "&amp;INDEX(Recetas!$T$5:$T$84,MATCH(E80,Recetas!$A$5:$A$84,0)),IF(NOT(ISNUMBER(G80)),"Precio de venta.","")))))</f>
        <v/>
      </c>
    </row>
    <row r="81" customFormat="false" ht="15" hidden="false" customHeight="false" outlineLevel="0" collapsed="false">
      <c r="A81" s="11"/>
      <c r="B81" s="11"/>
      <c r="C81" s="11"/>
      <c r="D81" s="11"/>
      <c r="E81" s="11"/>
      <c r="F81" s="12"/>
      <c r="G81" s="12"/>
      <c r="H81" s="11"/>
      <c r="J81" s="14" t="str">
        <f aca="false">IF(OR(B81="",E81=""),"",IF(IFERROR(INDEX(Recetas!$S$5:$S$84,MATCH(E81,Recetas!$A$5:$A$84,0)),"")="","",IFERROR(INDEX(Recetas!$S$5:$S$84,MATCH(E81,Recetas!$A$5:$A$84,0)),"")+N(F81)))</f>
        <v/>
      </c>
      <c r="K81" s="15" t="str">
        <f aca="false">IF(AND(J81&lt;&gt;"",ISNUMBER(G81)),G81*Parametros!$B$12,"")</f>
        <v/>
      </c>
      <c r="L81" s="15" t="str">
        <f aca="false">IF(AND(J81&lt;&gt;"",ISNUMBER(G81)),G81*Parametros!$B$13,"")</f>
        <v/>
      </c>
      <c r="M81" s="14" t="str">
        <f aca="false">IF(AND(J81&lt;&gt;"",ISNUMBER(G81)),G81-J81-K81-L81,"")</f>
        <v/>
      </c>
      <c r="N81" s="16" t="str">
        <f aca="false">IF(AND(J81&lt;&gt;"",ISNUMBER(G81)),M81/G81,"")</f>
        <v/>
      </c>
      <c r="O81" s="15" t="str">
        <f aca="false">IF(OR(J81="",Parametros!$B$14&gt;=1),"",J81/(1-Parametros!$B$14))</f>
        <v/>
      </c>
      <c r="P81" s="15" t="str">
        <f aca="false">IF(OR(J81="",Parametros!$B$14+Parametros!$B$18&gt;=1),"",J81/(1-Parametros!$B$14-Parametros!$B$18))</f>
        <v/>
      </c>
      <c r="Q81" s="17" t="str">
        <f aca="false">IF(B81="","",IF(E81="","SIN RECETA",IF(J81="","FALTAN DATOS",IF(NOT(ISNUMBER(G81)),"FALTA PRECIO",IF(M81&lt;0,"PIERDE",IF(N81&lt;Parametros!$B$18,"BAJO META","OK"))))))</f>
        <v/>
      </c>
      <c r="R81" s="18" t="str">
        <f aca="false">IF(B81="","",IF(E81="","Elegir receta (molde).",IF(ISNA(MATCH(E81,Recetas!$A$5:$A$84,0)),"La receta no existe en Recetas.",IF(J81="","Completar la receta "&amp;E81&amp;": "&amp;INDEX(Recetas!$T$5:$T$84,MATCH(E81,Recetas!$A$5:$A$84,0)),IF(NOT(ISNUMBER(G81)),"Precio de venta.","")))))</f>
        <v/>
      </c>
    </row>
    <row r="82" customFormat="false" ht="15" hidden="false" customHeight="false" outlineLevel="0" collapsed="false">
      <c r="A82" s="11"/>
      <c r="B82" s="11"/>
      <c r="C82" s="11"/>
      <c r="D82" s="11"/>
      <c r="E82" s="11"/>
      <c r="F82" s="12"/>
      <c r="G82" s="12"/>
      <c r="H82" s="11"/>
      <c r="J82" s="14" t="str">
        <f aca="false">IF(OR(B82="",E82=""),"",IF(IFERROR(INDEX(Recetas!$S$5:$S$84,MATCH(E82,Recetas!$A$5:$A$84,0)),"")="","",IFERROR(INDEX(Recetas!$S$5:$S$84,MATCH(E82,Recetas!$A$5:$A$84,0)),"")+N(F82)))</f>
        <v/>
      </c>
      <c r="K82" s="15" t="str">
        <f aca="false">IF(AND(J82&lt;&gt;"",ISNUMBER(G82)),G82*Parametros!$B$12,"")</f>
        <v/>
      </c>
      <c r="L82" s="15" t="str">
        <f aca="false">IF(AND(J82&lt;&gt;"",ISNUMBER(G82)),G82*Parametros!$B$13,"")</f>
        <v/>
      </c>
      <c r="M82" s="14" t="str">
        <f aca="false">IF(AND(J82&lt;&gt;"",ISNUMBER(G82)),G82-J82-K82-L82,"")</f>
        <v/>
      </c>
      <c r="N82" s="16" t="str">
        <f aca="false">IF(AND(J82&lt;&gt;"",ISNUMBER(G82)),M82/G82,"")</f>
        <v/>
      </c>
      <c r="O82" s="15" t="str">
        <f aca="false">IF(OR(J82="",Parametros!$B$14&gt;=1),"",J82/(1-Parametros!$B$14))</f>
        <v/>
      </c>
      <c r="P82" s="15" t="str">
        <f aca="false">IF(OR(J82="",Parametros!$B$14+Parametros!$B$18&gt;=1),"",J82/(1-Parametros!$B$14-Parametros!$B$18))</f>
        <v/>
      </c>
      <c r="Q82" s="17" t="str">
        <f aca="false">IF(B82="","",IF(E82="","SIN RECETA",IF(J82="","FALTAN DATOS",IF(NOT(ISNUMBER(G82)),"FALTA PRECIO",IF(M82&lt;0,"PIERDE",IF(N82&lt;Parametros!$B$18,"BAJO META","OK"))))))</f>
        <v/>
      </c>
      <c r="R82" s="18" t="str">
        <f aca="false">IF(B82="","",IF(E82="","Elegir receta (molde).",IF(ISNA(MATCH(E82,Recetas!$A$5:$A$84,0)),"La receta no existe en Recetas.",IF(J82="","Completar la receta "&amp;E82&amp;": "&amp;INDEX(Recetas!$T$5:$T$84,MATCH(E82,Recetas!$A$5:$A$84,0)),IF(NOT(ISNUMBER(G82)),"Precio de venta.","")))))</f>
        <v/>
      </c>
    </row>
    <row r="83" customFormat="false" ht="15" hidden="false" customHeight="false" outlineLevel="0" collapsed="false">
      <c r="A83" s="11"/>
      <c r="B83" s="11"/>
      <c r="C83" s="11"/>
      <c r="D83" s="11"/>
      <c r="E83" s="11"/>
      <c r="F83" s="12"/>
      <c r="G83" s="12"/>
      <c r="H83" s="11"/>
      <c r="J83" s="14" t="str">
        <f aca="false">IF(OR(B83="",E83=""),"",IF(IFERROR(INDEX(Recetas!$S$5:$S$84,MATCH(E83,Recetas!$A$5:$A$84,0)),"")="","",IFERROR(INDEX(Recetas!$S$5:$S$84,MATCH(E83,Recetas!$A$5:$A$84,0)),"")+N(F83)))</f>
        <v/>
      </c>
      <c r="K83" s="15" t="str">
        <f aca="false">IF(AND(J83&lt;&gt;"",ISNUMBER(G83)),G83*Parametros!$B$12,"")</f>
        <v/>
      </c>
      <c r="L83" s="15" t="str">
        <f aca="false">IF(AND(J83&lt;&gt;"",ISNUMBER(G83)),G83*Parametros!$B$13,"")</f>
        <v/>
      </c>
      <c r="M83" s="14" t="str">
        <f aca="false">IF(AND(J83&lt;&gt;"",ISNUMBER(G83)),G83-J83-K83-L83,"")</f>
        <v/>
      </c>
      <c r="N83" s="16" t="str">
        <f aca="false">IF(AND(J83&lt;&gt;"",ISNUMBER(G83)),M83/G83,"")</f>
        <v/>
      </c>
      <c r="O83" s="15" t="str">
        <f aca="false">IF(OR(J83="",Parametros!$B$14&gt;=1),"",J83/(1-Parametros!$B$14))</f>
        <v/>
      </c>
      <c r="P83" s="15" t="str">
        <f aca="false">IF(OR(J83="",Parametros!$B$14+Parametros!$B$18&gt;=1),"",J83/(1-Parametros!$B$14-Parametros!$B$18))</f>
        <v/>
      </c>
      <c r="Q83" s="17" t="str">
        <f aca="false">IF(B83="","",IF(E83="","SIN RECETA",IF(J83="","FALTAN DATOS",IF(NOT(ISNUMBER(G83)),"FALTA PRECIO",IF(M83&lt;0,"PIERDE",IF(N83&lt;Parametros!$B$18,"BAJO META","OK"))))))</f>
        <v/>
      </c>
      <c r="R83" s="18" t="str">
        <f aca="false">IF(B83="","",IF(E83="","Elegir receta (molde).",IF(ISNA(MATCH(E83,Recetas!$A$5:$A$84,0)),"La receta no existe en Recetas.",IF(J83="","Completar la receta "&amp;E83&amp;": "&amp;INDEX(Recetas!$T$5:$T$84,MATCH(E83,Recetas!$A$5:$A$84,0)),IF(NOT(ISNUMBER(G83)),"Precio de venta.","")))))</f>
        <v/>
      </c>
    </row>
    <row r="84" customFormat="false" ht="15" hidden="false" customHeight="false" outlineLevel="0" collapsed="false">
      <c r="A84" s="11"/>
      <c r="B84" s="11"/>
      <c r="C84" s="11"/>
      <c r="D84" s="11"/>
      <c r="E84" s="11"/>
      <c r="F84" s="12"/>
      <c r="G84" s="12"/>
      <c r="H84" s="11"/>
      <c r="J84" s="14" t="str">
        <f aca="false">IF(OR(B84="",E84=""),"",IF(IFERROR(INDEX(Recetas!$S$5:$S$84,MATCH(E84,Recetas!$A$5:$A$84,0)),"")="","",IFERROR(INDEX(Recetas!$S$5:$S$84,MATCH(E84,Recetas!$A$5:$A$84,0)),"")+N(F84)))</f>
        <v/>
      </c>
      <c r="K84" s="15" t="str">
        <f aca="false">IF(AND(J84&lt;&gt;"",ISNUMBER(G84)),G84*Parametros!$B$12,"")</f>
        <v/>
      </c>
      <c r="L84" s="15" t="str">
        <f aca="false">IF(AND(J84&lt;&gt;"",ISNUMBER(G84)),G84*Parametros!$B$13,"")</f>
        <v/>
      </c>
      <c r="M84" s="14" t="str">
        <f aca="false">IF(AND(J84&lt;&gt;"",ISNUMBER(G84)),G84-J84-K84-L84,"")</f>
        <v/>
      </c>
      <c r="N84" s="16" t="str">
        <f aca="false">IF(AND(J84&lt;&gt;"",ISNUMBER(G84)),M84/G84,"")</f>
        <v/>
      </c>
      <c r="O84" s="15" t="str">
        <f aca="false">IF(OR(J84="",Parametros!$B$14&gt;=1),"",J84/(1-Parametros!$B$14))</f>
        <v/>
      </c>
      <c r="P84" s="15" t="str">
        <f aca="false">IF(OR(J84="",Parametros!$B$14+Parametros!$B$18&gt;=1),"",J84/(1-Parametros!$B$14-Parametros!$B$18))</f>
        <v/>
      </c>
      <c r="Q84" s="17" t="str">
        <f aca="false">IF(B84="","",IF(E84="","SIN RECETA",IF(J84="","FALTAN DATOS",IF(NOT(ISNUMBER(G84)),"FALTA PRECIO",IF(M84&lt;0,"PIERDE",IF(N84&lt;Parametros!$B$18,"BAJO META","OK"))))))</f>
        <v/>
      </c>
      <c r="R84" s="18" t="str">
        <f aca="false">IF(B84="","",IF(E84="","Elegir receta (molde).",IF(ISNA(MATCH(E84,Recetas!$A$5:$A$84,0)),"La receta no existe en Recetas.",IF(J84="","Completar la receta "&amp;E84&amp;": "&amp;INDEX(Recetas!$T$5:$T$84,MATCH(E84,Recetas!$A$5:$A$84,0)),IF(NOT(ISNUMBER(G84)),"Precio de venta.","")))))</f>
        <v/>
      </c>
    </row>
    <row r="85" customFormat="false" ht="15" hidden="false" customHeight="false" outlineLevel="0" collapsed="false">
      <c r="A85" s="11"/>
      <c r="B85" s="11"/>
      <c r="C85" s="11"/>
      <c r="D85" s="11"/>
      <c r="E85" s="11"/>
      <c r="F85" s="12"/>
      <c r="G85" s="12"/>
      <c r="H85" s="11"/>
      <c r="J85" s="14" t="str">
        <f aca="false">IF(OR(B85="",E85=""),"",IF(IFERROR(INDEX(Recetas!$S$5:$S$84,MATCH(E85,Recetas!$A$5:$A$84,0)),"")="","",IFERROR(INDEX(Recetas!$S$5:$S$84,MATCH(E85,Recetas!$A$5:$A$84,0)),"")+N(F85)))</f>
        <v/>
      </c>
      <c r="K85" s="15" t="str">
        <f aca="false">IF(AND(J85&lt;&gt;"",ISNUMBER(G85)),G85*Parametros!$B$12,"")</f>
        <v/>
      </c>
      <c r="L85" s="15" t="str">
        <f aca="false">IF(AND(J85&lt;&gt;"",ISNUMBER(G85)),G85*Parametros!$B$13,"")</f>
        <v/>
      </c>
      <c r="M85" s="14" t="str">
        <f aca="false">IF(AND(J85&lt;&gt;"",ISNUMBER(G85)),G85-J85-K85-L85,"")</f>
        <v/>
      </c>
      <c r="N85" s="16" t="str">
        <f aca="false">IF(AND(J85&lt;&gt;"",ISNUMBER(G85)),M85/G85,"")</f>
        <v/>
      </c>
      <c r="O85" s="15" t="str">
        <f aca="false">IF(OR(J85="",Parametros!$B$14&gt;=1),"",J85/(1-Parametros!$B$14))</f>
        <v/>
      </c>
      <c r="P85" s="15" t="str">
        <f aca="false">IF(OR(J85="",Parametros!$B$14+Parametros!$B$18&gt;=1),"",J85/(1-Parametros!$B$14-Parametros!$B$18))</f>
        <v/>
      </c>
      <c r="Q85" s="17" t="str">
        <f aca="false">IF(B85="","",IF(E85="","SIN RECETA",IF(J85="","FALTAN DATOS",IF(NOT(ISNUMBER(G85)),"FALTA PRECIO",IF(M85&lt;0,"PIERDE",IF(N85&lt;Parametros!$B$18,"BAJO META","OK"))))))</f>
        <v/>
      </c>
      <c r="R85" s="18" t="str">
        <f aca="false">IF(B85="","",IF(E85="","Elegir receta (molde).",IF(ISNA(MATCH(E85,Recetas!$A$5:$A$84,0)),"La receta no existe en Recetas.",IF(J85="","Completar la receta "&amp;E85&amp;": "&amp;INDEX(Recetas!$T$5:$T$84,MATCH(E85,Recetas!$A$5:$A$84,0)),IF(NOT(ISNUMBER(G85)),"Precio de venta.","")))))</f>
        <v/>
      </c>
    </row>
    <row r="86" customFormat="false" ht="15" hidden="false" customHeight="false" outlineLevel="0" collapsed="false">
      <c r="A86" s="11"/>
      <c r="B86" s="11"/>
      <c r="C86" s="11"/>
      <c r="D86" s="11"/>
      <c r="E86" s="11"/>
      <c r="F86" s="12"/>
      <c r="G86" s="12"/>
      <c r="H86" s="11"/>
      <c r="J86" s="14" t="str">
        <f aca="false">IF(OR(B86="",E86=""),"",IF(IFERROR(INDEX(Recetas!$S$5:$S$84,MATCH(E86,Recetas!$A$5:$A$84,0)),"")="","",IFERROR(INDEX(Recetas!$S$5:$S$84,MATCH(E86,Recetas!$A$5:$A$84,0)),"")+N(F86)))</f>
        <v/>
      </c>
      <c r="K86" s="15" t="str">
        <f aca="false">IF(AND(J86&lt;&gt;"",ISNUMBER(G86)),G86*Parametros!$B$12,"")</f>
        <v/>
      </c>
      <c r="L86" s="15" t="str">
        <f aca="false">IF(AND(J86&lt;&gt;"",ISNUMBER(G86)),G86*Parametros!$B$13,"")</f>
        <v/>
      </c>
      <c r="M86" s="14" t="str">
        <f aca="false">IF(AND(J86&lt;&gt;"",ISNUMBER(G86)),G86-J86-K86-L86,"")</f>
        <v/>
      </c>
      <c r="N86" s="16" t="str">
        <f aca="false">IF(AND(J86&lt;&gt;"",ISNUMBER(G86)),M86/G86,"")</f>
        <v/>
      </c>
      <c r="O86" s="15" t="str">
        <f aca="false">IF(OR(J86="",Parametros!$B$14&gt;=1),"",J86/(1-Parametros!$B$14))</f>
        <v/>
      </c>
      <c r="P86" s="15" t="str">
        <f aca="false">IF(OR(J86="",Parametros!$B$14+Parametros!$B$18&gt;=1),"",J86/(1-Parametros!$B$14-Parametros!$B$18))</f>
        <v/>
      </c>
      <c r="Q86" s="17" t="str">
        <f aca="false">IF(B86="","",IF(E86="","SIN RECETA",IF(J86="","FALTAN DATOS",IF(NOT(ISNUMBER(G86)),"FALTA PRECIO",IF(M86&lt;0,"PIERDE",IF(N86&lt;Parametros!$B$18,"BAJO META","OK"))))))</f>
        <v/>
      </c>
      <c r="R86" s="18" t="str">
        <f aca="false">IF(B86="","",IF(E86="","Elegir receta (molde).",IF(ISNA(MATCH(E86,Recetas!$A$5:$A$84,0)),"La receta no existe en Recetas.",IF(J86="","Completar la receta "&amp;E86&amp;": "&amp;INDEX(Recetas!$T$5:$T$84,MATCH(E86,Recetas!$A$5:$A$84,0)),IF(NOT(ISNUMBER(G86)),"Precio de venta.","")))))</f>
        <v/>
      </c>
    </row>
    <row r="87" customFormat="false" ht="15" hidden="false" customHeight="false" outlineLevel="0" collapsed="false">
      <c r="A87" s="11"/>
      <c r="B87" s="11"/>
      <c r="C87" s="11"/>
      <c r="D87" s="11"/>
      <c r="E87" s="11"/>
      <c r="F87" s="12"/>
      <c r="G87" s="12"/>
      <c r="H87" s="11"/>
      <c r="J87" s="14" t="str">
        <f aca="false">IF(OR(B87="",E87=""),"",IF(IFERROR(INDEX(Recetas!$S$5:$S$84,MATCH(E87,Recetas!$A$5:$A$84,0)),"")="","",IFERROR(INDEX(Recetas!$S$5:$S$84,MATCH(E87,Recetas!$A$5:$A$84,0)),"")+N(F87)))</f>
        <v/>
      </c>
      <c r="K87" s="15" t="str">
        <f aca="false">IF(AND(J87&lt;&gt;"",ISNUMBER(G87)),G87*Parametros!$B$12,"")</f>
        <v/>
      </c>
      <c r="L87" s="15" t="str">
        <f aca="false">IF(AND(J87&lt;&gt;"",ISNUMBER(G87)),G87*Parametros!$B$13,"")</f>
        <v/>
      </c>
      <c r="M87" s="14" t="str">
        <f aca="false">IF(AND(J87&lt;&gt;"",ISNUMBER(G87)),G87-J87-K87-L87,"")</f>
        <v/>
      </c>
      <c r="N87" s="16" t="str">
        <f aca="false">IF(AND(J87&lt;&gt;"",ISNUMBER(G87)),M87/G87,"")</f>
        <v/>
      </c>
      <c r="O87" s="15" t="str">
        <f aca="false">IF(OR(J87="",Parametros!$B$14&gt;=1),"",J87/(1-Parametros!$B$14))</f>
        <v/>
      </c>
      <c r="P87" s="15" t="str">
        <f aca="false">IF(OR(J87="",Parametros!$B$14+Parametros!$B$18&gt;=1),"",J87/(1-Parametros!$B$14-Parametros!$B$18))</f>
        <v/>
      </c>
      <c r="Q87" s="17" t="str">
        <f aca="false">IF(B87="","",IF(E87="","SIN RECETA",IF(J87="","FALTAN DATOS",IF(NOT(ISNUMBER(G87)),"FALTA PRECIO",IF(M87&lt;0,"PIERDE",IF(N87&lt;Parametros!$B$18,"BAJO META","OK"))))))</f>
        <v/>
      </c>
      <c r="R87" s="18" t="str">
        <f aca="false">IF(B87="","",IF(E87="","Elegir receta (molde).",IF(ISNA(MATCH(E87,Recetas!$A$5:$A$84,0)),"La receta no existe en Recetas.",IF(J87="","Completar la receta "&amp;E87&amp;": "&amp;INDEX(Recetas!$T$5:$T$84,MATCH(E87,Recetas!$A$5:$A$84,0)),IF(NOT(ISNUMBER(G87)),"Precio de venta.","")))))</f>
        <v/>
      </c>
    </row>
    <row r="88" customFormat="false" ht="15" hidden="false" customHeight="false" outlineLevel="0" collapsed="false">
      <c r="A88" s="11"/>
      <c r="B88" s="11"/>
      <c r="C88" s="11"/>
      <c r="D88" s="11"/>
      <c r="E88" s="11"/>
      <c r="F88" s="12"/>
      <c r="G88" s="12"/>
      <c r="H88" s="11"/>
      <c r="J88" s="14" t="str">
        <f aca="false">IF(OR(B88="",E88=""),"",IF(IFERROR(INDEX(Recetas!$S$5:$S$84,MATCH(E88,Recetas!$A$5:$A$84,0)),"")="","",IFERROR(INDEX(Recetas!$S$5:$S$84,MATCH(E88,Recetas!$A$5:$A$84,0)),"")+N(F88)))</f>
        <v/>
      </c>
      <c r="K88" s="15" t="str">
        <f aca="false">IF(AND(J88&lt;&gt;"",ISNUMBER(G88)),G88*Parametros!$B$12,"")</f>
        <v/>
      </c>
      <c r="L88" s="15" t="str">
        <f aca="false">IF(AND(J88&lt;&gt;"",ISNUMBER(G88)),G88*Parametros!$B$13,"")</f>
        <v/>
      </c>
      <c r="M88" s="14" t="str">
        <f aca="false">IF(AND(J88&lt;&gt;"",ISNUMBER(G88)),G88-J88-K88-L88,"")</f>
        <v/>
      </c>
      <c r="N88" s="16" t="str">
        <f aca="false">IF(AND(J88&lt;&gt;"",ISNUMBER(G88)),M88/G88,"")</f>
        <v/>
      </c>
      <c r="O88" s="15" t="str">
        <f aca="false">IF(OR(J88="",Parametros!$B$14&gt;=1),"",J88/(1-Parametros!$B$14))</f>
        <v/>
      </c>
      <c r="P88" s="15" t="str">
        <f aca="false">IF(OR(J88="",Parametros!$B$14+Parametros!$B$18&gt;=1),"",J88/(1-Parametros!$B$14-Parametros!$B$18))</f>
        <v/>
      </c>
      <c r="Q88" s="17" t="str">
        <f aca="false">IF(B88="","",IF(E88="","SIN RECETA",IF(J88="","FALTAN DATOS",IF(NOT(ISNUMBER(G88)),"FALTA PRECIO",IF(M88&lt;0,"PIERDE",IF(N88&lt;Parametros!$B$18,"BAJO META","OK"))))))</f>
        <v/>
      </c>
      <c r="R88" s="18" t="str">
        <f aca="false">IF(B88="","",IF(E88="","Elegir receta (molde).",IF(ISNA(MATCH(E88,Recetas!$A$5:$A$84,0)),"La receta no existe en Recetas.",IF(J88="","Completar la receta "&amp;E88&amp;": "&amp;INDEX(Recetas!$T$5:$T$84,MATCH(E88,Recetas!$A$5:$A$84,0)),IF(NOT(ISNUMBER(G88)),"Precio de venta.","")))))</f>
        <v/>
      </c>
    </row>
    <row r="89" customFormat="false" ht="15" hidden="false" customHeight="false" outlineLevel="0" collapsed="false">
      <c r="A89" s="11"/>
      <c r="B89" s="11"/>
      <c r="C89" s="11"/>
      <c r="D89" s="11"/>
      <c r="E89" s="11"/>
      <c r="F89" s="12"/>
      <c r="G89" s="12"/>
      <c r="H89" s="11"/>
      <c r="J89" s="14" t="str">
        <f aca="false">IF(OR(B89="",E89=""),"",IF(IFERROR(INDEX(Recetas!$S$5:$S$84,MATCH(E89,Recetas!$A$5:$A$84,0)),"")="","",IFERROR(INDEX(Recetas!$S$5:$S$84,MATCH(E89,Recetas!$A$5:$A$84,0)),"")+N(F89)))</f>
        <v/>
      </c>
      <c r="K89" s="15" t="str">
        <f aca="false">IF(AND(J89&lt;&gt;"",ISNUMBER(G89)),G89*Parametros!$B$12,"")</f>
        <v/>
      </c>
      <c r="L89" s="15" t="str">
        <f aca="false">IF(AND(J89&lt;&gt;"",ISNUMBER(G89)),G89*Parametros!$B$13,"")</f>
        <v/>
      </c>
      <c r="M89" s="14" t="str">
        <f aca="false">IF(AND(J89&lt;&gt;"",ISNUMBER(G89)),G89-J89-K89-L89,"")</f>
        <v/>
      </c>
      <c r="N89" s="16" t="str">
        <f aca="false">IF(AND(J89&lt;&gt;"",ISNUMBER(G89)),M89/G89,"")</f>
        <v/>
      </c>
      <c r="O89" s="15" t="str">
        <f aca="false">IF(OR(J89="",Parametros!$B$14&gt;=1),"",J89/(1-Parametros!$B$14))</f>
        <v/>
      </c>
      <c r="P89" s="15" t="str">
        <f aca="false">IF(OR(J89="",Parametros!$B$14+Parametros!$B$18&gt;=1),"",J89/(1-Parametros!$B$14-Parametros!$B$18))</f>
        <v/>
      </c>
      <c r="Q89" s="17" t="str">
        <f aca="false">IF(B89="","",IF(E89="","SIN RECETA",IF(J89="","FALTAN DATOS",IF(NOT(ISNUMBER(G89)),"FALTA PRECIO",IF(M89&lt;0,"PIERDE",IF(N89&lt;Parametros!$B$18,"BAJO META","OK"))))))</f>
        <v/>
      </c>
      <c r="R89" s="18" t="str">
        <f aca="false">IF(B89="","",IF(E89="","Elegir receta (molde).",IF(ISNA(MATCH(E89,Recetas!$A$5:$A$84,0)),"La receta no existe en Recetas.",IF(J89="","Completar la receta "&amp;E89&amp;": "&amp;INDEX(Recetas!$T$5:$T$84,MATCH(E89,Recetas!$A$5:$A$84,0)),IF(NOT(ISNUMBER(G89)),"Precio de venta.","")))))</f>
        <v/>
      </c>
    </row>
    <row r="90" customFormat="false" ht="15" hidden="false" customHeight="false" outlineLevel="0" collapsed="false">
      <c r="A90" s="11"/>
      <c r="B90" s="11"/>
      <c r="C90" s="11"/>
      <c r="D90" s="11"/>
      <c r="E90" s="11"/>
      <c r="F90" s="12"/>
      <c r="G90" s="12"/>
      <c r="H90" s="11"/>
      <c r="J90" s="14" t="str">
        <f aca="false">IF(OR(B90="",E90=""),"",IF(IFERROR(INDEX(Recetas!$S$5:$S$84,MATCH(E90,Recetas!$A$5:$A$84,0)),"")="","",IFERROR(INDEX(Recetas!$S$5:$S$84,MATCH(E90,Recetas!$A$5:$A$84,0)),"")+N(F90)))</f>
        <v/>
      </c>
      <c r="K90" s="15" t="str">
        <f aca="false">IF(AND(J90&lt;&gt;"",ISNUMBER(G90)),G90*Parametros!$B$12,"")</f>
        <v/>
      </c>
      <c r="L90" s="15" t="str">
        <f aca="false">IF(AND(J90&lt;&gt;"",ISNUMBER(G90)),G90*Parametros!$B$13,"")</f>
        <v/>
      </c>
      <c r="M90" s="14" t="str">
        <f aca="false">IF(AND(J90&lt;&gt;"",ISNUMBER(G90)),G90-J90-K90-L90,"")</f>
        <v/>
      </c>
      <c r="N90" s="16" t="str">
        <f aca="false">IF(AND(J90&lt;&gt;"",ISNUMBER(G90)),M90/G90,"")</f>
        <v/>
      </c>
      <c r="O90" s="15" t="str">
        <f aca="false">IF(OR(J90="",Parametros!$B$14&gt;=1),"",J90/(1-Parametros!$B$14))</f>
        <v/>
      </c>
      <c r="P90" s="15" t="str">
        <f aca="false">IF(OR(J90="",Parametros!$B$14+Parametros!$B$18&gt;=1),"",J90/(1-Parametros!$B$14-Parametros!$B$18))</f>
        <v/>
      </c>
      <c r="Q90" s="17" t="str">
        <f aca="false">IF(B90="","",IF(E90="","SIN RECETA",IF(J90="","FALTAN DATOS",IF(NOT(ISNUMBER(G90)),"FALTA PRECIO",IF(M90&lt;0,"PIERDE",IF(N90&lt;Parametros!$B$18,"BAJO META","OK"))))))</f>
        <v/>
      </c>
      <c r="R90" s="18" t="str">
        <f aca="false">IF(B90="","",IF(E90="","Elegir receta (molde).",IF(ISNA(MATCH(E90,Recetas!$A$5:$A$84,0)),"La receta no existe en Recetas.",IF(J90="","Completar la receta "&amp;E90&amp;": "&amp;INDEX(Recetas!$T$5:$T$84,MATCH(E90,Recetas!$A$5:$A$84,0)),IF(NOT(ISNUMBER(G90)),"Precio de venta.","")))))</f>
        <v/>
      </c>
    </row>
    <row r="91" customFormat="false" ht="15" hidden="false" customHeight="false" outlineLevel="0" collapsed="false">
      <c r="A91" s="11"/>
      <c r="B91" s="11"/>
      <c r="C91" s="11"/>
      <c r="D91" s="11"/>
      <c r="E91" s="11"/>
      <c r="F91" s="12"/>
      <c r="G91" s="12"/>
      <c r="H91" s="11"/>
      <c r="J91" s="14" t="str">
        <f aca="false">IF(OR(B91="",E91=""),"",IF(IFERROR(INDEX(Recetas!$S$5:$S$84,MATCH(E91,Recetas!$A$5:$A$84,0)),"")="","",IFERROR(INDEX(Recetas!$S$5:$S$84,MATCH(E91,Recetas!$A$5:$A$84,0)),"")+N(F91)))</f>
        <v/>
      </c>
      <c r="K91" s="15" t="str">
        <f aca="false">IF(AND(J91&lt;&gt;"",ISNUMBER(G91)),G91*Parametros!$B$12,"")</f>
        <v/>
      </c>
      <c r="L91" s="15" t="str">
        <f aca="false">IF(AND(J91&lt;&gt;"",ISNUMBER(G91)),G91*Parametros!$B$13,"")</f>
        <v/>
      </c>
      <c r="M91" s="14" t="str">
        <f aca="false">IF(AND(J91&lt;&gt;"",ISNUMBER(G91)),G91-J91-K91-L91,"")</f>
        <v/>
      </c>
      <c r="N91" s="16" t="str">
        <f aca="false">IF(AND(J91&lt;&gt;"",ISNUMBER(G91)),M91/G91,"")</f>
        <v/>
      </c>
      <c r="O91" s="15" t="str">
        <f aca="false">IF(OR(J91="",Parametros!$B$14&gt;=1),"",J91/(1-Parametros!$B$14))</f>
        <v/>
      </c>
      <c r="P91" s="15" t="str">
        <f aca="false">IF(OR(J91="",Parametros!$B$14+Parametros!$B$18&gt;=1),"",J91/(1-Parametros!$B$14-Parametros!$B$18))</f>
        <v/>
      </c>
      <c r="Q91" s="17" t="str">
        <f aca="false">IF(B91="","",IF(E91="","SIN RECETA",IF(J91="","FALTAN DATOS",IF(NOT(ISNUMBER(G91)),"FALTA PRECIO",IF(M91&lt;0,"PIERDE",IF(N91&lt;Parametros!$B$18,"BAJO META","OK"))))))</f>
        <v/>
      </c>
      <c r="R91" s="18" t="str">
        <f aca="false">IF(B91="","",IF(E91="","Elegir receta (molde).",IF(ISNA(MATCH(E91,Recetas!$A$5:$A$84,0)),"La receta no existe en Recetas.",IF(J91="","Completar la receta "&amp;E91&amp;": "&amp;INDEX(Recetas!$T$5:$T$84,MATCH(E91,Recetas!$A$5:$A$84,0)),IF(NOT(ISNUMBER(G91)),"Precio de venta.","")))))</f>
        <v/>
      </c>
    </row>
    <row r="92" customFormat="false" ht="15" hidden="false" customHeight="false" outlineLevel="0" collapsed="false">
      <c r="A92" s="11"/>
      <c r="B92" s="11"/>
      <c r="C92" s="11"/>
      <c r="D92" s="11"/>
      <c r="E92" s="11"/>
      <c r="F92" s="12"/>
      <c r="G92" s="12"/>
      <c r="H92" s="11"/>
      <c r="J92" s="14" t="str">
        <f aca="false">IF(OR(B92="",E92=""),"",IF(IFERROR(INDEX(Recetas!$S$5:$S$84,MATCH(E92,Recetas!$A$5:$A$84,0)),"")="","",IFERROR(INDEX(Recetas!$S$5:$S$84,MATCH(E92,Recetas!$A$5:$A$84,0)),"")+N(F92)))</f>
        <v/>
      </c>
      <c r="K92" s="15" t="str">
        <f aca="false">IF(AND(J92&lt;&gt;"",ISNUMBER(G92)),G92*Parametros!$B$12,"")</f>
        <v/>
      </c>
      <c r="L92" s="15" t="str">
        <f aca="false">IF(AND(J92&lt;&gt;"",ISNUMBER(G92)),G92*Parametros!$B$13,"")</f>
        <v/>
      </c>
      <c r="M92" s="14" t="str">
        <f aca="false">IF(AND(J92&lt;&gt;"",ISNUMBER(G92)),G92-J92-K92-L92,"")</f>
        <v/>
      </c>
      <c r="N92" s="16" t="str">
        <f aca="false">IF(AND(J92&lt;&gt;"",ISNUMBER(G92)),M92/G92,"")</f>
        <v/>
      </c>
      <c r="O92" s="15" t="str">
        <f aca="false">IF(OR(J92="",Parametros!$B$14&gt;=1),"",J92/(1-Parametros!$B$14))</f>
        <v/>
      </c>
      <c r="P92" s="15" t="str">
        <f aca="false">IF(OR(J92="",Parametros!$B$14+Parametros!$B$18&gt;=1),"",J92/(1-Parametros!$B$14-Parametros!$B$18))</f>
        <v/>
      </c>
      <c r="Q92" s="17" t="str">
        <f aca="false">IF(B92="","",IF(E92="","SIN RECETA",IF(J92="","FALTAN DATOS",IF(NOT(ISNUMBER(G92)),"FALTA PRECIO",IF(M92&lt;0,"PIERDE",IF(N92&lt;Parametros!$B$18,"BAJO META","OK"))))))</f>
        <v/>
      </c>
      <c r="R92" s="18" t="str">
        <f aca="false">IF(B92="","",IF(E92="","Elegir receta (molde).",IF(ISNA(MATCH(E92,Recetas!$A$5:$A$84,0)),"La receta no existe en Recetas.",IF(J92="","Completar la receta "&amp;E92&amp;": "&amp;INDEX(Recetas!$T$5:$T$84,MATCH(E92,Recetas!$A$5:$A$84,0)),IF(NOT(ISNUMBER(G92)),"Precio de venta.","")))))</f>
        <v/>
      </c>
    </row>
    <row r="93" customFormat="false" ht="15" hidden="false" customHeight="false" outlineLevel="0" collapsed="false">
      <c r="A93" s="11"/>
      <c r="B93" s="11"/>
      <c r="C93" s="11"/>
      <c r="D93" s="11"/>
      <c r="E93" s="11"/>
      <c r="F93" s="12"/>
      <c r="G93" s="12"/>
      <c r="H93" s="11"/>
      <c r="J93" s="14" t="str">
        <f aca="false">IF(OR(B93="",E93=""),"",IF(IFERROR(INDEX(Recetas!$S$5:$S$84,MATCH(E93,Recetas!$A$5:$A$84,0)),"")="","",IFERROR(INDEX(Recetas!$S$5:$S$84,MATCH(E93,Recetas!$A$5:$A$84,0)),"")+N(F93)))</f>
        <v/>
      </c>
      <c r="K93" s="15" t="str">
        <f aca="false">IF(AND(J93&lt;&gt;"",ISNUMBER(G93)),G93*Parametros!$B$12,"")</f>
        <v/>
      </c>
      <c r="L93" s="15" t="str">
        <f aca="false">IF(AND(J93&lt;&gt;"",ISNUMBER(G93)),G93*Parametros!$B$13,"")</f>
        <v/>
      </c>
      <c r="M93" s="14" t="str">
        <f aca="false">IF(AND(J93&lt;&gt;"",ISNUMBER(G93)),G93-J93-K93-L93,"")</f>
        <v/>
      </c>
      <c r="N93" s="16" t="str">
        <f aca="false">IF(AND(J93&lt;&gt;"",ISNUMBER(G93)),M93/G93,"")</f>
        <v/>
      </c>
      <c r="O93" s="15" t="str">
        <f aca="false">IF(OR(J93="",Parametros!$B$14&gt;=1),"",J93/(1-Parametros!$B$14))</f>
        <v/>
      </c>
      <c r="P93" s="15" t="str">
        <f aca="false">IF(OR(J93="",Parametros!$B$14+Parametros!$B$18&gt;=1),"",J93/(1-Parametros!$B$14-Parametros!$B$18))</f>
        <v/>
      </c>
      <c r="Q93" s="17" t="str">
        <f aca="false">IF(B93="","",IF(E93="","SIN RECETA",IF(J93="","FALTAN DATOS",IF(NOT(ISNUMBER(G93)),"FALTA PRECIO",IF(M93&lt;0,"PIERDE",IF(N93&lt;Parametros!$B$18,"BAJO META","OK"))))))</f>
        <v/>
      </c>
      <c r="R93" s="18" t="str">
        <f aca="false">IF(B93="","",IF(E93="","Elegir receta (molde).",IF(ISNA(MATCH(E93,Recetas!$A$5:$A$84,0)),"La receta no existe en Recetas.",IF(J93="","Completar la receta "&amp;E93&amp;": "&amp;INDEX(Recetas!$T$5:$T$84,MATCH(E93,Recetas!$A$5:$A$84,0)),IF(NOT(ISNUMBER(G93)),"Precio de venta.","")))))</f>
        <v/>
      </c>
    </row>
    <row r="94" customFormat="false" ht="15" hidden="false" customHeight="false" outlineLevel="0" collapsed="false">
      <c r="A94" s="11"/>
      <c r="B94" s="11"/>
      <c r="C94" s="11"/>
      <c r="D94" s="11"/>
      <c r="E94" s="11"/>
      <c r="F94" s="12"/>
      <c r="G94" s="12"/>
      <c r="H94" s="11"/>
      <c r="J94" s="14" t="str">
        <f aca="false">IF(OR(B94="",E94=""),"",IF(IFERROR(INDEX(Recetas!$S$5:$S$84,MATCH(E94,Recetas!$A$5:$A$84,0)),"")="","",IFERROR(INDEX(Recetas!$S$5:$S$84,MATCH(E94,Recetas!$A$5:$A$84,0)),"")+N(F94)))</f>
        <v/>
      </c>
      <c r="K94" s="15" t="str">
        <f aca="false">IF(AND(J94&lt;&gt;"",ISNUMBER(G94)),G94*Parametros!$B$12,"")</f>
        <v/>
      </c>
      <c r="L94" s="15" t="str">
        <f aca="false">IF(AND(J94&lt;&gt;"",ISNUMBER(G94)),G94*Parametros!$B$13,"")</f>
        <v/>
      </c>
      <c r="M94" s="14" t="str">
        <f aca="false">IF(AND(J94&lt;&gt;"",ISNUMBER(G94)),G94-J94-K94-L94,"")</f>
        <v/>
      </c>
      <c r="N94" s="16" t="str">
        <f aca="false">IF(AND(J94&lt;&gt;"",ISNUMBER(G94)),M94/G94,"")</f>
        <v/>
      </c>
      <c r="O94" s="15" t="str">
        <f aca="false">IF(OR(J94="",Parametros!$B$14&gt;=1),"",J94/(1-Parametros!$B$14))</f>
        <v/>
      </c>
      <c r="P94" s="15" t="str">
        <f aca="false">IF(OR(J94="",Parametros!$B$14+Parametros!$B$18&gt;=1),"",J94/(1-Parametros!$B$14-Parametros!$B$18))</f>
        <v/>
      </c>
      <c r="Q94" s="17" t="str">
        <f aca="false">IF(B94="","",IF(E94="","SIN RECETA",IF(J94="","FALTAN DATOS",IF(NOT(ISNUMBER(G94)),"FALTA PRECIO",IF(M94&lt;0,"PIERDE",IF(N94&lt;Parametros!$B$18,"BAJO META","OK"))))))</f>
        <v/>
      </c>
      <c r="R94" s="18" t="str">
        <f aca="false">IF(B94="","",IF(E94="","Elegir receta (molde).",IF(ISNA(MATCH(E94,Recetas!$A$5:$A$84,0)),"La receta no existe en Recetas.",IF(J94="","Completar la receta "&amp;E94&amp;": "&amp;INDEX(Recetas!$T$5:$T$84,MATCH(E94,Recetas!$A$5:$A$84,0)),IF(NOT(ISNUMBER(G94)),"Precio de venta.","")))))</f>
        <v/>
      </c>
    </row>
    <row r="95" customFormat="false" ht="15" hidden="false" customHeight="false" outlineLevel="0" collapsed="false">
      <c r="A95" s="11"/>
      <c r="B95" s="11"/>
      <c r="C95" s="11"/>
      <c r="D95" s="11"/>
      <c r="E95" s="11"/>
      <c r="F95" s="12"/>
      <c r="G95" s="12"/>
      <c r="H95" s="11"/>
      <c r="J95" s="14" t="str">
        <f aca="false">IF(OR(B95="",E95=""),"",IF(IFERROR(INDEX(Recetas!$S$5:$S$84,MATCH(E95,Recetas!$A$5:$A$84,0)),"")="","",IFERROR(INDEX(Recetas!$S$5:$S$84,MATCH(E95,Recetas!$A$5:$A$84,0)),"")+N(F95)))</f>
        <v/>
      </c>
      <c r="K95" s="15" t="str">
        <f aca="false">IF(AND(J95&lt;&gt;"",ISNUMBER(G95)),G95*Parametros!$B$12,"")</f>
        <v/>
      </c>
      <c r="L95" s="15" t="str">
        <f aca="false">IF(AND(J95&lt;&gt;"",ISNUMBER(G95)),G95*Parametros!$B$13,"")</f>
        <v/>
      </c>
      <c r="M95" s="14" t="str">
        <f aca="false">IF(AND(J95&lt;&gt;"",ISNUMBER(G95)),G95-J95-K95-L95,"")</f>
        <v/>
      </c>
      <c r="N95" s="16" t="str">
        <f aca="false">IF(AND(J95&lt;&gt;"",ISNUMBER(G95)),M95/G95,"")</f>
        <v/>
      </c>
      <c r="O95" s="15" t="str">
        <f aca="false">IF(OR(J95="",Parametros!$B$14&gt;=1),"",J95/(1-Parametros!$B$14))</f>
        <v/>
      </c>
      <c r="P95" s="15" t="str">
        <f aca="false">IF(OR(J95="",Parametros!$B$14+Parametros!$B$18&gt;=1),"",J95/(1-Parametros!$B$14-Parametros!$B$18))</f>
        <v/>
      </c>
      <c r="Q95" s="17" t="str">
        <f aca="false">IF(B95="","",IF(E95="","SIN RECETA",IF(J95="","FALTAN DATOS",IF(NOT(ISNUMBER(G95)),"FALTA PRECIO",IF(M95&lt;0,"PIERDE",IF(N95&lt;Parametros!$B$18,"BAJO META","OK"))))))</f>
        <v/>
      </c>
      <c r="R95" s="18" t="str">
        <f aca="false">IF(B95="","",IF(E95="","Elegir receta (molde).",IF(ISNA(MATCH(E95,Recetas!$A$5:$A$84,0)),"La receta no existe en Recetas.",IF(J95="","Completar la receta "&amp;E95&amp;": "&amp;INDEX(Recetas!$T$5:$T$84,MATCH(E95,Recetas!$A$5:$A$84,0)),IF(NOT(ISNUMBER(G95)),"Precio de venta.","")))))</f>
        <v/>
      </c>
    </row>
    <row r="96" customFormat="false" ht="15" hidden="false" customHeight="false" outlineLevel="0" collapsed="false">
      <c r="A96" s="11"/>
      <c r="B96" s="11"/>
      <c r="C96" s="11"/>
      <c r="D96" s="11"/>
      <c r="E96" s="11"/>
      <c r="F96" s="12"/>
      <c r="G96" s="12"/>
      <c r="H96" s="11"/>
      <c r="J96" s="14" t="str">
        <f aca="false">IF(OR(B96="",E96=""),"",IF(IFERROR(INDEX(Recetas!$S$5:$S$84,MATCH(E96,Recetas!$A$5:$A$84,0)),"")="","",IFERROR(INDEX(Recetas!$S$5:$S$84,MATCH(E96,Recetas!$A$5:$A$84,0)),"")+N(F96)))</f>
        <v/>
      </c>
      <c r="K96" s="15" t="str">
        <f aca="false">IF(AND(J96&lt;&gt;"",ISNUMBER(G96)),G96*Parametros!$B$12,"")</f>
        <v/>
      </c>
      <c r="L96" s="15" t="str">
        <f aca="false">IF(AND(J96&lt;&gt;"",ISNUMBER(G96)),G96*Parametros!$B$13,"")</f>
        <v/>
      </c>
      <c r="M96" s="14" t="str">
        <f aca="false">IF(AND(J96&lt;&gt;"",ISNUMBER(G96)),G96-J96-K96-L96,"")</f>
        <v/>
      </c>
      <c r="N96" s="16" t="str">
        <f aca="false">IF(AND(J96&lt;&gt;"",ISNUMBER(G96)),M96/G96,"")</f>
        <v/>
      </c>
      <c r="O96" s="15" t="str">
        <f aca="false">IF(OR(J96="",Parametros!$B$14&gt;=1),"",J96/(1-Parametros!$B$14))</f>
        <v/>
      </c>
      <c r="P96" s="15" t="str">
        <f aca="false">IF(OR(J96="",Parametros!$B$14+Parametros!$B$18&gt;=1),"",J96/(1-Parametros!$B$14-Parametros!$B$18))</f>
        <v/>
      </c>
      <c r="Q96" s="17" t="str">
        <f aca="false">IF(B96="","",IF(E96="","SIN RECETA",IF(J96="","FALTAN DATOS",IF(NOT(ISNUMBER(G96)),"FALTA PRECIO",IF(M96&lt;0,"PIERDE",IF(N96&lt;Parametros!$B$18,"BAJO META","OK"))))))</f>
        <v/>
      </c>
      <c r="R96" s="18" t="str">
        <f aca="false">IF(B96="","",IF(E96="","Elegir receta (molde).",IF(ISNA(MATCH(E96,Recetas!$A$5:$A$84,0)),"La receta no existe en Recetas.",IF(J96="","Completar la receta "&amp;E96&amp;": "&amp;INDEX(Recetas!$T$5:$T$84,MATCH(E96,Recetas!$A$5:$A$84,0)),IF(NOT(ISNUMBER(G96)),"Precio de venta.","")))))</f>
        <v/>
      </c>
    </row>
    <row r="97" customFormat="false" ht="15" hidden="false" customHeight="false" outlineLevel="0" collapsed="false">
      <c r="A97" s="11"/>
      <c r="B97" s="11"/>
      <c r="C97" s="11"/>
      <c r="D97" s="11"/>
      <c r="E97" s="11"/>
      <c r="F97" s="12"/>
      <c r="G97" s="12"/>
      <c r="H97" s="11"/>
      <c r="J97" s="14" t="str">
        <f aca="false">IF(OR(B97="",E97=""),"",IF(IFERROR(INDEX(Recetas!$S$5:$S$84,MATCH(E97,Recetas!$A$5:$A$84,0)),"")="","",IFERROR(INDEX(Recetas!$S$5:$S$84,MATCH(E97,Recetas!$A$5:$A$84,0)),"")+N(F97)))</f>
        <v/>
      </c>
      <c r="K97" s="15" t="str">
        <f aca="false">IF(AND(J97&lt;&gt;"",ISNUMBER(G97)),G97*Parametros!$B$12,"")</f>
        <v/>
      </c>
      <c r="L97" s="15" t="str">
        <f aca="false">IF(AND(J97&lt;&gt;"",ISNUMBER(G97)),G97*Parametros!$B$13,"")</f>
        <v/>
      </c>
      <c r="M97" s="14" t="str">
        <f aca="false">IF(AND(J97&lt;&gt;"",ISNUMBER(G97)),G97-J97-K97-L97,"")</f>
        <v/>
      </c>
      <c r="N97" s="16" t="str">
        <f aca="false">IF(AND(J97&lt;&gt;"",ISNUMBER(G97)),M97/G97,"")</f>
        <v/>
      </c>
      <c r="O97" s="15" t="str">
        <f aca="false">IF(OR(J97="",Parametros!$B$14&gt;=1),"",J97/(1-Parametros!$B$14))</f>
        <v/>
      </c>
      <c r="P97" s="15" t="str">
        <f aca="false">IF(OR(J97="",Parametros!$B$14+Parametros!$B$18&gt;=1),"",J97/(1-Parametros!$B$14-Parametros!$B$18))</f>
        <v/>
      </c>
      <c r="Q97" s="17" t="str">
        <f aca="false">IF(B97="","",IF(E97="","SIN RECETA",IF(J97="","FALTAN DATOS",IF(NOT(ISNUMBER(G97)),"FALTA PRECIO",IF(M97&lt;0,"PIERDE",IF(N97&lt;Parametros!$B$18,"BAJO META","OK"))))))</f>
        <v/>
      </c>
      <c r="R97" s="18" t="str">
        <f aca="false">IF(B97="","",IF(E97="","Elegir receta (molde).",IF(ISNA(MATCH(E97,Recetas!$A$5:$A$84,0)),"La receta no existe en Recetas.",IF(J97="","Completar la receta "&amp;E97&amp;": "&amp;INDEX(Recetas!$T$5:$T$84,MATCH(E97,Recetas!$A$5:$A$84,0)),IF(NOT(ISNUMBER(G97)),"Precio de venta.","")))))</f>
        <v/>
      </c>
    </row>
    <row r="98" customFormat="false" ht="15" hidden="false" customHeight="false" outlineLevel="0" collapsed="false">
      <c r="A98" s="11"/>
      <c r="B98" s="11"/>
      <c r="C98" s="11"/>
      <c r="D98" s="11"/>
      <c r="E98" s="11"/>
      <c r="F98" s="12"/>
      <c r="G98" s="12"/>
      <c r="H98" s="11"/>
      <c r="J98" s="14" t="str">
        <f aca="false">IF(OR(B98="",E98=""),"",IF(IFERROR(INDEX(Recetas!$S$5:$S$84,MATCH(E98,Recetas!$A$5:$A$84,0)),"")="","",IFERROR(INDEX(Recetas!$S$5:$S$84,MATCH(E98,Recetas!$A$5:$A$84,0)),"")+N(F98)))</f>
        <v/>
      </c>
      <c r="K98" s="15" t="str">
        <f aca="false">IF(AND(J98&lt;&gt;"",ISNUMBER(G98)),G98*Parametros!$B$12,"")</f>
        <v/>
      </c>
      <c r="L98" s="15" t="str">
        <f aca="false">IF(AND(J98&lt;&gt;"",ISNUMBER(G98)),G98*Parametros!$B$13,"")</f>
        <v/>
      </c>
      <c r="M98" s="14" t="str">
        <f aca="false">IF(AND(J98&lt;&gt;"",ISNUMBER(G98)),G98-J98-K98-L98,"")</f>
        <v/>
      </c>
      <c r="N98" s="16" t="str">
        <f aca="false">IF(AND(J98&lt;&gt;"",ISNUMBER(G98)),M98/G98,"")</f>
        <v/>
      </c>
      <c r="O98" s="15" t="str">
        <f aca="false">IF(OR(J98="",Parametros!$B$14&gt;=1),"",J98/(1-Parametros!$B$14))</f>
        <v/>
      </c>
      <c r="P98" s="15" t="str">
        <f aca="false">IF(OR(J98="",Parametros!$B$14+Parametros!$B$18&gt;=1),"",J98/(1-Parametros!$B$14-Parametros!$B$18))</f>
        <v/>
      </c>
      <c r="Q98" s="17" t="str">
        <f aca="false">IF(B98="","",IF(E98="","SIN RECETA",IF(J98="","FALTAN DATOS",IF(NOT(ISNUMBER(G98)),"FALTA PRECIO",IF(M98&lt;0,"PIERDE",IF(N98&lt;Parametros!$B$18,"BAJO META","OK"))))))</f>
        <v/>
      </c>
      <c r="R98" s="18" t="str">
        <f aca="false">IF(B98="","",IF(E98="","Elegir receta (molde).",IF(ISNA(MATCH(E98,Recetas!$A$5:$A$84,0)),"La receta no existe en Recetas.",IF(J98="","Completar la receta "&amp;E98&amp;": "&amp;INDEX(Recetas!$T$5:$T$84,MATCH(E98,Recetas!$A$5:$A$84,0)),IF(NOT(ISNUMBER(G98)),"Precio de venta.","")))))</f>
        <v/>
      </c>
    </row>
    <row r="99" customFormat="false" ht="15" hidden="false" customHeight="false" outlineLevel="0" collapsed="false">
      <c r="A99" s="11"/>
      <c r="B99" s="11"/>
      <c r="C99" s="11"/>
      <c r="D99" s="11"/>
      <c r="E99" s="11"/>
      <c r="F99" s="12"/>
      <c r="G99" s="12"/>
      <c r="H99" s="11"/>
      <c r="J99" s="14" t="str">
        <f aca="false">IF(OR(B99="",E99=""),"",IF(IFERROR(INDEX(Recetas!$S$5:$S$84,MATCH(E99,Recetas!$A$5:$A$84,0)),"")="","",IFERROR(INDEX(Recetas!$S$5:$S$84,MATCH(E99,Recetas!$A$5:$A$84,0)),"")+N(F99)))</f>
        <v/>
      </c>
      <c r="K99" s="15" t="str">
        <f aca="false">IF(AND(J99&lt;&gt;"",ISNUMBER(G99)),G99*Parametros!$B$12,"")</f>
        <v/>
      </c>
      <c r="L99" s="15" t="str">
        <f aca="false">IF(AND(J99&lt;&gt;"",ISNUMBER(G99)),G99*Parametros!$B$13,"")</f>
        <v/>
      </c>
      <c r="M99" s="14" t="str">
        <f aca="false">IF(AND(J99&lt;&gt;"",ISNUMBER(G99)),G99-J99-K99-L99,"")</f>
        <v/>
      </c>
      <c r="N99" s="16" t="str">
        <f aca="false">IF(AND(J99&lt;&gt;"",ISNUMBER(G99)),M99/G99,"")</f>
        <v/>
      </c>
      <c r="O99" s="15" t="str">
        <f aca="false">IF(OR(J99="",Parametros!$B$14&gt;=1),"",J99/(1-Parametros!$B$14))</f>
        <v/>
      </c>
      <c r="P99" s="15" t="str">
        <f aca="false">IF(OR(J99="",Parametros!$B$14+Parametros!$B$18&gt;=1),"",J99/(1-Parametros!$B$14-Parametros!$B$18))</f>
        <v/>
      </c>
      <c r="Q99" s="17" t="str">
        <f aca="false">IF(B99="","",IF(E99="","SIN RECETA",IF(J99="","FALTAN DATOS",IF(NOT(ISNUMBER(G99)),"FALTA PRECIO",IF(M99&lt;0,"PIERDE",IF(N99&lt;Parametros!$B$18,"BAJO META","OK"))))))</f>
        <v/>
      </c>
      <c r="R99" s="18" t="str">
        <f aca="false">IF(B99="","",IF(E99="","Elegir receta (molde).",IF(ISNA(MATCH(E99,Recetas!$A$5:$A$84,0)),"La receta no existe en Recetas.",IF(J99="","Completar la receta "&amp;E99&amp;": "&amp;INDEX(Recetas!$T$5:$T$84,MATCH(E99,Recetas!$A$5:$A$84,0)),IF(NOT(ISNUMBER(G99)),"Precio de venta.","")))))</f>
        <v/>
      </c>
    </row>
    <row r="100" customFormat="false" ht="15" hidden="false" customHeight="false" outlineLevel="0" collapsed="false">
      <c r="A100" s="11"/>
      <c r="B100" s="11"/>
      <c r="C100" s="11"/>
      <c r="D100" s="11"/>
      <c r="E100" s="11"/>
      <c r="F100" s="12"/>
      <c r="G100" s="12"/>
      <c r="H100" s="11"/>
      <c r="J100" s="14" t="str">
        <f aca="false">IF(OR(B100="",E100=""),"",IF(IFERROR(INDEX(Recetas!$S$5:$S$84,MATCH(E100,Recetas!$A$5:$A$84,0)),"")="","",IFERROR(INDEX(Recetas!$S$5:$S$84,MATCH(E100,Recetas!$A$5:$A$84,0)),"")+N(F100)))</f>
        <v/>
      </c>
      <c r="K100" s="15" t="str">
        <f aca="false">IF(AND(J100&lt;&gt;"",ISNUMBER(G100)),G100*Parametros!$B$12,"")</f>
        <v/>
      </c>
      <c r="L100" s="15" t="str">
        <f aca="false">IF(AND(J100&lt;&gt;"",ISNUMBER(G100)),G100*Parametros!$B$13,"")</f>
        <v/>
      </c>
      <c r="M100" s="14" t="str">
        <f aca="false">IF(AND(J100&lt;&gt;"",ISNUMBER(G100)),G100-J100-K100-L100,"")</f>
        <v/>
      </c>
      <c r="N100" s="16" t="str">
        <f aca="false">IF(AND(J100&lt;&gt;"",ISNUMBER(G100)),M100/G100,"")</f>
        <v/>
      </c>
      <c r="O100" s="15" t="str">
        <f aca="false">IF(OR(J100="",Parametros!$B$14&gt;=1),"",J100/(1-Parametros!$B$14))</f>
        <v/>
      </c>
      <c r="P100" s="15" t="str">
        <f aca="false">IF(OR(J100="",Parametros!$B$14+Parametros!$B$18&gt;=1),"",J100/(1-Parametros!$B$14-Parametros!$B$18))</f>
        <v/>
      </c>
      <c r="Q100" s="17" t="str">
        <f aca="false">IF(B100="","",IF(E100="","SIN RECETA",IF(J100="","FALTAN DATOS",IF(NOT(ISNUMBER(G100)),"FALTA PRECIO",IF(M100&lt;0,"PIERDE",IF(N100&lt;Parametros!$B$18,"BAJO META","OK"))))))</f>
        <v/>
      </c>
      <c r="R100" s="18" t="str">
        <f aca="false">IF(B100="","",IF(E100="","Elegir receta (molde).",IF(ISNA(MATCH(E100,Recetas!$A$5:$A$84,0)),"La receta no existe en Recetas.",IF(J100="","Completar la receta "&amp;E100&amp;": "&amp;INDEX(Recetas!$T$5:$T$84,MATCH(E100,Recetas!$A$5:$A$84,0)),IF(NOT(ISNUMBER(G100)),"Precio de venta.","")))))</f>
        <v/>
      </c>
    </row>
    <row r="101" customFormat="false" ht="15" hidden="false" customHeight="false" outlineLevel="0" collapsed="false">
      <c r="A101" s="11"/>
      <c r="B101" s="11"/>
      <c r="C101" s="11"/>
      <c r="D101" s="11"/>
      <c r="E101" s="11"/>
      <c r="F101" s="12"/>
      <c r="G101" s="12"/>
      <c r="H101" s="11"/>
      <c r="J101" s="14" t="str">
        <f aca="false">IF(OR(B101="",E101=""),"",IF(IFERROR(INDEX(Recetas!$S$5:$S$84,MATCH(E101,Recetas!$A$5:$A$84,0)),"")="","",IFERROR(INDEX(Recetas!$S$5:$S$84,MATCH(E101,Recetas!$A$5:$A$84,0)),"")+N(F101)))</f>
        <v/>
      </c>
      <c r="K101" s="15" t="str">
        <f aca="false">IF(AND(J101&lt;&gt;"",ISNUMBER(G101)),G101*Parametros!$B$12,"")</f>
        <v/>
      </c>
      <c r="L101" s="15" t="str">
        <f aca="false">IF(AND(J101&lt;&gt;"",ISNUMBER(G101)),G101*Parametros!$B$13,"")</f>
        <v/>
      </c>
      <c r="M101" s="14" t="str">
        <f aca="false">IF(AND(J101&lt;&gt;"",ISNUMBER(G101)),G101-J101-K101-L101,"")</f>
        <v/>
      </c>
      <c r="N101" s="16" t="str">
        <f aca="false">IF(AND(J101&lt;&gt;"",ISNUMBER(G101)),M101/G101,"")</f>
        <v/>
      </c>
      <c r="O101" s="15" t="str">
        <f aca="false">IF(OR(J101="",Parametros!$B$14&gt;=1),"",J101/(1-Parametros!$B$14))</f>
        <v/>
      </c>
      <c r="P101" s="15" t="str">
        <f aca="false">IF(OR(J101="",Parametros!$B$14+Parametros!$B$18&gt;=1),"",J101/(1-Parametros!$B$14-Parametros!$B$18))</f>
        <v/>
      </c>
      <c r="Q101" s="17" t="str">
        <f aca="false">IF(B101="","",IF(E101="","SIN RECETA",IF(J101="","FALTAN DATOS",IF(NOT(ISNUMBER(G101)),"FALTA PRECIO",IF(M101&lt;0,"PIERDE",IF(N101&lt;Parametros!$B$18,"BAJO META","OK"))))))</f>
        <v/>
      </c>
      <c r="R101" s="18" t="str">
        <f aca="false">IF(B101="","",IF(E101="","Elegir receta (molde).",IF(ISNA(MATCH(E101,Recetas!$A$5:$A$84,0)),"La receta no existe en Recetas.",IF(J101="","Completar la receta "&amp;E101&amp;": "&amp;INDEX(Recetas!$T$5:$T$84,MATCH(E101,Recetas!$A$5:$A$84,0)),IF(NOT(ISNUMBER(G101)),"Precio de venta.","")))))</f>
        <v/>
      </c>
    </row>
    <row r="102" customFormat="false" ht="15" hidden="false" customHeight="false" outlineLevel="0" collapsed="false">
      <c r="A102" s="11"/>
      <c r="B102" s="11"/>
      <c r="C102" s="11"/>
      <c r="D102" s="11"/>
      <c r="E102" s="11"/>
      <c r="F102" s="12"/>
      <c r="G102" s="12"/>
      <c r="H102" s="11"/>
      <c r="J102" s="14" t="str">
        <f aca="false">IF(OR(B102="",E102=""),"",IF(IFERROR(INDEX(Recetas!$S$5:$S$84,MATCH(E102,Recetas!$A$5:$A$84,0)),"")="","",IFERROR(INDEX(Recetas!$S$5:$S$84,MATCH(E102,Recetas!$A$5:$A$84,0)),"")+N(F102)))</f>
        <v/>
      </c>
      <c r="K102" s="15" t="str">
        <f aca="false">IF(AND(J102&lt;&gt;"",ISNUMBER(G102)),G102*Parametros!$B$12,"")</f>
        <v/>
      </c>
      <c r="L102" s="15" t="str">
        <f aca="false">IF(AND(J102&lt;&gt;"",ISNUMBER(G102)),G102*Parametros!$B$13,"")</f>
        <v/>
      </c>
      <c r="M102" s="14" t="str">
        <f aca="false">IF(AND(J102&lt;&gt;"",ISNUMBER(G102)),G102-J102-K102-L102,"")</f>
        <v/>
      </c>
      <c r="N102" s="16" t="str">
        <f aca="false">IF(AND(J102&lt;&gt;"",ISNUMBER(G102)),M102/G102,"")</f>
        <v/>
      </c>
      <c r="O102" s="15" t="str">
        <f aca="false">IF(OR(J102="",Parametros!$B$14&gt;=1),"",J102/(1-Parametros!$B$14))</f>
        <v/>
      </c>
      <c r="P102" s="15" t="str">
        <f aca="false">IF(OR(J102="",Parametros!$B$14+Parametros!$B$18&gt;=1),"",J102/(1-Parametros!$B$14-Parametros!$B$18))</f>
        <v/>
      </c>
      <c r="Q102" s="17" t="str">
        <f aca="false">IF(B102="","",IF(E102="","SIN RECETA",IF(J102="","FALTAN DATOS",IF(NOT(ISNUMBER(G102)),"FALTA PRECIO",IF(M102&lt;0,"PIERDE",IF(N102&lt;Parametros!$B$18,"BAJO META","OK"))))))</f>
        <v/>
      </c>
      <c r="R102" s="18" t="str">
        <f aca="false">IF(B102="","",IF(E102="","Elegir receta (molde).",IF(ISNA(MATCH(E102,Recetas!$A$5:$A$84,0)),"La receta no existe en Recetas.",IF(J102="","Completar la receta "&amp;E102&amp;": "&amp;INDEX(Recetas!$T$5:$T$84,MATCH(E102,Recetas!$A$5:$A$84,0)),IF(NOT(ISNUMBER(G102)),"Precio de venta.","")))))</f>
        <v/>
      </c>
    </row>
    <row r="103" customFormat="false" ht="15" hidden="false" customHeight="false" outlineLevel="0" collapsed="false">
      <c r="A103" s="11"/>
      <c r="B103" s="11"/>
      <c r="C103" s="11"/>
      <c r="D103" s="11"/>
      <c r="E103" s="11"/>
      <c r="F103" s="12"/>
      <c r="G103" s="12"/>
      <c r="H103" s="11"/>
      <c r="J103" s="14" t="str">
        <f aca="false">IF(OR(B103="",E103=""),"",IF(IFERROR(INDEX(Recetas!$S$5:$S$84,MATCH(E103,Recetas!$A$5:$A$84,0)),"")="","",IFERROR(INDEX(Recetas!$S$5:$S$84,MATCH(E103,Recetas!$A$5:$A$84,0)),"")+N(F103)))</f>
        <v/>
      </c>
      <c r="K103" s="15" t="str">
        <f aca="false">IF(AND(J103&lt;&gt;"",ISNUMBER(G103)),G103*Parametros!$B$12,"")</f>
        <v/>
      </c>
      <c r="L103" s="15" t="str">
        <f aca="false">IF(AND(J103&lt;&gt;"",ISNUMBER(G103)),G103*Parametros!$B$13,"")</f>
        <v/>
      </c>
      <c r="M103" s="14" t="str">
        <f aca="false">IF(AND(J103&lt;&gt;"",ISNUMBER(G103)),G103-J103-K103-L103,"")</f>
        <v/>
      </c>
      <c r="N103" s="16" t="str">
        <f aca="false">IF(AND(J103&lt;&gt;"",ISNUMBER(G103)),M103/G103,"")</f>
        <v/>
      </c>
      <c r="O103" s="15" t="str">
        <f aca="false">IF(OR(J103="",Parametros!$B$14&gt;=1),"",J103/(1-Parametros!$B$14))</f>
        <v/>
      </c>
      <c r="P103" s="15" t="str">
        <f aca="false">IF(OR(J103="",Parametros!$B$14+Parametros!$B$18&gt;=1),"",J103/(1-Parametros!$B$14-Parametros!$B$18))</f>
        <v/>
      </c>
      <c r="Q103" s="17" t="str">
        <f aca="false">IF(B103="","",IF(E103="","SIN RECETA",IF(J103="","FALTAN DATOS",IF(NOT(ISNUMBER(G103)),"FALTA PRECIO",IF(M103&lt;0,"PIERDE",IF(N103&lt;Parametros!$B$18,"BAJO META","OK"))))))</f>
        <v/>
      </c>
      <c r="R103" s="18" t="str">
        <f aca="false">IF(B103="","",IF(E103="","Elegir receta (molde).",IF(ISNA(MATCH(E103,Recetas!$A$5:$A$84,0)),"La receta no existe en Recetas.",IF(J103="","Completar la receta "&amp;E103&amp;": "&amp;INDEX(Recetas!$T$5:$T$84,MATCH(E103,Recetas!$A$5:$A$84,0)),IF(NOT(ISNUMBER(G103)),"Precio de venta.","")))))</f>
        <v/>
      </c>
    </row>
    <row r="104" customFormat="false" ht="15" hidden="false" customHeight="false" outlineLevel="0" collapsed="false">
      <c r="A104" s="11"/>
      <c r="B104" s="11"/>
      <c r="C104" s="11"/>
      <c r="D104" s="11"/>
      <c r="E104" s="11"/>
      <c r="F104" s="12"/>
      <c r="G104" s="12"/>
      <c r="H104" s="11"/>
      <c r="J104" s="14" t="str">
        <f aca="false">IF(OR(B104="",E104=""),"",IF(IFERROR(INDEX(Recetas!$S$5:$S$84,MATCH(E104,Recetas!$A$5:$A$84,0)),"")="","",IFERROR(INDEX(Recetas!$S$5:$S$84,MATCH(E104,Recetas!$A$5:$A$84,0)),"")+N(F104)))</f>
        <v/>
      </c>
      <c r="K104" s="15" t="str">
        <f aca="false">IF(AND(J104&lt;&gt;"",ISNUMBER(G104)),G104*Parametros!$B$12,"")</f>
        <v/>
      </c>
      <c r="L104" s="15" t="str">
        <f aca="false">IF(AND(J104&lt;&gt;"",ISNUMBER(G104)),G104*Parametros!$B$13,"")</f>
        <v/>
      </c>
      <c r="M104" s="14" t="str">
        <f aca="false">IF(AND(J104&lt;&gt;"",ISNUMBER(G104)),G104-J104-K104-L104,"")</f>
        <v/>
      </c>
      <c r="N104" s="16" t="str">
        <f aca="false">IF(AND(J104&lt;&gt;"",ISNUMBER(G104)),M104/G104,"")</f>
        <v/>
      </c>
      <c r="O104" s="15" t="str">
        <f aca="false">IF(OR(J104="",Parametros!$B$14&gt;=1),"",J104/(1-Parametros!$B$14))</f>
        <v/>
      </c>
      <c r="P104" s="15" t="str">
        <f aca="false">IF(OR(J104="",Parametros!$B$14+Parametros!$B$18&gt;=1),"",J104/(1-Parametros!$B$14-Parametros!$B$18))</f>
        <v/>
      </c>
      <c r="Q104" s="17" t="str">
        <f aca="false">IF(B104="","",IF(E104="","SIN RECETA",IF(J104="","FALTAN DATOS",IF(NOT(ISNUMBER(G104)),"FALTA PRECIO",IF(M104&lt;0,"PIERDE",IF(N104&lt;Parametros!$B$18,"BAJO META","OK"))))))</f>
        <v/>
      </c>
      <c r="R104" s="18" t="str">
        <f aca="false">IF(B104="","",IF(E104="","Elegir receta (molde).",IF(ISNA(MATCH(E104,Recetas!$A$5:$A$84,0)),"La receta no existe en Recetas.",IF(J104="","Completar la receta "&amp;E104&amp;": "&amp;INDEX(Recetas!$T$5:$T$84,MATCH(E104,Recetas!$A$5:$A$84,0)),IF(NOT(ISNUMBER(G104)),"Precio de venta.","")))))</f>
        <v/>
      </c>
    </row>
    <row r="105" customFormat="false" ht="15" hidden="false" customHeight="false" outlineLevel="0" collapsed="false">
      <c r="A105" s="11"/>
      <c r="B105" s="11"/>
      <c r="C105" s="11"/>
      <c r="D105" s="11"/>
      <c r="E105" s="11"/>
      <c r="F105" s="12"/>
      <c r="G105" s="12"/>
      <c r="H105" s="11"/>
      <c r="J105" s="14" t="str">
        <f aca="false">IF(OR(B105="",E105=""),"",IF(IFERROR(INDEX(Recetas!$S$5:$S$84,MATCH(E105,Recetas!$A$5:$A$84,0)),"")="","",IFERROR(INDEX(Recetas!$S$5:$S$84,MATCH(E105,Recetas!$A$5:$A$84,0)),"")+N(F105)))</f>
        <v/>
      </c>
      <c r="K105" s="15" t="str">
        <f aca="false">IF(AND(J105&lt;&gt;"",ISNUMBER(G105)),G105*Parametros!$B$12,"")</f>
        <v/>
      </c>
      <c r="L105" s="15" t="str">
        <f aca="false">IF(AND(J105&lt;&gt;"",ISNUMBER(G105)),G105*Parametros!$B$13,"")</f>
        <v/>
      </c>
      <c r="M105" s="14" t="str">
        <f aca="false">IF(AND(J105&lt;&gt;"",ISNUMBER(G105)),G105-J105-K105-L105,"")</f>
        <v/>
      </c>
      <c r="N105" s="16" t="str">
        <f aca="false">IF(AND(J105&lt;&gt;"",ISNUMBER(G105)),M105/G105,"")</f>
        <v/>
      </c>
      <c r="O105" s="15" t="str">
        <f aca="false">IF(OR(J105="",Parametros!$B$14&gt;=1),"",J105/(1-Parametros!$B$14))</f>
        <v/>
      </c>
      <c r="P105" s="15" t="str">
        <f aca="false">IF(OR(J105="",Parametros!$B$14+Parametros!$B$18&gt;=1),"",J105/(1-Parametros!$B$14-Parametros!$B$18))</f>
        <v/>
      </c>
      <c r="Q105" s="17" t="str">
        <f aca="false">IF(B105="","",IF(E105="","SIN RECETA",IF(J105="","FALTAN DATOS",IF(NOT(ISNUMBER(G105)),"FALTA PRECIO",IF(M105&lt;0,"PIERDE",IF(N105&lt;Parametros!$B$18,"BAJO META","OK"))))))</f>
        <v/>
      </c>
      <c r="R105" s="18" t="str">
        <f aca="false">IF(B105="","",IF(E105="","Elegir receta (molde).",IF(ISNA(MATCH(E105,Recetas!$A$5:$A$84,0)),"La receta no existe en Recetas.",IF(J105="","Completar la receta "&amp;E105&amp;": "&amp;INDEX(Recetas!$T$5:$T$84,MATCH(E105,Recetas!$A$5:$A$84,0)),IF(NOT(ISNUMBER(G105)),"Precio de venta.","")))))</f>
        <v/>
      </c>
    </row>
    <row r="106" customFormat="false" ht="15" hidden="false" customHeight="false" outlineLevel="0" collapsed="false">
      <c r="A106" s="11"/>
      <c r="B106" s="11"/>
      <c r="C106" s="11"/>
      <c r="D106" s="11"/>
      <c r="E106" s="11"/>
      <c r="F106" s="12"/>
      <c r="G106" s="12"/>
      <c r="H106" s="11"/>
      <c r="J106" s="14" t="str">
        <f aca="false">IF(OR(B106="",E106=""),"",IF(IFERROR(INDEX(Recetas!$S$5:$S$84,MATCH(E106,Recetas!$A$5:$A$84,0)),"")="","",IFERROR(INDEX(Recetas!$S$5:$S$84,MATCH(E106,Recetas!$A$5:$A$84,0)),"")+N(F106)))</f>
        <v/>
      </c>
      <c r="K106" s="15" t="str">
        <f aca="false">IF(AND(J106&lt;&gt;"",ISNUMBER(G106)),G106*Parametros!$B$12,"")</f>
        <v/>
      </c>
      <c r="L106" s="15" t="str">
        <f aca="false">IF(AND(J106&lt;&gt;"",ISNUMBER(G106)),G106*Parametros!$B$13,"")</f>
        <v/>
      </c>
      <c r="M106" s="14" t="str">
        <f aca="false">IF(AND(J106&lt;&gt;"",ISNUMBER(G106)),G106-J106-K106-L106,"")</f>
        <v/>
      </c>
      <c r="N106" s="16" t="str">
        <f aca="false">IF(AND(J106&lt;&gt;"",ISNUMBER(G106)),M106/G106,"")</f>
        <v/>
      </c>
      <c r="O106" s="15" t="str">
        <f aca="false">IF(OR(J106="",Parametros!$B$14&gt;=1),"",J106/(1-Parametros!$B$14))</f>
        <v/>
      </c>
      <c r="P106" s="15" t="str">
        <f aca="false">IF(OR(J106="",Parametros!$B$14+Parametros!$B$18&gt;=1),"",J106/(1-Parametros!$B$14-Parametros!$B$18))</f>
        <v/>
      </c>
      <c r="Q106" s="17" t="str">
        <f aca="false">IF(B106="","",IF(E106="","SIN RECETA",IF(J106="","FALTAN DATOS",IF(NOT(ISNUMBER(G106)),"FALTA PRECIO",IF(M106&lt;0,"PIERDE",IF(N106&lt;Parametros!$B$18,"BAJO META","OK"))))))</f>
        <v/>
      </c>
      <c r="R106" s="18" t="str">
        <f aca="false">IF(B106="","",IF(E106="","Elegir receta (molde).",IF(ISNA(MATCH(E106,Recetas!$A$5:$A$84,0)),"La receta no existe en Recetas.",IF(J106="","Completar la receta "&amp;E106&amp;": "&amp;INDEX(Recetas!$T$5:$T$84,MATCH(E106,Recetas!$A$5:$A$84,0)),IF(NOT(ISNUMBER(G106)),"Precio de venta.","")))))</f>
        <v/>
      </c>
    </row>
    <row r="107" customFormat="false" ht="15" hidden="false" customHeight="false" outlineLevel="0" collapsed="false">
      <c r="A107" s="11"/>
      <c r="B107" s="11"/>
      <c r="C107" s="11"/>
      <c r="D107" s="11"/>
      <c r="E107" s="11"/>
      <c r="F107" s="12"/>
      <c r="G107" s="12"/>
      <c r="H107" s="11"/>
      <c r="J107" s="14" t="str">
        <f aca="false">IF(OR(B107="",E107=""),"",IF(IFERROR(INDEX(Recetas!$S$5:$S$84,MATCH(E107,Recetas!$A$5:$A$84,0)),"")="","",IFERROR(INDEX(Recetas!$S$5:$S$84,MATCH(E107,Recetas!$A$5:$A$84,0)),"")+N(F107)))</f>
        <v/>
      </c>
      <c r="K107" s="15" t="str">
        <f aca="false">IF(AND(J107&lt;&gt;"",ISNUMBER(G107)),G107*Parametros!$B$12,"")</f>
        <v/>
      </c>
      <c r="L107" s="15" t="str">
        <f aca="false">IF(AND(J107&lt;&gt;"",ISNUMBER(G107)),G107*Parametros!$B$13,"")</f>
        <v/>
      </c>
      <c r="M107" s="14" t="str">
        <f aca="false">IF(AND(J107&lt;&gt;"",ISNUMBER(G107)),G107-J107-K107-L107,"")</f>
        <v/>
      </c>
      <c r="N107" s="16" t="str">
        <f aca="false">IF(AND(J107&lt;&gt;"",ISNUMBER(G107)),M107/G107,"")</f>
        <v/>
      </c>
      <c r="O107" s="15" t="str">
        <f aca="false">IF(OR(J107="",Parametros!$B$14&gt;=1),"",J107/(1-Parametros!$B$14))</f>
        <v/>
      </c>
      <c r="P107" s="15" t="str">
        <f aca="false">IF(OR(J107="",Parametros!$B$14+Parametros!$B$18&gt;=1),"",J107/(1-Parametros!$B$14-Parametros!$B$18))</f>
        <v/>
      </c>
      <c r="Q107" s="17" t="str">
        <f aca="false">IF(B107="","",IF(E107="","SIN RECETA",IF(J107="","FALTAN DATOS",IF(NOT(ISNUMBER(G107)),"FALTA PRECIO",IF(M107&lt;0,"PIERDE",IF(N107&lt;Parametros!$B$18,"BAJO META","OK"))))))</f>
        <v/>
      </c>
      <c r="R107" s="18" t="str">
        <f aca="false">IF(B107="","",IF(E107="","Elegir receta (molde).",IF(ISNA(MATCH(E107,Recetas!$A$5:$A$84,0)),"La receta no existe en Recetas.",IF(J107="","Completar la receta "&amp;E107&amp;": "&amp;INDEX(Recetas!$T$5:$T$84,MATCH(E107,Recetas!$A$5:$A$84,0)),IF(NOT(ISNUMBER(G107)),"Precio de venta.","")))))</f>
        <v/>
      </c>
    </row>
    <row r="108" customFormat="false" ht="15" hidden="false" customHeight="false" outlineLevel="0" collapsed="false">
      <c r="A108" s="11"/>
      <c r="B108" s="11"/>
      <c r="C108" s="11"/>
      <c r="D108" s="11"/>
      <c r="E108" s="11"/>
      <c r="F108" s="12"/>
      <c r="G108" s="12"/>
      <c r="H108" s="11"/>
      <c r="J108" s="14" t="str">
        <f aca="false">IF(OR(B108="",E108=""),"",IF(IFERROR(INDEX(Recetas!$S$5:$S$84,MATCH(E108,Recetas!$A$5:$A$84,0)),"")="","",IFERROR(INDEX(Recetas!$S$5:$S$84,MATCH(E108,Recetas!$A$5:$A$84,0)),"")+N(F108)))</f>
        <v/>
      </c>
      <c r="K108" s="15" t="str">
        <f aca="false">IF(AND(J108&lt;&gt;"",ISNUMBER(G108)),G108*Parametros!$B$12,"")</f>
        <v/>
      </c>
      <c r="L108" s="15" t="str">
        <f aca="false">IF(AND(J108&lt;&gt;"",ISNUMBER(G108)),G108*Parametros!$B$13,"")</f>
        <v/>
      </c>
      <c r="M108" s="14" t="str">
        <f aca="false">IF(AND(J108&lt;&gt;"",ISNUMBER(G108)),G108-J108-K108-L108,"")</f>
        <v/>
      </c>
      <c r="N108" s="16" t="str">
        <f aca="false">IF(AND(J108&lt;&gt;"",ISNUMBER(G108)),M108/G108,"")</f>
        <v/>
      </c>
      <c r="O108" s="15" t="str">
        <f aca="false">IF(OR(J108="",Parametros!$B$14&gt;=1),"",J108/(1-Parametros!$B$14))</f>
        <v/>
      </c>
      <c r="P108" s="15" t="str">
        <f aca="false">IF(OR(J108="",Parametros!$B$14+Parametros!$B$18&gt;=1),"",J108/(1-Parametros!$B$14-Parametros!$B$18))</f>
        <v/>
      </c>
      <c r="Q108" s="17" t="str">
        <f aca="false">IF(B108="","",IF(E108="","SIN RECETA",IF(J108="","FALTAN DATOS",IF(NOT(ISNUMBER(G108)),"FALTA PRECIO",IF(M108&lt;0,"PIERDE",IF(N108&lt;Parametros!$B$18,"BAJO META","OK"))))))</f>
        <v/>
      </c>
      <c r="R108" s="18" t="str">
        <f aca="false">IF(B108="","",IF(E108="","Elegir receta (molde).",IF(ISNA(MATCH(E108,Recetas!$A$5:$A$84,0)),"La receta no existe en Recetas.",IF(J108="","Completar la receta "&amp;E108&amp;": "&amp;INDEX(Recetas!$T$5:$T$84,MATCH(E108,Recetas!$A$5:$A$84,0)),IF(NOT(ISNUMBER(G108)),"Precio de venta.","")))))</f>
        <v/>
      </c>
    </row>
    <row r="109" customFormat="false" ht="15" hidden="false" customHeight="false" outlineLevel="0" collapsed="false">
      <c r="A109" s="11"/>
      <c r="B109" s="11"/>
      <c r="C109" s="11"/>
      <c r="D109" s="11"/>
      <c r="E109" s="11"/>
      <c r="F109" s="12"/>
      <c r="G109" s="12"/>
      <c r="H109" s="11"/>
      <c r="J109" s="14" t="str">
        <f aca="false">IF(OR(B109="",E109=""),"",IF(IFERROR(INDEX(Recetas!$S$5:$S$84,MATCH(E109,Recetas!$A$5:$A$84,0)),"")="","",IFERROR(INDEX(Recetas!$S$5:$S$84,MATCH(E109,Recetas!$A$5:$A$84,0)),"")+N(F109)))</f>
        <v/>
      </c>
      <c r="K109" s="15" t="str">
        <f aca="false">IF(AND(J109&lt;&gt;"",ISNUMBER(G109)),G109*Parametros!$B$12,"")</f>
        <v/>
      </c>
      <c r="L109" s="15" t="str">
        <f aca="false">IF(AND(J109&lt;&gt;"",ISNUMBER(G109)),G109*Parametros!$B$13,"")</f>
        <v/>
      </c>
      <c r="M109" s="14" t="str">
        <f aca="false">IF(AND(J109&lt;&gt;"",ISNUMBER(G109)),G109-J109-K109-L109,"")</f>
        <v/>
      </c>
      <c r="N109" s="16" t="str">
        <f aca="false">IF(AND(J109&lt;&gt;"",ISNUMBER(G109)),M109/G109,"")</f>
        <v/>
      </c>
      <c r="O109" s="15" t="str">
        <f aca="false">IF(OR(J109="",Parametros!$B$14&gt;=1),"",J109/(1-Parametros!$B$14))</f>
        <v/>
      </c>
      <c r="P109" s="15" t="str">
        <f aca="false">IF(OR(J109="",Parametros!$B$14+Parametros!$B$18&gt;=1),"",J109/(1-Parametros!$B$14-Parametros!$B$18))</f>
        <v/>
      </c>
      <c r="Q109" s="17" t="str">
        <f aca="false">IF(B109="","",IF(E109="","SIN RECETA",IF(J109="","FALTAN DATOS",IF(NOT(ISNUMBER(G109)),"FALTA PRECIO",IF(M109&lt;0,"PIERDE",IF(N109&lt;Parametros!$B$18,"BAJO META","OK"))))))</f>
        <v/>
      </c>
      <c r="R109" s="18" t="str">
        <f aca="false">IF(B109="","",IF(E109="","Elegir receta (molde).",IF(ISNA(MATCH(E109,Recetas!$A$5:$A$84,0)),"La receta no existe en Recetas.",IF(J109="","Completar la receta "&amp;E109&amp;": "&amp;INDEX(Recetas!$T$5:$T$84,MATCH(E109,Recetas!$A$5:$A$84,0)),IF(NOT(ISNUMBER(G109)),"Precio de venta.","")))))</f>
        <v/>
      </c>
    </row>
    <row r="110" customFormat="false" ht="15" hidden="false" customHeight="false" outlineLevel="0" collapsed="false">
      <c r="A110" s="11"/>
      <c r="B110" s="11"/>
      <c r="C110" s="11"/>
      <c r="D110" s="11"/>
      <c r="E110" s="11"/>
      <c r="F110" s="12"/>
      <c r="G110" s="12"/>
      <c r="H110" s="11"/>
      <c r="J110" s="14" t="str">
        <f aca="false">IF(OR(B110="",E110=""),"",IF(IFERROR(INDEX(Recetas!$S$5:$S$84,MATCH(E110,Recetas!$A$5:$A$84,0)),"")="","",IFERROR(INDEX(Recetas!$S$5:$S$84,MATCH(E110,Recetas!$A$5:$A$84,0)),"")+N(F110)))</f>
        <v/>
      </c>
      <c r="K110" s="15" t="str">
        <f aca="false">IF(AND(J110&lt;&gt;"",ISNUMBER(G110)),G110*Parametros!$B$12,"")</f>
        <v/>
      </c>
      <c r="L110" s="15" t="str">
        <f aca="false">IF(AND(J110&lt;&gt;"",ISNUMBER(G110)),G110*Parametros!$B$13,"")</f>
        <v/>
      </c>
      <c r="M110" s="14" t="str">
        <f aca="false">IF(AND(J110&lt;&gt;"",ISNUMBER(G110)),G110-J110-K110-L110,"")</f>
        <v/>
      </c>
      <c r="N110" s="16" t="str">
        <f aca="false">IF(AND(J110&lt;&gt;"",ISNUMBER(G110)),M110/G110,"")</f>
        <v/>
      </c>
      <c r="O110" s="15" t="str">
        <f aca="false">IF(OR(J110="",Parametros!$B$14&gt;=1),"",J110/(1-Parametros!$B$14))</f>
        <v/>
      </c>
      <c r="P110" s="15" t="str">
        <f aca="false">IF(OR(J110="",Parametros!$B$14+Parametros!$B$18&gt;=1),"",J110/(1-Parametros!$B$14-Parametros!$B$18))</f>
        <v/>
      </c>
      <c r="Q110" s="17" t="str">
        <f aca="false">IF(B110="","",IF(E110="","SIN RECETA",IF(J110="","FALTAN DATOS",IF(NOT(ISNUMBER(G110)),"FALTA PRECIO",IF(M110&lt;0,"PIERDE",IF(N110&lt;Parametros!$B$18,"BAJO META","OK"))))))</f>
        <v/>
      </c>
      <c r="R110" s="18" t="str">
        <f aca="false">IF(B110="","",IF(E110="","Elegir receta (molde).",IF(ISNA(MATCH(E110,Recetas!$A$5:$A$84,0)),"La receta no existe en Recetas.",IF(J110="","Completar la receta "&amp;E110&amp;": "&amp;INDEX(Recetas!$T$5:$T$84,MATCH(E110,Recetas!$A$5:$A$84,0)),IF(NOT(ISNUMBER(G110)),"Precio de venta.","")))))</f>
        <v/>
      </c>
    </row>
  </sheetData>
  <autoFilter ref="A5:R110"/>
  <mergeCells count="3">
    <mergeCell ref="A4:D4"/>
    <mergeCell ref="E4:I4"/>
    <mergeCell ref="J4:R4"/>
  </mergeCells>
  <conditionalFormatting sqref="Q6:Q110">
    <cfRule type="cellIs" priority="2" operator="equal" aboveAverage="0" equalAverage="0" bottom="0" percent="0" rank="0" text="" dxfId="11">
      <formula>"PIERDE"</formula>
    </cfRule>
    <cfRule type="cellIs" priority="3" operator="equal" aboveAverage="0" equalAverage="0" bottom="0" percent="0" rank="0" text="" dxfId="12">
      <formula>"BAJO META"</formula>
    </cfRule>
    <cfRule type="cellIs" priority="4" operator="equal" aboveAverage="0" equalAverage="0" bottom="0" percent="0" rank="0" text="" dxfId="13">
      <formula>"OK"</formula>
    </cfRule>
    <cfRule type="cellIs" priority="5" operator="equal" aboveAverage="0" equalAverage="0" bottom="0" percent="0" rank="0" text="" dxfId="14">
      <formula>"FALTAN DATOS"</formula>
    </cfRule>
    <cfRule type="cellIs" priority="6" operator="equal" aboveAverage="0" equalAverage="0" bottom="0" percent="0" rank="0" text="" dxfId="14">
      <formula>"SIN RECETA"</formula>
    </cfRule>
    <cfRule type="cellIs" priority="7" operator="equal" aboveAverage="0" equalAverage="0" bottom="0" percent="0" rank="0" text="" dxfId="14">
      <formula>"FALTA PRECIO"</formula>
    </cfRule>
  </conditionalFormatting>
  <dataValidations count="2">
    <dataValidation allowBlank="true" errorStyle="stop" operator="between" showDropDown="false" showErrorMessage="false" showInputMessage="false" sqref="E6:E110" type="list">
      <formula1>Recetas!$A$5:$A$84</formula1>
      <formula2>0</formula2>
    </dataValidation>
    <dataValidation allowBlank="true" errorStyle="stop" operator="between" showDropDown="false" showErrorMessage="false" showInputMessage="false" sqref="H6:H110" type="list">
      <formula1>"Por confirmar,Confirmado"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34"/>
    <col collapsed="false" customWidth="true" hidden="false" outlineLevel="0" max="3" min="3" style="0" width="11"/>
    <col collapsed="false" customWidth="true" hidden="false" outlineLevel="0" max="4" min="4" style="0" width="10"/>
    <col collapsed="false" customWidth="true" hidden="false" outlineLevel="0" max="5" min="5" style="0" width="17"/>
    <col collapsed="false" customWidth="true" hidden="false" outlineLevel="0" max="6" min="6" style="0" width="28"/>
    <col collapsed="false" customWidth="true" hidden="false" outlineLevel="0" max="7" min="7" style="0" width="9"/>
    <col collapsed="false" customWidth="true" hidden="false" outlineLevel="0" max="8" min="8" style="0" width="18"/>
    <col collapsed="false" customWidth="true" hidden="false" outlineLevel="0" max="9" min="9" style="0" width="9"/>
    <col collapsed="false" customWidth="true" hidden="false" outlineLevel="0" max="10" min="10" style="0" width="11"/>
    <col collapsed="false" customWidth="true" hidden="false" outlineLevel="0" max="11" min="11" style="0" width="30"/>
    <col collapsed="false" customWidth="true" hidden="false" outlineLevel="0" max="12" min="12" style="0" width="11"/>
    <col collapsed="false" customWidth="true" hidden="false" outlineLevel="0" max="13" min="13" style="0" width="13"/>
    <col collapsed="false" customWidth="true" hidden="false" outlineLevel="0" max="14" min="14" style="0" width="44"/>
    <col collapsed="false" customWidth="true" hidden="false" outlineLevel="0" max="16" min="15" style="0" width="10"/>
    <col collapsed="false" customWidth="true" hidden="false" outlineLevel="0" max="17" min="17" style="0" width="11"/>
    <col collapsed="false" customWidth="true" hidden="false" outlineLevel="0" max="18" min="18" style="0" width="9"/>
    <col collapsed="false" customWidth="true" hidden="false" outlineLevel="0" max="19" min="19" style="0" width="12"/>
    <col collapsed="false" customWidth="true" hidden="false" outlineLevel="0" max="20" min="20" style="0" width="34"/>
  </cols>
  <sheetData>
    <row r="1" customFormat="false" ht="17.35" hidden="false" customHeight="false" outlineLevel="0" collapsed="false">
      <c r="A1" s="1" t="s">
        <v>215</v>
      </c>
    </row>
    <row r="2" customFormat="false" ht="15" hidden="false" customHeight="false" outlineLevel="0" collapsed="false">
      <c r="A2" s="2" t="s">
        <v>216</v>
      </c>
    </row>
    <row r="4" customFormat="false" ht="42" hidden="false" customHeight="true" outlineLevel="0" collapsed="false">
      <c r="A4" s="9" t="s">
        <v>27</v>
      </c>
      <c r="B4" s="9" t="s">
        <v>217</v>
      </c>
      <c r="C4" s="9" t="s">
        <v>218</v>
      </c>
      <c r="D4" s="9" t="s">
        <v>219</v>
      </c>
      <c r="E4" s="9" t="s">
        <v>220</v>
      </c>
      <c r="F4" s="9" t="s">
        <v>221</v>
      </c>
      <c r="G4" s="9" t="s">
        <v>222</v>
      </c>
      <c r="H4" s="9" t="s">
        <v>223</v>
      </c>
      <c r="I4" s="9" t="s">
        <v>224</v>
      </c>
      <c r="J4" s="9" t="s">
        <v>225</v>
      </c>
      <c r="K4" s="9" t="s">
        <v>226</v>
      </c>
      <c r="L4" s="9" t="s">
        <v>227</v>
      </c>
      <c r="M4" s="9" t="s">
        <v>228</v>
      </c>
      <c r="N4" s="9" t="s">
        <v>31</v>
      </c>
      <c r="O4" s="9" t="s">
        <v>229</v>
      </c>
      <c r="P4" s="9" t="s">
        <v>230</v>
      </c>
      <c r="Q4" s="9" t="s">
        <v>231</v>
      </c>
      <c r="R4" s="9" t="s">
        <v>232</v>
      </c>
      <c r="S4" s="9" t="s">
        <v>32</v>
      </c>
      <c r="T4" s="9" t="s">
        <v>40</v>
      </c>
    </row>
    <row r="5" customFormat="false" ht="15" hidden="false" customHeight="false" outlineLevel="0" collapsed="false">
      <c r="A5" s="19" t="s">
        <v>233</v>
      </c>
      <c r="B5" s="10" t="s">
        <v>234</v>
      </c>
      <c r="C5" s="10" t="s">
        <v>235</v>
      </c>
      <c r="D5" s="10" t="s">
        <v>236</v>
      </c>
      <c r="E5" s="10" t="s">
        <v>237</v>
      </c>
      <c r="F5" s="11"/>
      <c r="G5" s="20"/>
      <c r="H5" s="11"/>
      <c r="I5" s="20"/>
      <c r="J5" s="21"/>
      <c r="K5" s="11" t="s">
        <v>238</v>
      </c>
      <c r="L5" s="12"/>
      <c r="M5" s="11" t="s">
        <v>45</v>
      </c>
      <c r="N5" s="13" t="s">
        <v>239</v>
      </c>
      <c r="O5" s="15" t="n">
        <f aca="false">IF(A5="","",IFERROR(G5*INDEX(Precios!$D$5:$D$120,MATCH(F5,Precios!$A$5:$A$120,0)),0)+IF(H5="",0,IFERROR(I5*INDEX(Precios!$D$5:$D$120,MATCH(H5,Precios!$A$5:$A$120,0)),0)))</f>
        <v>0</v>
      </c>
      <c r="P5" s="15" t="n">
        <f aca="false">IF(A5="","",N(J5)*Parametros!$B$27)</f>
        <v>0</v>
      </c>
      <c r="Q5" s="15" t="n">
        <f aca="false">IF(A5="","",IFERROR(INDEX(Confeccion!$B$5:$B$100,MATCH(K5,Confeccion!$A$5:$A$100,0)),0))</f>
        <v>2000</v>
      </c>
      <c r="R5" s="15" t="n">
        <f aca="false">IF(A5="","",N(L5))</f>
        <v>0</v>
      </c>
      <c r="S5" s="14" t="str">
        <f aca="false">IF(A5="","",IF(AND(F5&lt;&gt;"",ISNUMBER(G5),ISNUMBER(IFERROR(INDEX(Precios!$D$5:$D$120,MATCH(F5,Precios!$A$5:$A$120,0)),"x")),OR(H5="",ISNUMBER(IFERROR(INDEX(Precios!$D$5:$D$120,MATCH(H5,Precios!$A$5:$A$120,0)),"x"))),J5&lt;&gt;"",K5&lt;&gt;"",Q5&gt;0),SUM(O5:R5),""))</f>
        <v/>
      </c>
      <c r="T5" s="18" t="str">
        <f aca="false">IF(A5="","",IF(S5&lt;&gt;"",IF(AND(N(J5)&gt;0,Parametros!$B$27=0),"Lista (sin costo de impresión)","Lista"),IF(F5="","Tela. ","")&amp;IF(NOT(ISNUMBER(G5)),"Kg de tela. ","")&amp;IF(AND(F5&lt;&gt;"",NOT(ISNUMBER(IFERROR(INDEX(Precios!$D$5:$D$120,MATCH(F5,Precios!$A$5:$A$120,0)),"x")))),"Tela sin precio. ","")&amp;IF(J5="","Metros impresos. ","")&amp;IF(K5="","Confección. ",IF(Q5=0,"Confección sin valor. ",""))))</f>
        <v>Tela. Kg de tela. Metros impresos. </v>
      </c>
    </row>
    <row r="6" customFormat="false" ht="15" hidden="false" customHeight="false" outlineLevel="0" collapsed="false">
      <c r="A6" s="19" t="s">
        <v>44</v>
      </c>
      <c r="B6" s="10" t="s">
        <v>234</v>
      </c>
      <c r="C6" s="10" t="s">
        <v>235</v>
      </c>
      <c r="D6" s="10" t="s">
        <v>236</v>
      </c>
      <c r="E6" s="10" t="s">
        <v>240</v>
      </c>
      <c r="F6" s="11"/>
      <c r="G6" s="20"/>
      <c r="H6" s="11"/>
      <c r="I6" s="20"/>
      <c r="J6" s="21"/>
      <c r="K6" s="11" t="s">
        <v>238</v>
      </c>
      <c r="L6" s="12"/>
      <c r="M6" s="11" t="s">
        <v>45</v>
      </c>
      <c r="N6" s="13" t="s">
        <v>239</v>
      </c>
      <c r="O6" s="15" t="n">
        <f aca="false">IF(A6="","",IFERROR(G6*INDEX(Precios!$D$5:$D$120,MATCH(F6,Precios!$A$5:$A$120,0)),0)+IF(H6="",0,IFERROR(I6*INDEX(Precios!$D$5:$D$120,MATCH(H6,Precios!$A$5:$A$120,0)),0)))</f>
        <v>0</v>
      </c>
      <c r="P6" s="15" t="n">
        <f aca="false">IF(A6="","",N(J6)*Parametros!$B$27)</f>
        <v>0</v>
      </c>
      <c r="Q6" s="15" t="n">
        <f aca="false">IF(A6="","",IFERROR(INDEX(Confeccion!$B$5:$B$100,MATCH(K6,Confeccion!$A$5:$A$100,0)),0))</f>
        <v>2000</v>
      </c>
      <c r="R6" s="15" t="n">
        <f aca="false">IF(A6="","",N(L6))</f>
        <v>0</v>
      </c>
      <c r="S6" s="14" t="str">
        <f aca="false">IF(A6="","",IF(AND(F6&lt;&gt;"",ISNUMBER(G6),ISNUMBER(IFERROR(INDEX(Precios!$D$5:$D$120,MATCH(F6,Precios!$A$5:$A$120,0)),"x")),OR(H6="",ISNUMBER(IFERROR(INDEX(Precios!$D$5:$D$120,MATCH(H6,Precios!$A$5:$A$120,0)),"x"))),J6&lt;&gt;"",K6&lt;&gt;"",Q6&gt;0),SUM(O6:R6),""))</f>
        <v/>
      </c>
      <c r="T6" s="18" t="str">
        <f aca="false">IF(A6="","",IF(S6&lt;&gt;"",IF(AND(N(J6)&gt;0,Parametros!$B$27=0),"Lista (sin costo de impresión)","Lista"),IF(F6="","Tela. ","")&amp;IF(NOT(ISNUMBER(G6)),"Kg de tela. ","")&amp;IF(AND(F6&lt;&gt;"",NOT(ISNUMBER(IFERROR(INDEX(Precios!$D$5:$D$120,MATCH(F6,Precios!$A$5:$A$120,0)),"x")))),"Tela sin precio. ","")&amp;IF(J6="","Metros impresos. ","")&amp;IF(K6="","Confección. ",IF(Q6=0,"Confección sin valor. ",""))))</f>
        <v>Tela. Kg de tela. Metros impresos. </v>
      </c>
    </row>
    <row r="7" customFormat="false" ht="15" hidden="false" customHeight="false" outlineLevel="0" collapsed="false">
      <c r="A7" s="19" t="s">
        <v>241</v>
      </c>
      <c r="B7" s="10" t="s">
        <v>242</v>
      </c>
      <c r="C7" s="10" t="s">
        <v>235</v>
      </c>
      <c r="D7" s="10" t="s">
        <v>236</v>
      </c>
      <c r="E7" s="10" t="s">
        <v>243</v>
      </c>
      <c r="F7" s="11"/>
      <c r="G7" s="20"/>
      <c r="H7" s="11"/>
      <c r="I7" s="20"/>
      <c r="J7" s="21"/>
      <c r="K7" s="11" t="s">
        <v>238</v>
      </c>
      <c r="L7" s="12"/>
      <c r="M7" s="11" t="s">
        <v>45</v>
      </c>
      <c r="N7" s="13" t="s">
        <v>239</v>
      </c>
      <c r="O7" s="15" t="n">
        <f aca="false">IF(A7="","",IFERROR(G7*INDEX(Precios!$D$5:$D$120,MATCH(F7,Precios!$A$5:$A$120,0)),0)+IF(H7="",0,IFERROR(I7*INDEX(Precios!$D$5:$D$120,MATCH(H7,Precios!$A$5:$A$120,0)),0)))</f>
        <v>0</v>
      </c>
      <c r="P7" s="15" t="n">
        <f aca="false">IF(A7="","",N(J7)*Parametros!$B$27)</f>
        <v>0</v>
      </c>
      <c r="Q7" s="15" t="n">
        <f aca="false">IF(A7="","",IFERROR(INDEX(Confeccion!$B$5:$B$100,MATCH(K7,Confeccion!$A$5:$A$100,0)),0))</f>
        <v>2000</v>
      </c>
      <c r="R7" s="15" t="n">
        <f aca="false">IF(A7="","",N(L7))</f>
        <v>0</v>
      </c>
      <c r="S7" s="14" t="str">
        <f aca="false">IF(A7="","",IF(AND(F7&lt;&gt;"",ISNUMBER(G7),ISNUMBER(IFERROR(INDEX(Precios!$D$5:$D$120,MATCH(F7,Precios!$A$5:$A$120,0)),"x")),OR(H7="",ISNUMBER(IFERROR(INDEX(Precios!$D$5:$D$120,MATCH(H7,Precios!$A$5:$A$120,0)),"x"))),J7&lt;&gt;"",K7&lt;&gt;"",Q7&gt;0),SUM(O7:R7),""))</f>
        <v/>
      </c>
      <c r="T7" s="18" t="str">
        <f aca="false">IF(A7="","",IF(S7&lt;&gt;"",IF(AND(N(J7)&gt;0,Parametros!$B$27=0),"Lista (sin costo de impresión)","Lista"),IF(F7="","Tela. ","")&amp;IF(NOT(ISNUMBER(G7)),"Kg de tela. ","")&amp;IF(AND(F7&lt;&gt;"",NOT(ISNUMBER(IFERROR(INDEX(Precios!$D$5:$D$120,MATCH(F7,Precios!$A$5:$A$120,0)),"x")))),"Tela sin precio. ","")&amp;IF(J7="","Metros impresos. ","")&amp;IF(K7="","Confección. ",IF(Q7=0,"Confección sin valor. ",""))))</f>
        <v>Tela. Kg de tela. Metros impresos. </v>
      </c>
    </row>
    <row r="8" customFormat="false" ht="15" hidden="false" customHeight="false" outlineLevel="0" collapsed="false">
      <c r="A8" s="19" t="s">
        <v>244</v>
      </c>
      <c r="B8" s="10" t="s">
        <v>242</v>
      </c>
      <c r="C8" s="10" t="s">
        <v>235</v>
      </c>
      <c r="D8" s="10" t="s">
        <v>236</v>
      </c>
      <c r="E8" s="10" t="s">
        <v>245</v>
      </c>
      <c r="F8" s="11" t="s">
        <v>246</v>
      </c>
      <c r="G8" s="20" t="n">
        <v>0.0375</v>
      </c>
      <c r="H8" s="11" t="s">
        <v>247</v>
      </c>
      <c r="I8" s="20" t="n">
        <v>0.024</v>
      </c>
      <c r="J8" s="21"/>
      <c r="K8" s="11" t="s">
        <v>238</v>
      </c>
      <c r="L8" s="12"/>
      <c r="M8" s="11" t="s">
        <v>45</v>
      </c>
      <c r="N8" s="13" t="s">
        <v>248</v>
      </c>
      <c r="O8" s="15" t="n">
        <f aca="false">IF(A8="","",IFERROR(G8*INDEX(Precios!$D$5:$D$120,MATCH(F8,Precios!$A$5:$A$120,0)),0)+IF(H8="",0,IFERROR(I8*INDEX(Precios!$D$5:$D$120,MATCH(H8,Precios!$A$5:$A$120,0)),0)))</f>
        <v>394.8</v>
      </c>
      <c r="P8" s="15" t="n">
        <f aca="false">IF(A8="","",N(J8)*Parametros!$B$27)</f>
        <v>0</v>
      </c>
      <c r="Q8" s="15" t="n">
        <f aca="false">IF(A8="","",IFERROR(INDEX(Confeccion!$B$5:$B$100,MATCH(K8,Confeccion!$A$5:$A$100,0)),0))</f>
        <v>2000</v>
      </c>
      <c r="R8" s="15" t="n">
        <f aca="false">IF(A8="","",N(L8))</f>
        <v>0</v>
      </c>
      <c r="S8" s="14" t="str">
        <f aca="false">IF(A8="","",IF(AND(F8&lt;&gt;"",ISNUMBER(G8),ISNUMBER(IFERROR(INDEX(Precios!$D$5:$D$120,MATCH(F8,Precios!$A$5:$A$120,0)),"x")),OR(H8="",ISNUMBER(IFERROR(INDEX(Precios!$D$5:$D$120,MATCH(H8,Precios!$A$5:$A$120,0)),"x"))),J8&lt;&gt;"",K8&lt;&gt;"",Q8&gt;0),SUM(O8:R8),""))</f>
        <v/>
      </c>
      <c r="T8" s="18" t="str">
        <f aca="false">IF(A8="","",IF(S8&lt;&gt;"",IF(AND(N(J8)&gt;0,Parametros!$B$27=0),"Lista (sin costo de impresión)","Lista"),IF(F8="","Tela. ","")&amp;IF(NOT(ISNUMBER(G8)),"Kg de tela. ","")&amp;IF(AND(F8&lt;&gt;"",NOT(ISNUMBER(IFERROR(INDEX(Precios!$D$5:$D$120,MATCH(F8,Precios!$A$5:$A$120,0)),"x")))),"Tela sin precio. ","")&amp;IF(J8="","Metros impresos. ","")&amp;IF(K8="","Confección. ",IF(Q8=0,"Confección sin valor. ",""))))</f>
        <v>Metros impresos. </v>
      </c>
    </row>
    <row r="9" customFormat="false" ht="15" hidden="false" customHeight="false" outlineLevel="0" collapsed="false">
      <c r="A9" s="19" t="s">
        <v>249</v>
      </c>
      <c r="B9" s="10" t="s">
        <v>250</v>
      </c>
      <c r="C9" s="10" t="s">
        <v>235</v>
      </c>
      <c r="D9" s="10" t="s">
        <v>236</v>
      </c>
      <c r="E9" s="10" t="s">
        <v>237</v>
      </c>
      <c r="F9" s="11"/>
      <c r="G9" s="20"/>
      <c r="H9" s="11"/>
      <c r="I9" s="20"/>
      <c r="J9" s="21"/>
      <c r="K9" s="11" t="s">
        <v>238</v>
      </c>
      <c r="L9" s="12"/>
      <c r="M9" s="11" t="s">
        <v>45</v>
      </c>
      <c r="N9" s="13" t="s">
        <v>239</v>
      </c>
      <c r="O9" s="15" t="n">
        <f aca="false">IF(A9="","",IFERROR(G9*INDEX(Precios!$D$5:$D$120,MATCH(F9,Precios!$A$5:$A$120,0)),0)+IF(H9="",0,IFERROR(I9*INDEX(Precios!$D$5:$D$120,MATCH(H9,Precios!$A$5:$A$120,0)),0)))</f>
        <v>0</v>
      </c>
      <c r="P9" s="15" t="n">
        <f aca="false">IF(A9="","",N(J9)*Parametros!$B$27)</f>
        <v>0</v>
      </c>
      <c r="Q9" s="15" t="n">
        <f aca="false">IF(A9="","",IFERROR(INDEX(Confeccion!$B$5:$B$100,MATCH(K9,Confeccion!$A$5:$A$100,0)),0))</f>
        <v>2000</v>
      </c>
      <c r="R9" s="15" t="n">
        <f aca="false">IF(A9="","",N(L9))</f>
        <v>0</v>
      </c>
      <c r="S9" s="14" t="str">
        <f aca="false">IF(A9="","",IF(AND(F9&lt;&gt;"",ISNUMBER(G9),ISNUMBER(IFERROR(INDEX(Precios!$D$5:$D$120,MATCH(F9,Precios!$A$5:$A$120,0)),"x")),OR(H9="",ISNUMBER(IFERROR(INDEX(Precios!$D$5:$D$120,MATCH(H9,Precios!$A$5:$A$120,0)),"x"))),J9&lt;&gt;"",K9&lt;&gt;"",Q9&gt;0),SUM(O9:R9),""))</f>
        <v/>
      </c>
      <c r="T9" s="18" t="str">
        <f aca="false">IF(A9="","",IF(S9&lt;&gt;"",IF(AND(N(J9)&gt;0,Parametros!$B$27=0),"Lista (sin costo de impresión)","Lista"),IF(F9="","Tela. ","")&amp;IF(NOT(ISNUMBER(G9)),"Kg de tela. ","")&amp;IF(AND(F9&lt;&gt;"",NOT(ISNUMBER(IFERROR(INDEX(Precios!$D$5:$D$120,MATCH(F9,Precios!$A$5:$A$120,0)),"x")))),"Tela sin precio. ","")&amp;IF(J9="","Metros impresos. ","")&amp;IF(K9="","Confección. ",IF(Q9=0,"Confección sin valor. ",""))))</f>
        <v>Tela. Kg de tela. Metros impresos. </v>
      </c>
    </row>
    <row r="10" customFormat="false" ht="15" hidden="false" customHeight="false" outlineLevel="0" collapsed="false">
      <c r="A10" s="19" t="s">
        <v>62</v>
      </c>
      <c r="B10" s="10" t="s">
        <v>250</v>
      </c>
      <c r="C10" s="10" t="s">
        <v>235</v>
      </c>
      <c r="D10" s="10" t="s">
        <v>236</v>
      </c>
      <c r="E10" s="10" t="s">
        <v>240</v>
      </c>
      <c r="F10" s="11"/>
      <c r="G10" s="20"/>
      <c r="H10" s="11"/>
      <c r="I10" s="20"/>
      <c r="J10" s="21"/>
      <c r="K10" s="11" t="s">
        <v>238</v>
      </c>
      <c r="L10" s="12"/>
      <c r="M10" s="11" t="s">
        <v>45</v>
      </c>
      <c r="N10" s="13" t="s">
        <v>239</v>
      </c>
      <c r="O10" s="15" t="n">
        <f aca="false">IF(A10="","",IFERROR(G10*INDEX(Precios!$D$5:$D$120,MATCH(F10,Precios!$A$5:$A$120,0)),0)+IF(H10="",0,IFERROR(I10*INDEX(Precios!$D$5:$D$120,MATCH(H10,Precios!$A$5:$A$120,0)),0)))</f>
        <v>0</v>
      </c>
      <c r="P10" s="15" t="n">
        <f aca="false">IF(A10="","",N(J10)*Parametros!$B$27)</f>
        <v>0</v>
      </c>
      <c r="Q10" s="15" t="n">
        <f aca="false">IF(A10="","",IFERROR(INDEX(Confeccion!$B$5:$B$100,MATCH(K10,Confeccion!$A$5:$A$100,0)),0))</f>
        <v>2000</v>
      </c>
      <c r="R10" s="15" t="n">
        <f aca="false">IF(A10="","",N(L10))</f>
        <v>0</v>
      </c>
      <c r="S10" s="14" t="str">
        <f aca="false">IF(A10="","",IF(AND(F10&lt;&gt;"",ISNUMBER(G10),ISNUMBER(IFERROR(INDEX(Precios!$D$5:$D$120,MATCH(F10,Precios!$A$5:$A$120,0)),"x")),OR(H10="",ISNUMBER(IFERROR(INDEX(Precios!$D$5:$D$120,MATCH(H10,Precios!$A$5:$A$120,0)),"x"))),J10&lt;&gt;"",K10&lt;&gt;"",Q10&gt;0),SUM(O10:R10),""))</f>
        <v/>
      </c>
      <c r="T10" s="18" t="str">
        <f aca="false">IF(A10="","",IF(S10&lt;&gt;"",IF(AND(N(J10)&gt;0,Parametros!$B$27=0),"Lista (sin costo de impresión)","Lista"),IF(F10="","Tela. ","")&amp;IF(NOT(ISNUMBER(G10)),"Kg de tela. ","")&amp;IF(AND(F10&lt;&gt;"",NOT(ISNUMBER(IFERROR(INDEX(Precios!$D$5:$D$120,MATCH(F10,Precios!$A$5:$A$120,0)),"x")))),"Tela sin precio. ","")&amp;IF(J10="","Metros impresos. ","")&amp;IF(K10="","Confección. ",IF(Q10=0,"Confección sin valor. ",""))))</f>
        <v>Tela. Kg de tela. Metros impresos. </v>
      </c>
    </row>
    <row r="11" customFormat="false" ht="15" hidden="false" customHeight="false" outlineLevel="0" collapsed="false">
      <c r="A11" s="19" t="s">
        <v>251</v>
      </c>
      <c r="B11" s="10" t="s">
        <v>252</v>
      </c>
      <c r="C11" s="10" t="s">
        <v>235</v>
      </c>
      <c r="D11" s="10" t="s">
        <v>236</v>
      </c>
      <c r="E11" s="10" t="s">
        <v>243</v>
      </c>
      <c r="F11" s="11"/>
      <c r="G11" s="20"/>
      <c r="H11" s="11"/>
      <c r="I11" s="20"/>
      <c r="J11" s="21"/>
      <c r="K11" s="11" t="s">
        <v>238</v>
      </c>
      <c r="L11" s="12"/>
      <c r="M11" s="11" t="s">
        <v>45</v>
      </c>
      <c r="N11" s="13" t="s">
        <v>239</v>
      </c>
      <c r="O11" s="15" t="n">
        <f aca="false">IF(A11="","",IFERROR(G11*INDEX(Precios!$D$5:$D$120,MATCH(F11,Precios!$A$5:$A$120,0)),0)+IF(H11="",0,IFERROR(I11*INDEX(Precios!$D$5:$D$120,MATCH(H11,Precios!$A$5:$A$120,0)),0)))</f>
        <v>0</v>
      </c>
      <c r="P11" s="15" t="n">
        <f aca="false">IF(A11="","",N(J11)*Parametros!$B$27)</f>
        <v>0</v>
      </c>
      <c r="Q11" s="15" t="n">
        <f aca="false">IF(A11="","",IFERROR(INDEX(Confeccion!$B$5:$B$100,MATCH(K11,Confeccion!$A$5:$A$100,0)),0))</f>
        <v>2000</v>
      </c>
      <c r="R11" s="15" t="n">
        <f aca="false">IF(A11="","",N(L11))</f>
        <v>0</v>
      </c>
      <c r="S11" s="14" t="str">
        <f aca="false">IF(A11="","",IF(AND(F11&lt;&gt;"",ISNUMBER(G11),ISNUMBER(IFERROR(INDEX(Precios!$D$5:$D$120,MATCH(F11,Precios!$A$5:$A$120,0)),"x")),OR(H11="",ISNUMBER(IFERROR(INDEX(Precios!$D$5:$D$120,MATCH(H11,Precios!$A$5:$A$120,0)),"x"))),J11&lt;&gt;"",K11&lt;&gt;"",Q11&gt;0),SUM(O11:R11),""))</f>
        <v/>
      </c>
      <c r="T11" s="18" t="str">
        <f aca="false">IF(A11="","",IF(S11&lt;&gt;"",IF(AND(N(J11)&gt;0,Parametros!$B$27=0),"Lista (sin costo de impresión)","Lista"),IF(F11="","Tela. ","")&amp;IF(NOT(ISNUMBER(G11)),"Kg de tela. ","")&amp;IF(AND(F11&lt;&gt;"",NOT(ISNUMBER(IFERROR(INDEX(Precios!$D$5:$D$120,MATCH(F11,Precios!$A$5:$A$120,0)),"x")))),"Tela sin precio. ","")&amp;IF(J11="","Metros impresos. ","")&amp;IF(K11="","Confección. ",IF(Q11=0,"Confección sin valor. ",""))))</f>
        <v>Tela. Kg de tela. Metros impresos. </v>
      </c>
    </row>
    <row r="12" customFormat="false" ht="15" hidden="false" customHeight="false" outlineLevel="0" collapsed="false">
      <c r="A12" s="19" t="s">
        <v>253</v>
      </c>
      <c r="B12" s="10" t="s">
        <v>252</v>
      </c>
      <c r="C12" s="10" t="s">
        <v>235</v>
      </c>
      <c r="D12" s="10" t="s">
        <v>236</v>
      </c>
      <c r="E12" s="10" t="s">
        <v>245</v>
      </c>
      <c r="F12" s="11"/>
      <c r="G12" s="20"/>
      <c r="H12" s="11"/>
      <c r="I12" s="20"/>
      <c r="J12" s="21"/>
      <c r="K12" s="11" t="s">
        <v>238</v>
      </c>
      <c r="L12" s="12"/>
      <c r="M12" s="11" t="s">
        <v>45</v>
      </c>
      <c r="N12" s="13" t="s">
        <v>239</v>
      </c>
      <c r="O12" s="15" t="n">
        <f aca="false">IF(A12="","",IFERROR(G12*INDEX(Precios!$D$5:$D$120,MATCH(F12,Precios!$A$5:$A$120,0)),0)+IF(H12="",0,IFERROR(I12*INDEX(Precios!$D$5:$D$120,MATCH(H12,Precios!$A$5:$A$120,0)),0)))</f>
        <v>0</v>
      </c>
      <c r="P12" s="15" t="n">
        <f aca="false">IF(A12="","",N(J12)*Parametros!$B$27)</f>
        <v>0</v>
      </c>
      <c r="Q12" s="15" t="n">
        <f aca="false">IF(A12="","",IFERROR(INDEX(Confeccion!$B$5:$B$100,MATCH(K12,Confeccion!$A$5:$A$100,0)),0))</f>
        <v>2000</v>
      </c>
      <c r="R12" s="15" t="n">
        <f aca="false">IF(A12="","",N(L12))</f>
        <v>0</v>
      </c>
      <c r="S12" s="14" t="str">
        <f aca="false">IF(A12="","",IF(AND(F12&lt;&gt;"",ISNUMBER(G12),ISNUMBER(IFERROR(INDEX(Precios!$D$5:$D$120,MATCH(F12,Precios!$A$5:$A$120,0)),"x")),OR(H12="",ISNUMBER(IFERROR(INDEX(Precios!$D$5:$D$120,MATCH(H12,Precios!$A$5:$A$120,0)),"x"))),J12&lt;&gt;"",K12&lt;&gt;"",Q12&gt;0),SUM(O12:R12),""))</f>
        <v/>
      </c>
      <c r="T12" s="18" t="str">
        <f aca="false">IF(A12="","",IF(S12&lt;&gt;"",IF(AND(N(J12)&gt;0,Parametros!$B$27=0),"Lista (sin costo de impresión)","Lista"),IF(F12="","Tela. ","")&amp;IF(NOT(ISNUMBER(G12)),"Kg de tela. ","")&amp;IF(AND(F12&lt;&gt;"",NOT(ISNUMBER(IFERROR(INDEX(Precios!$D$5:$D$120,MATCH(F12,Precios!$A$5:$A$120,0)),"x")))),"Tela sin precio. ","")&amp;IF(J12="","Metros impresos. ","")&amp;IF(K12="","Confección. ",IF(Q12=0,"Confección sin valor. ",""))))</f>
        <v>Tela. Kg de tela. Metros impresos. </v>
      </c>
    </row>
    <row r="13" customFormat="false" ht="15" hidden="false" customHeight="false" outlineLevel="0" collapsed="false">
      <c r="A13" s="19" t="s">
        <v>254</v>
      </c>
      <c r="B13" s="10" t="s">
        <v>255</v>
      </c>
      <c r="C13" s="10" t="s">
        <v>235</v>
      </c>
      <c r="D13" s="10" t="s">
        <v>236</v>
      </c>
      <c r="E13" s="10" t="s">
        <v>237</v>
      </c>
      <c r="F13" s="11"/>
      <c r="G13" s="20"/>
      <c r="H13" s="11"/>
      <c r="I13" s="20"/>
      <c r="J13" s="21"/>
      <c r="K13" s="11" t="s">
        <v>238</v>
      </c>
      <c r="L13" s="12"/>
      <c r="M13" s="11" t="s">
        <v>45</v>
      </c>
      <c r="N13" s="13" t="s">
        <v>239</v>
      </c>
      <c r="O13" s="15" t="n">
        <f aca="false">IF(A13="","",IFERROR(G13*INDEX(Precios!$D$5:$D$120,MATCH(F13,Precios!$A$5:$A$120,0)),0)+IF(H13="",0,IFERROR(I13*INDEX(Precios!$D$5:$D$120,MATCH(H13,Precios!$A$5:$A$120,0)),0)))</f>
        <v>0</v>
      </c>
      <c r="P13" s="15" t="n">
        <f aca="false">IF(A13="","",N(J13)*Parametros!$B$27)</f>
        <v>0</v>
      </c>
      <c r="Q13" s="15" t="n">
        <f aca="false">IF(A13="","",IFERROR(INDEX(Confeccion!$B$5:$B$100,MATCH(K13,Confeccion!$A$5:$A$100,0)),0))</f>
        <v>2000</v>
      </c>
      <c r="R13" s="15" t="n">
        <f aca="false">IF(A13="","",N(L13))</f>
        <v>0</v>
      </c>
      <c r="S13" s="14" t="str">
        <f aca="false">IF(A13="","",IF(AND(F13&lt;&gt;"",ISNUMBER(G13),ISNUMBER(IFERROR(INDEX(Precios!$D$5:$D$120,MATCH(F13,Precios!$A$5:$A$120,0)),"x")),OR(H13="",ISNUMBER(IFERROR(INDEX(Precios!$D$5:$D$120,MATCH(H13,Precios!$A$5:$A$120,0)),"x"))),J13&lt;&gt;"",K13&lt;&gt;"",Q13&gt;0),SUM(O13:R13),""))</f>
        <v/>
      </c>
      <c r="T13" s="18" t="str">
        <f aca="false">IF(A13="","",IF(S13&lt;&gt;"",IF(AND(N(J13)&gt;0,Parametros!$B$27=0),"Lista (sin costo de impresión)","Lista"),IF(F13="","Tela. ","")&amp;IF(NOT(ISNUMBER(G13)),"Kg de tela. ","")&amp;IF(AND(F13&lt;&gt;"",NOT(ISNUMBER(IFERROR(INDEX(Precios!$D$5:$D$120,MATCH(F13,Precios!$A$5:$A$120,0)),"x")))),"Tela sin precio. ","")&amp;IF(J13="","Metros impresos. ","")&amp;IF(K13="","Confección. ",IF(Q13=0,"Confección sin valor. ",""))))</f>
        <v>Tela. Kg de tela. Metros impresos. </v>
      </c>
    </row>
    <row r="14" customFormat="false" ht="15" hidden="false" customHeight="false" outlineLevel="0" collapsed="false">
      <c r="A14" s="19" t="s">
        <v>135</v>
      </c>
      <c r="B14" s="10" t="s">
        <v>255</v>
      </c>
      <c r="C14" s="10" t="s">
        <v>235</v>
      </c>
      <c r="D14" s="10" t="s">
        <v>236</v>
      </c>
      <c r="E14" s="10" t="s">
        <v>240</v>
      </c>
      <c r="F14" s="11"/>
      <c r="G14" s="20"/>
      <c r="H14" s="11"/>
      <c r="I14" s="20"/>
      <c r="J14" s="21"/>
      <c r="K14" s="11" t="s">
        <v>238</v>
      </c>
      <c r="L14" s="12"/>
      <c r="M14" s="11" t="s">
        <v>45</v>
      </c>
      <c r="N14" s="13" t="s">
        <v>239</v>
      </c>
      <c r="O14" s="15" t="n">
        <f aca="false">IF(A14="","",IFERROR(G14*INDEX(Precios!$D$5:$D$120,MATCH(F14,Precios!$A$5:$A$120,0)),0)+IF(H14="",0,IFERROR(I14*INDEX(Precios!$D$5:$D$120,MATCH(H14,Precios!$A$5:$A$120,0)),0)))</f>
        <v>0</v>
      </c>
      <c r="P14" s="15" t="n">
        <f aca="false">IF(A14="","",N(J14)*Parametros!$B$27)</f>
        <v>0</v>
      </c>
      <c r="Q14" s="15" t="n">
        <f aca="false">IF(A14="","",IFERROR(INDEX(Confeccion!$B$5:$B$100,MATCH(K14,Confeccion!$A$5:$A$100,0)),0))</f>
        <v>2000</v>
      </c>
      <c r="R14" s="15" t="n">
        <f aca="false">IF(A14="","",N(L14))</f>
        <v>0</v>
      </c>
      <c r="S14" s="14" t="str">
        <f aca="false">IF(A14="","",IF(AND(F14&lt;&gt;"",ISNUMBER(G14),ISNUMBER(IFERROR(INDEX(Precios!$D$5:$D$120,MATCH(F14,Precios!$A$5:$A$120,0)),"x")),OR(H14="",ISNUMBER(IFERROR(INDEX(Precios!$D$5:$D$120,MATCH(H14,Precios!$A$5:$A$120,0)),"x"))),J14&lt;&gt;"",K14&lt;&gt;"",Q14&gt;0),SUM(O14:R14),""))</f>
        <v/>
      </c>
      <c r="T14" s="18" t="str">
        <f aca="false">IF(A14="","",IF(S14&lt;&gt;"",IF(AND(N(J14)&gt;0,Parametros!$B$27=0),"Lista (sin costo de impresión)","Lista"),IF(F14="","Tela. ","")&amp;IF(NOT(ISNUMBER(G14)),"Kg de tela. ","")&amp;IF(AND(F14&lt;&gt;"",NOT(ISNUMBER(IFERROR(INDEX(Precios!$D$5:$D$120,MATCH(F14,Precios!$A$5:$A$120,0)),"x")))),"Tela sin precio. ","")&amp;IF(J14="","Metros impresos. ","")&amp;IF(K14="","Confección. ",IF(Q14=0,"Confección sin valor. ",""))))</f>
        <v>Tela. Kg de tela. Metros impresos. </v>
      </c>
    </row>
    <row r="15" customFormat="false" ht="15" hidden="false" customHeight="false" outlineLevel="0" collapsed="false">
      <c r="A15" s="19" t="s">
        <v>256</v>
      </c>
      <c r="B15" s="10" t="s">
        <v>257</v>
      </c>
      <c r="C15" s="10" t="s">
        <v>235</v>
      </c>
      <c r="D15" s="10" t="s">
        <v>236</v>
      </c>
      <c r="E15" s="10" t="s">
        <v>243</v>
      </c>
      <c r="F15" s="11"/>
      <c r="G15" s="20"/>
      <c r="H15" s="11"/>
      <c r="I15" s="20"/>
      <c r="J15" s="21"/>
      <c r="K15" s="11" t="s">
        <v>238</v>
      </c>
      <c r="L15" s="12"/>
      <c r="M15" s="11" t="s">
        <v>45</v>
      </c>
      <c r="N15" s="13" t="s">
        <v>239</v>
      </c>
      <c r="O15" s="15" t="n">
        <f aca="false">IF(A15="","",IFERROR(G15*INDEX(Precios!$D$5:$D$120,MATCH(F15,Precios!$A$5:$A$120,0)),0)+IF(H15="",0,IFERROR(I15*INDEX(Precios!$D$5:$D$120,MATCH(H15,Precios!$A$5:$A$120,0)),0)))</f>
        <v>0</v>
      </c>
      <c r="P15" s="15" t="n">
        <f aca="false">IF(A15="","",N(J15)*Parametros!$B$27)</f>
        <v>0</v>
      </c>
      <c r="Q15" s="15" t="n">
        <f aca="false">IF(A15="","",IFERROR(INDEX(Confeccion!$B$5:$B$100,MATCH(K15,Confeccion!$A$5:$A$100,0)),0))</f>
        <v>2000</v>
      </c>
      <c r="R15" s="15" t="n">
        <f aca="false">IF(A15="","",N(L15))</f>
        <v>0</v>
      </c>
      <c r="S15" s="14" t="str">
        <f aca="false">IF(A15="","",IF(AND(F15&lt;&gt;"",ISNUMBER(G15),ISNUMBER(IFERROR(INDEX(Precios!$D$5:$D$120,MATCH(F15,Precios!$A$5:$A$120,0)),"x")),OR(H15="",ISNUMBER(IFERROR(INDEX(Precios!$D$5:$D$120,MATCH(H15,Precios!$A$5:$A$120,0)),"x"))),J15&lt;&gt;"",K15&lt;&gt;"",Q15&gt;0),SUM(O15:R15),""))</f>
        <v/>
      </c>
      <c r="T15" s="18" t="str">
        <f aca="false">IF(A15="","",IF(S15&lt;&gt;"",IF(AND(N(J15)&gt;0,Parametros!$B$27=0),"Lista (sin costo de impresión)","Lista"),IF(F15="","Tela. ","")&amp;IF(NOT(ISNUMBER(G15)),"Kg de tela. ","")&amp;IF(AND(F15&lt;&gt;"",NOT(ISNUMBER(IFERROR(INDEX(Precios!$D$5:$D$120,MATCH(F15,Precios!$A$5:$A$120,0)),"x")))),"Tela sin precio. ","")&amp;IF(J15="","Metros impresos. ","")&amp;IF(K15="","Confección. ",IF(Q15=0,"Confección sin valor. ",""))))</f>
        <v>Tela. Kg de tela. Metros impresos. </v>
      </c>
    </row>
    <row r="16" customFormat="false" ht="15" hidden="false" customHeight="false" outlineLevel="0" collapsed="false">
      <c r="A16" s="19" t="s">
        <v>258</v>
      </c>
      <c r="B16" s="10" t="s">
        <v>257</v>
      </c>
      <c r="C16" s="10" t="s">
        <v>235</v>
      </c>
      <c r="D16" s="10" t="s">
        <v>236</v>
      </c>
      <c r="E16" s="10" t="s">
        <v>245</v>
      </c>
      <c r="F16" s="11"/>
      <c r="G16" s="20"/>
      <c r="H16" s="11"/>
      <c r="I16" s="20"/>
      <c r="J16" s="21"/>
      <c r="K16" s="11" t="s">
        <v>238</v>
      </c>
      <c r="L16" s="12"/>
      <c r="M16" s="11" t="s">
        <v>45</v>
      </c>
      <c r="N16" s="13" t="s">
        <v>239</v>
      </c>
      <c r="O16" s="15" t="n">
        <f aca="false">IF(A16="","",IFERROR(G16*INDEX(Precios!$D$5:$D$120,MATCH(F16,Precios!$A$5:$A$120,0)),0)+IF(H16="",0,IFERROR(I16*INDEX(Precios!$D$5:$D$120,MATCH(H16,Precios!$A$5:$A$120,0)),0)))</f>
        <v>0</v>
      </c>
      <c r="P16" s="15" t="n">
        <f aca="false">IF(A16="","",N(J16)*Parametros!$B$27)</f>
        <v>0</v>
      </c>
      <c r="Q16" s="15" t="n">
        <f aca="false">IF(A16="","",IFERROR(INDEX(Confeccion!$B$5:$B$100,MATCH(K16,Confeccion!$A$5:$A$100,0)),0))</f>
        <v>2000</v>
      </c>
      <c r="R16" s="15" t="n">
        <f aca="false">IF(A16="","",N(L16))</f>
        <v>0</v>
      </c>
      <c r="S16" s="14" t="str">
        <f aca="false">IF(A16="","",IF(AND(F16&lt;&gt;"",ISNUMBER(G16),ISNUMBER(IFERROR(INDEX(Precios!$D$5:$D$120,MATCH(F16,Precios!$A$5:$A$120,0)),"x")),OR(H16="",ISNUMBER(IFERROR(INDEX(Precios!$D$5:$D$120,MATCH(H16,Precios!$A$5:$A$120,0)),"x"))),J16&lt;&gt;"",K16&lt;&gt;"",Q16&gt;0),SUM(O16:R16),""))</f>
        <v/>
      </c>
      <c r="T16" s="18" t="str">
        <f aca="false">IF(A16="","",IF(S16&lt;&gt;"",IF(AND(N(J16)&gt;0,Parametros!$B$27=0),"Lista (sin costo de impresión)","Lista"),IF(F16="","Tela. ","")&amp;IF(NOT(ISNUMBER(G16)),"Kg de tela. ","")&amp;IF(AND(F16&lt;&gt;"",NOT(ISNUMBER(IFERROR(INDEX(Precios!$D$5:$D$120,MATCH(F16,Precios!$A$5:$A$120,0)),"x")))),"Tela sin precio. ","")&amp;IF(J16="","Metros impresos. ","")&amp;IF(K16="","Confección. ",IF(Q16=0,"Confección sin valor. ",""))))</f>
        <v>Tela. Kg de tela. Metros impresos. </v>
      </c>
    </row>
    <row r="17" customFormat="false" ht="15" hidden="false" customHeight="false" outlineLevel="0" collapsed="false">
      <c r="A17" s="19" t="s">
        <v>259</v>
      </c>
      <c r="B17" s="10" t="s">
        <v>260</v>
      </c>
      <c r="C17" s="10" t="s">
        <v>235</v>
      </c>
      <c r="D17" s="10" t="s">
        <v>236</v>
      </c>
      <c r="E17" s="10" t="s">
        <v>237</v>
      </c>
      <c r="F17" s="11" t="s">
        <v>261</v>
      </c>
      <c r="G17" s="20" t="n">
        <v>0.1225</v>
      </c>
      <c r="H17" s="11"/>
      <c r="I17" s="20"/>
      <c r="J17" s="21"/>
      <c r="K17" s="11" t="s">
        <v>238</v>
      </c>
      <c r="L17" s="12"/>
      <c r="M17" s="11" t="s">
        <v>45</v>
      </c>
      <c r="N17" s="13" t="s">
        <v>262</v>
      </c>
      <c r="O17" s="15" t="n">
        <f aca="false">IF(A17="","",IFERROR(G17*INDEX(Precios!$D$5:$D$120,MATCH(F17,Precios!$A$5:$A$120,0)),0)+IF(H17="",0,IFERROR(I17*INDEX(Precios!$D$5:$D$120,MATCH(H17,Precios!$A$5:$A$120,0)),0)))</f>
        <v>432.5475</v>
      </c>
      <c r="P17" s="15" t="n">
        <f aca="false">IF(A17="","",N(J17)*Parametros!$B$27)</f>
        <v>0</v>
      </c>
      <c r="Q17" s="15" t="n">
        <f aca="false">IF(A17="","",IFERROR(INDEX(Confeccion!$B$5:$B$100,MATCH(K17,Confeccion!$A$5:$A$100,0)),0))</f>
        <v>2000</v>
      </c>
      <c r="R17" s="15" t="n">
        <f aca="false">IF(A17="","",N(L17))</f>
        <v>0</v>
      </c>
      <c r="S17" s="14" t="str">
        <f aca="false">IF(A17="","",IF(AND(F17&lt;&gt;"",ISNUMBER(G17),ISNUMBER(IFERROR(INDEX(Precios!$D$5:$D$120,MATCH(F17,Precios!$A$5:$A$120,0)),"x")),OR(H17="",ISNUMBER(IFERROR(INDEX(Precios!$D$5:$D$120,MATCH(H17,Precios!$A$5:$A$120,0)),"x"))),J17&lt;&gt;"",K17&lt;&gt;"",Q17&gt;0),SUM(O17:R17),""))</f>
        <v/>
      </c>
      <c r="T17" s="18" t="str">
        <f aca="false">IF(A17="","",IF(S17&lt;&gt;"",IF(AND(N(J17)&gt;0,Parametros!$B$27=0),"Lista (sin costo de impresión)","Lista"),IF(F17="","Tela. ","")&amp;IF(NOT(ISNUMBER(G17)),"Kg de tela. ","")&amp;IF(AND(F17&lt;&gt;"",NOT(ISNUMBER(IFERROR(INDEX(Precios!$D$5:$D$120,MATCH(F17,Precios!$A$5:$A$120,0)),"x")))),"Tela sin precio. ","")&amp;IF(J17="","Metros impresos. ","")&amp;IF(K17="","Confección. ",IF(Q17=0,"Confección sin valor. ",""))))</f>
        <v>Metros impresos. </v>
      </c>
    </row>
    <row r="18" customFormat="false" ht="22.35" hidden="false" customHeight="false" outlineLevel="0" collapsed="false">
      <c r="A18" s="19" t="s">
        <v>52</v>
      </c>
      <c r="B18" s="10" t="s">
        <v>260</v>
      </c>
      <c r="C18" s="10" t="s">
        <v>235</v>
      </c>
      <c r="D18" s="10" t="s">
        <v>236</v>
      </c>
      <c r="E18" s="10" t="s">
        <v>240</v>
      </c>
      <c r="F18" s="11" t="s">
        <v>261</v>
      </c>
      <c r="G18" s="20" t="n">
        <v>0.12</v>
      </c>
      <c r="H18" s="11" t="s">
        <v>247</v>
      </c>
      <c r="I18" s="20" t="n">
        <v>0.0775</v>
      </c>
      <c r="J18" s="21" t="n">
        <v>1.9</v>
      </c>
      <c r="K18" s="11" t="s">
        <v>238</v>
      </c>
      <c r="L18" s="12"/>
      <c r="M18" s="11" t="s">
        <v>45</v>
      </c>
      <c r="N18" s="13" t="s">
        <v>263</v>
      </c>
      <c r="O18" s="15" t="n">
        <f aca="false">IF(A18="","",IFERROR(G18*INDEX(Precios!$D$5:$D$120,MATCH(F18,Precios!$A$5:$A$120,0)),0)+IF(H18="",0,IFERROR(I18*INDEX(Precios!$D$5:$D$120,MATCH(H18,Precios!$A$5:$A$120,0)),0)))</f>
        <v>1020.47</v>
      </c>
      <c r="P18" s="15" t="n">
        <f aca="false">IF(A18="","",N(J18)*Parametros!$B$27)</f>
        <v>0</v>
      </c>
      <c r="Q18" s="15" t="n">
        <f aca="false">IF(A18="","",IFERROR(INDEX(Confeccion!$B$5:$B$100,MATCH(K18,Confeccion!$A$5:$A$100,0)),0))</f>
        <v>2000</v>
      </c>
      <c r="R18" s="15" t="n">
        <f aca="false">IF(A18="","",N(L18))</f>
        <v>0</v>
      </c>
      <c r="S18" s="14" t="n">
        <f aca="false">IF(A18="","",IF(AND(F18&lt;&gt;"",ISNUMBER(G18),ISNUMBER(IFERROR(INDEX(Precios!$D$5:$D$120,MATCH(F18,Precios!$A$5:$A$120,0)),"x")),OR(H18="",ISNUMBER(IFERROR(INDEX(Precios!$D$5:$D$120,MATCH(H18,Precios!$A$5:$A$120,0)),"x"))),J18&lt;&gt;"",K18&lt;&gt;"",Q18&gt;0),SUM(O18:R18),""))</f>
        <v>3020.47</v>
      </c>
      <c r="T18" s="18" t="str">
        <f aca="false">IF(A18="","",IF(S18&lt;&gt;"",IF(AND(N(J18)&gt;0,Parametros!$B$27=0),"Lista (sin costo de impresión)","Lista"),IF(F18="","Tela. ","")&amp;IF(NOT(ISNUMBER(G18)),"Kg de tela. ","")&amp;IF(AND(F18&lt;&gt;"",NOT(ISNUMBER(IFERROR(INDEX(Precios!$D$5:$D$120,MATCH(F18,Precios!$A$5:$A$120,0)),"x")))),"Tela sin precio. ","")&amp;IF(J18="","Metros impresos. ","")&amp;IF(K18="","Confección. ",IF(Q18=0,"Confección sin valor. ",""))))</f>
        <v>Lista (sin costo de impresión)</v>
      </c>
    </row>
    <row r="19" customFormat="false" ht="15" hidden="false" customHeight="false" outlineLevel="0" collapsed="false">
      <c r="A19" s="19" t="s">
        <v>264</v>
      </c>
      <c r="B19" s="10" t="s">
        <v>265</v>
      </c>
      <c r="C19" s="10" t="s">
        <v>235</v>
      </c>
      <c r="D19" s="10" t="s">
        <v>236</v>
      </c>
      <c r="E19" s="10" t="s">
        <v>237</v>
      </c>
      <c r="F19" s="11"/>
      <c r="G19" s="20"/>
      <c r="H19" s="11"/>
      <c r="I19" s="20"/>
      <c r="J19" s="21"/>
      <c r="K19" s="11" t="s">
        <v>238</v>
      </c>
      <c r="L19" s="12"/>
      <c r="M19" s="11" t="s">
        <v>45</v>
      </c>
      <c r="N19" s="13" t="s">
        <v>239</v>
      </c>
      <c r="O19" s="15" t="n">
        <f aca="false">IF(A19="","",IFERROR(G19*INDEX(Precios!$D$5:$D$120,MATCH(F19,Precios!$A$5:$A$120,0)),0)+IF(H19="",0,IFERROR(I19*INDEX(Precios!$D$5:$D$120,MATCH(H19,Precios!$A$5:$A$120,0)),0)))</f>
        <v>0</v>
      </c>
      <c r="P19" s="15" t="n">
        <f aca="false">IF(A19="","",N(J19)*Parametros!$B$27)</f>
        <v>0</v>
      </c>
      <c r="Q19" s="15" t="n">
        <f aca="false">IF(A19="","",IFERROR(INDEX(Confeccion!$B$5:$B$100,MATCH(K19,Confeccion!$A$5:$A$100,0)),0))</f>
        <v>2000</v>
      </c>
      <c r="R19" s="15" t="n">
        <f aca="false">IF(A19="","",N(L19))</f>
        <v>0</v>
      </c>
      <c r="S19" s="14" t="str">
        <f aca="false">IF(A19="","",IF(AND(F19&lt;&gt;"",ISNUMBER(G19),ISNUMBER(IFERROR(INDEX(Precios!$D$5:$D$120,MATCH(F19,Precios!$A$5:$A$120,0)),"x")),OR(H19="",ISNUMBER(IFERROR(INDEX(Precios!$D$5:$D$120,MATCH(H19,Precios!$A$5:$A$120,0)),"x"))),J19&lt;&gt;"",K19&lt;&gt;"",Q19&gt;0),SUM(O19:R19),""))</f>
        <v/>
      </c>
      <c r="T19" s="18" t="str">
        <f aca="false">IF(A19="","",IF(S19&lt;&gt;"",IF(AND(N(J19)&gt;0,Parametros!$B$27=0),"Lista (sin costo de impresión)","Lista"),IF(F19="","Tela. ","")&amp;IF(NOT(ISNUMBER(G19)),"Kg de tela. ","")&amp;IF(AND(F19&lt;&gt;"",NOT(ISNUMBER(IFERROR(INDEX(Precios!$D$5:$D$120,MATCH(F19,Precios!$A$5:$A$120,0)),"x")))),"Tela sin precio. ","")&amp;IF(J19="","Metros impresos. ","")&amp;IF(K19="","Confección. ",IF(Q19=0,"Confección sin valor. ",""))))</f>
        <v>Tela. Kg de tela. Metros impresos. </v>
      </c>
    </row>
    <row r="20" customFormat="false" ht="15" hidden="false" customHeight="false" outlineLevel="0" collapsed="false">
      <c r="A20" s="19" t="s">
        <v>139</v>
      </c>
      <c r="B20" s="10" t="s">
        <v>265</v>
      </c>
      <c r="C20" s="10" t="s">
        <v>235</v>
      </c>
      <c r="D20" s="10" t="s">
        <v>236</v>
      </c>
      <c r="E20" s="10" t="s">
        <v>240</v>
      </c>
      <c r="F20" s="11"/>
      <c r="G20" s="20"/>
      <c r="H20" s="11"/>
      <c r="I20" s="20"/>
      <c r="J20" s="21"/>
      <c r="K20" s="11" t="s">
        <v>238</v>
      </c>
      <c r="L20" s="12"/>
      <c r="M20" s="11" t="s">
        <v>45</v>
      </c>
      <c r="N20" s="13" t="s">
        <v>239</v>
      </c>
      <c r="O20" s="15" t="n">
        <f aca="false">IF(A20="","",IFERROR(G20*INDEX(Precios!$D$5:$D$120,MATCH(F20,Precios!$A$5:$A$120,0)),0)+IF(H20="",0,IFERROR(I20*INDEX(Precios!$D$5:$D$120,MATCH(H20,Precios!$A$5:$A$120,0)),0)))</f>
        <v>0</v>
      </c>
      <c r="P20" s="15" t="n">
        <f aca="false">IF(A20="","",N(J20)*Parametros!$B$27)</f>
        <v>0</v>
      </c>
      <c r="Q20" s="15" t="n">
        <f aca="false">IF(A20="","",IFERROR(INDEX(Confeccion!$B$5:$B$100,MATCH(K20,Confeccion!$A$5:$A$100,0)),0))</f>
        <v>2000</v>
      </c>
      <c r="R20" s="15" t="n">
        <f aca="false">IF(A20="","",N(L20))</f>
        <v>0</v>
      </c>
      <c r="S20" s="14" t="str">
        <f aca="false">IF(A20="","",IF(AND(F20&lt;&gt;"",ISNUMBER(G20),ISNUMBER(IFERROR(INDEX(Precios!$D$5:$D$120,MATCH(F20,Precios!$A$5:$A$120,0)),"x")),OR(H20="",ISNUMBER(IFERROR(INDEX(Precios!$D$5:$D$120,MATCH(H20,Precios!$A$5:$A$120,0)),"x"))),J20&lt;&gt;"",K20&lt;&gt;"",Q20&gt;0),SUM(O20:R20),""))</f>
        <v/>
      </c>
      <c r="T20" s="18" t="str">
        <f aca="false">IF(A20="","",IF(S20&lt;&gt;"",IF(AND(N(J20)&gt;0,Parametros!$B$27=0),"Lista (sin costo de impresión)","Lista"),IF(F20="","Tela. ","")&amp;IF(NOT(ISNUMBER(G20)),"Kg de tela. ","")&amp;IF(AND(F20&lt;&gt;"",NOT(ISNUMBER(IFERROR(INDEX(Precios!$D$5:$D$120,MATCH(F20,Precios!$A$5:$A$120,0)),"x")))),"Tela sin precio. ","")&amp;IF(J20="","Metros impresos. ","")&amp;IF(K20="","Confección. ",IF(Q20=0,"Confección sin valor. ",""))))</f>
        <v>Tela. Kg de tela. Metros impresos. </v>
      </c>
    </row>
    <row r="21" customFormat="false" ht="15" hidden="false" customHeight="false" outlineLevel="0" collapsed="false">
      <c r="A21" s="19" t="s">
        <v>266</v>
      </c>
      <c r="B21" s="10" t="s">
        <v>267</v>
      </c>
      <c r="C21" s="10" t="s">
        <v>235</v>
      </c>
      <c r="D21" s="10" t="s">
        <v>236</v>
      </c>
      <c r="E21" s="10" t="s">
        <v>237</v>
      </c>
      <c r="F21" s="11"/>
      <c r="G21" s="20"/>
      <c r="H21" s="11"/>
      <c r="I21" s="20"/>
      <c r="J21" s="21"/>
      <c r="K21" s="11" t="s">
        <v>268</v>
      </c>
      <c r="L21" s="12"/>
      <c r="M21" s="11" t="s">
        <v>45</v>
      </c>
      <c r="N21" s="13" t="s">
        <v>239</v>
      </c>
      <c r="O21" s="15" t="n">
        <f aca="false">IF(A21="","",IFERROR(G21*INDEX(Precios!$D$5:$D$120,MATCH(F21,Precios!$A$5:$A$120,0)),0)+IF(H21="",0,IFERROR(I21*INDEX(Precios!$D$5:$D$120,MATCH(H21,Precios!$A$5:$A$120,0)),0)))</f>
        <v>0</v>
      </c>
      <c r="P21" s="15" t="n">
        <f aca="false">IF(A21="","",N(J21)*Parametros!$B$27)</f>
        <v>0</v>
      </c>
      <c r="Q21" s="15" t="n">
        <f aca="false">IF(A21="","",IFERROR(INDEX(Confeccion!$B$5:$B$100,MATCH(K21,Confeccion!$A$5:$A$100,0)),0))</f>
        <v>2300</v>
      </c>
      <c r="R21" s="15" t="n">
        <f aca="false">IF(A21="","",N(L21))</f>
        <v>0</v>
      </c>
      <c r="S21" s="14" t="str">
        <f aca="false">IF(A21="","",IF(AND(F21&lt;&gt;"",ISNUMBER(G21),ISNUMBER(IFERROR(INDEX(Precios!$D$5:$D$120,MATCH(F21,Precios!$A$5:$A$120,0)),"x")),OR(H21="",ISNUMBER(IFERROR(INDEX(Precios!$D$5:$D$120,MATCH(H21,Precios!$A$5:$A$120,0)),"x"))),J21&lt;&gt;"",K21&lt;&gt;"",Q21&gt;0),SUM(O21:R21),""))</f>
        <v/>
      </c>
      <c r="T21" s="18" t="str">
        <f aca="false">IF(A21="","",IF(S21&lt;&gt;"",IF(AND(N(J21)&gt;0,Parametros!$B$27=0),"Lista (sin costo de impresión)","Lista"),IF(F21="","Tela. ","")&amp;IF(NOT(ISNUMBER(G21)),"Kg de tela. ","")&amp;IF(AND(F21&lt;&gt;"",NOT(ISNUMBER(IFERROR(INDEX(Precios!$D$5:$D$120,MATCH(F21,Precios!$A$5:$A$120,0)),"x")))),"Tela sin precio. ","")&amp;IF(J21="","Metros impresos. ","")&amp;IF(K21="","Confección. ",IF(Q21=0,"Confección sin valor. ",""))))</f>
        <v>Tela. Kg de tela. Metros impresos. </v>
      </c>
    </row>
    <row r="22" customFormat="false" ht="15" hidden="false" customHeight="false" outlineLevel="0" collapsed="false">
      <c r="A22" s="19" t="s">
        <v>269</v>
      </c>
      <c r="B22" s="10" t="s">
        <v>267</v>
      </c>
      <c r="C22" s="10" t="s">
        <v>235</v>
      </c>
      <c r="D22" s="10" t="s">
        <v>236</v>
      </c>
      <c r="E22" s="10" t="s">
        <v>240</v>
      </c>
      <c r="F22" s="11"/>
      <c r="G22" s="20"/>
      <c r="H22" s="11"/>
      <c r="I22" s="20"/>
      <c r="J22" s="21"/>
      <c r="K22" s="11" t="s">
        <v>268</v>
      </c>
      <c r="L22" s="12"/>
      <c r="M22" s="11" t="s">
        <v>45</v>
      </c>
      <c r="N22" s="13" t="s">
        <v>239</v>
      </c>
      <c r="O22" s="15" t="n">
        <f aca="false">IF(A22="","",IFERROR(G22*INDEX(Precios!$D$5:$D$120,MATCH(F22,Precios!$A$5:$A$120,0)),0)+IF(H22="",0,IFERROR(I22*INDEX(Precios!$D$5:$D$120,MATCH(H22,Precios!$A$5:$A$120,0)),0)))</f>
        <v>0</v>
      </c>
      <c r="P22" s="15" t="n">
        <f aca="false">IF(A22="","",N(J22)*Parametros!$B$27)</f>
        <v>0</v>
      </c>
      <c r="Q22" s="15" t="n">
        <f aca="false">IF(A22="","",IFERROR(INDEX(Confeccion!$B$5:$B$100,MATCH(K22,Confeccion!$A$5:$A$100,0)),0))</f>
        <v>2300</v>
      </c>
      <c r="R22" s="15" t="n">
        <f aca="false">IF(A22="","",N(L22))</f>
        <v>0</v>
      </c>
      <c r="S22" s="14" t="str">
        <f aca="false">IF(A22="","",IF(AND(F22&lt;&gt;"",ISNUMBER(G22),ISNUMBER(IFERROR(INDEX(Precios!$D$5:$D$120,MATCH(F22,Precios!$A$5:$A$120,0)),"x")),OR(H22="",ISNUMBER(IFERROR(INDEX(Precios!$D$5:$D$120,MATCH(H22,Precios!$A$5:$A$120,0)),"x"))),J22&lt;&gt;"",K22&lt;&gt;"",Q22&gt;0),SUM(O22:R22),""))</f>
        <v/>
      </c>
      <c r="T22" s="18" t="str">
        <f aca="false">IF(A22="","",IF(S22&lt;&gt;"",IF(AND(N(J22)&gt;0,Parametros!$B$27=0),"Lista (sin costo de impresión)","Lista"),IF(F22="","Tela. ","")&amp;IF(NOT(ISNUMBER(G22)),"Kg de tela. ","")&amp;IF(AND(F22&lt;&gt;"",NOT(ISNUMBER(IFERROR(INDEX(Precios!$D$5:$D$120,MATCH(F22,Precios!$A$5:$A$120,0)),"x")))),"Tela sin precio. ","")&amp;IF(J22="","Metros impresos. ","")&amp;IF(K22="","Confección. ",IF(Q22=0,"Confección sin valor. ",""))))</f>
        <v>Tela. Kg de tela. Metros impresos. </v>
      </c>
    </row>
    <row r="23" customFormat="false" ht="15" hidden="false" customHeight="false" outlineLevel="0" collapsed="false">
      <c r="A23" s="19" t="s">
        <v>270</v>
      </c>
      <c r="B23" s="10" t="s">
        <v>271</v>
      </c>
      <c r="C23" s="10" t="s">
        <v>235</v>
      </c>
      <c r="D23" s="10" t="s">
        <v>236</v>
      </c>
      <c r="E23" s="10" t="s">
        <v>243</v>
      </c>
      <c r="F23" s="11"/>
      <c r="G23" s="20"/>
      <c r="H23" s="11"/>
      <c r="I23" s="20"/>
      <c r="J23" s="21"/>
      <c r="K23" s="11" t="s">
        <v>268</v>
      </c>
      <c r="L23" s="12"/>
      <c r="M23" s="11" t="s">
        <v>45</v>
      </c>
      <c r="N23" s="13" t="s">
        <v>239</v>
      </c>
      <c r="O23" s="15" t="n">
        <f aca="false">IF(A23="","",IFERROR(G23*INDEX(Precios!$D$5:$D$120,MATCH(F23,Precios!$A$5:$A$120,0)),0)+IF(H23="",0,IFERROR(I23*INDEX(Precios!$D$5:$D$120,MATCH(H23,Precios!$A$5:$A$120,0)),0)))</f>
        <v>0</v>
      </c>
      <c r="P23" s="15" t="n">
        <f aca="false">IF(A23="","",N(J23)*Parametros!$B$27)</f>
        <v>0</v>
      </c>
      <c r="Q23" s="15" t="n">
        <f aca="false">IF(A23="","",IFERROR(INDEX(Confeccion!$B$5:$B$100,MATCH(K23,Confeccion!$A$5:$A$100,0)),0))</f>
        <v>2300</v>
      </c>
      <c r="R23" s="15" t="n">
        <f aca="false">IF(A23="","",N(L23))</f>
        <v>0</v>
      </c>
      <c r="S23" s="14" t="str">
        <f aca="false">IF(A23="","",IF(AND(F23&lt;&gt;"",ISNUMBER(G23),ISNUMBER(IFERROR(INDEX(Precios!$D$5:$D$120,MATCH(F23,Precios!$A$5:$A$120,0)),"x")),OR(H23="",ISNUMBER(IFERROR(INDEX(Precios!$D$5:$D$120,MATCH(H23,Precios!$A$5:$A$120,0)),"x"))),J23&lt;&gt;"",K23&lt;&gt;"",Q23&gt;0),SUM(O23:R23),""))</f>
        <v/>
      </c>
      <c r="T23" s="18" t="str">
        <f aca="false">IF(A23="","",IF(S23&lt;&gt;"",IF(AND(N(J23)&gt;0,Parametros!$B$27=0),"Lista (sin costo de impresión)","Lista"),IF(F23="","Tela. ","")&amp;IF(NOT(ISNUMBER(G23)),"Kg de tela. ","")&amp;IF(AND(F23&lt;&gt;"",NOT(ISNUMBER(IFERROR(INDEX(Precios!$D$5:$D$120,MATCH(F23,Precios!$A$5:$A$120,0)),"x")))),"Tela sin precio. ","")&amp;IF(J23="","Metros impresos. ","")&amp;IF(K23="","Confección. ",IF(Q23=0,"Confección sin valor. ",""))))</f>
        <v>Tela. Kg de tela. Metros impresos. </v>
      </c>
    </row>
    <row r="24" customFormat="false" ht="15" hidden="false" customHeight="false" outlineLevel="0" collapsed="false">
      <c r="A24" s="19" t="s">
        <v>272</v>
      </c>
      <c r="B24" s="10" t="s">
        <v>271</v>
      </c>
      <c r="C24" s="10" t="s">
        <v>235</v>
      </c>
      <c r="D24" s="10" t="s">
        <v>236</v>
      </c>
      <c r="E24" s="10" t="s">
        <v>245</v>
      </c>
      <c r="F24" s="11"/>
      <c r="G24" s="20"/>
      <c r="H24" s="11"/>
      <c r="I24" s="20"/>
      <c r="J24" s="21"/>
      <c r="K24" s="11" t="s">
        <v>268</v>
      </c>
      <c r="L24" s="12"/>
      <c r="M24" s="11" t="s">
        <v>45</v>
      </c>
      <c r="N24" s="13" t="s">
        <v>239</v>
      </c>
      <c r="O24" s="15" t="n">
        <f aca="false">IF(A24="","",IFERROR(G24*INDEX(Precios!$D$5:$D$120,MATCH(F24,Precios!$A$5:$A$120,0)),0)+IF(H24="",0,IFERROR(I24*INDEX(Precios!$D$5:$D$120,MATCH(H24,Precios!$A$5:$A$120,0)),0)))</f>
        <v>0</v>
      </c>
      <c r="P24" s="15" t="n">
        <f aca="false">IF(A24="","",N(J24)*Parametros!$B$27)</f>
        <v>0</v>
      </c>
      <c r="Q24" s="15" t="n">
        <f aca="false">IF(A24="","",IFERROR(INDEX(Confeccion!$B$5:$B$100,MATCH(K24,Confeccion!$A$5:$A$100,0)),0))</f>
        <v>2300</v>
      </c>
      <c r="R24" s="15" t="n">
        <f aca="false">IF(A24="","",N(L24))</f>
        <v>0</v>
      </c>
      <c r="S24" s="14" t="str">
        <f aca="false">IF(A24="","",IF(AND(F24&lt;&gt;"",ISNUMBER(G24),ISNUMBER(IFERROR(INDEX(Precios!$D$5:$D$120,MATCH(F24,Precios!$A$5:$A$120,0)),"x")),OR(H24="",ISNUMBER(IFERROR(INDEX(Precios!$D$5:$D$120,MATCH(H24,Precios!$A$5:$A$120,0)),"x"))),J24&lt;&gt;"",K24&lt;&gt;"",Q24&gt;0),SUM(O24:R24),""))</f>
        <v/>
      </c>
      <c r="T24" s="18" t="str">
        <f aca="false">IF(A24="","",IF(S24&lt;&gt;"",IF(AND(N(J24)&gt;0,Parametros!$B$27=0),"Lista (sin costo de impresión)","Lista"),IF(F24="","Tela. ","")&amp;IF(NOT(ISNUMBER(G24)),"Kg de tela. ","")&amp;IF(AND(F24&lt;&gt;"",NOT(ISNUMBER(IFERROR(INDEX(Precios!$D$5:$D$120,MATCH(F24,Precios!$A$5:$A$120,0)),"x")))),"Tela sin precio. ","")&amp;IF(J24="","Metros impresos. ","")&amp;IF(K24="","Confección. ",IF(Q24=0,"Confección sin valor. ",""))))</f>
        <v>Tela. Kg de tela. Metros impresos. </v>
      </c>
    </row>
    <row r="25" customFormat="false" ht="15" hidden="false" customHeight="false" outlineLevel="0" collapsed="false">
      <c r="A25" s="19" t="s">
        <v>273</v>
      </c>
      <c r="B25" s="10" t="s">
        <v>274</v>
      </c>
      <c r="C25" s="10" t="s">
        <v>235</v>
      </c>
      <c r="D25" s="10" t="s">
        <v>236</v>
      </c>
      <c r="E25" s="10" t="s">
        <v>237</v>
      </c>
      <c r="F25" s="11"/>
      <c r="G25" s="20"/>
      <c r="H25" s="11"/>
      <c r="I25" s="20"/>
      <c r="J25" s="21"/>
      <c r="K25" s="11" t="s">
        <v>268</v>
      </c>
      <c r="L25" s="12"/>
      <c r="M25" s="11" t="s">
        <v>45</v>
      </c>
      <c r="N25" s="13" t="s">
        <v>239</v>
      </c>
      <c r="O25" s="15" t="n">
        <f aca="false">IF(A25="","",IFERROR(G25*INDEX(Precios!$D$5:$D$120,MATCH(F25,Precios!$A$5:$A$120,0)),0)+IF(H25="",0,IFERROR(I25*INDEX(Precios!$D$5:$D$120,MATCH(H25,Precios!$A$5:$A$120,0)),0)))</f>
        <v>0</v>
      </c>
      <c r="P25" s="15" t="n">
        <f aca="false">IF(A25="","",N(J25)*Parametros!$B$27)</f>
        <v>0</v>
      </c>
      <c r="Q25" s="15" t="n">
        <f aca="false">IF(A25="","",IFERROR(INDEX(Confeccion!$B$5:$B$100,MATCH(K25,Confeccion!$A$5:$A$100,0)),0))</f>
        <v>2300</v>
      </c>
      <c r="R25" s="15" t="n">
        <f aca="false">IF(A25="","",N(L25))</f>
        <v>0</v>
      </c>
      <c r="S25" s="14" t="str">
        <f aca="false">IF(A25="","",IF(AND(F25&lt;&gt;"",ISNUMBER(G25),ISNUMBER(IFERROR(INDEX(Precios!$D$5:$D$120,MATCH(F25,Precios!$A$5:$A$120,0)),"x")),OR(H25="",ISNUMBER(IFERROR(INDEX(Precios!$D$5:$D$120,MATCH(H25,Precios!$A$5:$A$120,0)),"x"))),J25&lt;&gt;"",K25&lt;&gt;"",Q25&gt;0),SUM(O25:R25),""))</f>
        <v/>
      </c>
      <c r="T25" s="18" t="str">
        <f aca="false">IF(A25="","",IF(S25&lt;&gt;"",IF(AND(N(J25)&gt;0,Parametros!$B$27=0),"Lista (sin costo de impresión)","Lista"),IF(F25="","Tela. ","")&amp;IF(NOT(ISNUMBER(G25)),"Kg de tela. ","")&amp;IF(AND(F25&lt;&gt;"",NOT(ISNUMBER(IFERROR(INDEX(Precios!$D$5:$D$120,MATCH(F25,Precios!$A$5:$A$120,0)),"x")))),"Tela sin precio. ","")&amp;IF(J25="","Metros impresos. ","")&amp;IF(K25="","Confección. ",IF(Q25=0,"Confección sin valor. ",""))))</f>
        <v>Tela. Kg de tela. Metros impresos. </v>
      </c>
    </row>
    <row r="26" customFormat="false" ht="15" hidden="false" customHeight="false" outlineLevel="0" collapsed="false">
      <c r="A26" s="19" t="s">
        <v>275</v>
      </c>
      <c r="B26" s="10" t="s">
        <v>274</v>
      </c>
      <c r="C26" s="10" t="s">
        <v>235</v>
      </c>
      <c r="D26" s="10" t="s">
        <v>236</v>
      </c>
      <c r="E26" s="10" t="s">
        <v>240</v>
      </c>
      <c r="F26" s="11"/>
      <c r="G26" s="20"/>
      <c r="H26" s="11"/>
      <c r="I26" s="20"/>
      <c r="J26" s="21"/>
      <c r="K26" s="11" t="s">
        <v>268</v>
      </c>
      <c r="L26" s="12"/>
      <c r="M26" s="11" t="s">
        <v>45</v>
      </c>
      <c r="N26" s="13" t="s">
        <v>239</v>
      </c>
      <c r="O26" s="15" t="n">
        <f aca="false">IF(A26="","",IFERROR(G26*INDEX(Precios!$D$5:$D$120,MATCH(F26,Precios!$A$5:$A$120,0)),0)+IF(H26="",0,IFERROR(I26*INDEX(Precios!$D$5:$D$120,MATCH(H26,Precios!$A$5:$A$120,0)),0)))</f>
        <v>0</v>
      </c>
      <c r="P26" s="15" t="n">
        <f aca="false">IF(A26="","",N(J26)*Parametros!$B$27)</f>
        <v>0</v>
      </c>
      <c r="Q26" s="15" t="n">
        <f aca="false">IF(A26="","",IFERROR(INDEX(Confeccion!$B$5:$B$100,MATCH(K26,Confeccion!$A$5:$A$100,0)),0))</f>
        <v>2300</v>
      </c>
      <c r="R26" s="15" t="n">
        <f aca="false">IF(A26="","",N(L26))</f>
        <v>0</v>
      </c>
      <c r="S26" s="14" t="str">
        <f aca="false">IF(A26="","",IF(AND(F26&lt;&gt;"",ISNUMBER(G26),ISNUMBER(IFERROR(INDEX(Precios!$D$5:$D$120,MATCH(F26,Precios!$A$5:$A$120,0)),"x")),OR(H26="",ISNUMBER(IFERROR(INDEX(Precios!$D$5:$D$120,MATCH(H26,Precios!$A$5:$A$120,0)),"x"))),J26&lt;&gt;"",K26&lt;&gt;"",Q26&gt;0),SUM(O26:R26),""))</f>
        <v/>
      </c>
      <c r="T26" s="18" t="str">
        <f aca="false">IF(A26="","",IF(S26&lt;&gt;"",IF(AND(N(J26)&gt;0,Parametros!$B$27=0),"Lista (sin costo de impresión)","Lista"),IF(F26="","Tela. ","")&amp;IF(NOT(ISNUMBER(G26)),"Kg de tela. ","")&amp;IF(AND(F26&lt;&gt;"",NOT(ISNUMBER(IFERROR(INDEX(Precios!$D$5:$D$120,MATCH(F26,Precios!$A$5:$A$120,0)),"x")))),"Tela sin precio. ","")&amp;IF(J26="","Metros impresos. ","")&amp;IF(K26="","Confección. ",IF(Q26=0,"Confección sin valor. ",""))))</f>
        <v>Tela. Kg de tela. Metros impresos. </v>
      </c>
    </row>
    <row r="27" customFormat="false" ht="15" hidden="false" customHeight="false" outlineLevel="0" collapsed="false">
      <c r="A27" s="19" t="s">
        <v>276</v>
      </c>
      <c r="B27" s="10" t="s">
        <v>277</v>
      </c>
      <c r="C27" s="10" t="s">
        <v>235</v>
      </c>
      <c r="D27" s="10" t="s">
        <v>236</v>
      </c>
      <c r="E27" s="10" t="s">
        <v>243</v>
      </c>
      <c r="F27" s="11"/>
      <c r="G27" s="20"/>
      <c r="H27" s="11"/>
      <c r="I27" s="20"/>
      <c r="J27" s="21"/>
      <c r="K27" s="11" t="s">
        <v>268</v>
      </c>
      <c r="L27" s="12"/>
      <c r="M27" s="11" t="s">
        <v>45</v>
      </c>
      <c r="N27" s="13" t="s">
        <v>239</v>
      </c>
      <c r="O27" s="15" t="n">
        <f aca="false">IF(A27="","",IFERROR(G27*INDEX(Precios!$D$5:$D$120,MATCH(F27,Precios!$A$5:$A$120,0)),0)+IF(H27="",0,IFERROR(I27*INDEX(Precios!$D$5:$D$120,MATCH(H27,Precios!$A$5:$A$120,0)),0)))</f>
        <v>0</v>
      </c>
      <c r="P27" s="15" t="n">
        <f aca="false">IF(A27="","",N(J27)*Parametros!$B$27)</f>
        <v>0</v>
      </c>
      <c r="Q27" s="15" t="n">
        <f aca="false">IF(A27="","",IFERROR(INDEX(Confeccion!$B$5:$B$100,MATCH(K27,Confeccion!$A$5:$A$100,0)),0))</f>
        <v>2300</v>
      </c>
      <c r="R27" s="15" t="n">
        <f aca="false">IF(A27="","",N(L27))</f>
        <v>0</v>
      </c>
      <c r="S27" s="14" t="str">
        <f aca="false">IF(A27="","",IF(AND(F27&lt;&gt;"",ISNUMBER(G27),ISNUMBER(IFERROR(INDEX(Precios!$D$5:$D$120,MATCH(F27,Precios!$A$5:$A$120,0)),"x")),OR(H27="",ISNUMBER(IFERROR(INDEX(Precios!$D$5:$D$120,MATCH(H27,Precios!$A$5:$A$120,0)),"x"))),J27&lt;&gt;"",K27&lt;&gt;"",Q27&gt;0),SUM(O27:R27),""))</f>
        <v/>
      </c>
      <c r="T27" s="18" t="str">
        <f aca="false">IF(A27="","",IF(S27&lt;&gt;"",IF(AND(N(J27)&gt;0,Parametros!$B$27=0),"Lista (sin costo de impresión)","Lista"),IF(F27="","Tela. ","")&amp;IF(NOT(ISNUMBER(G27)),"Kg de tela. ","")&amp;IF(AND(F27&lt;&gt;"",NOT(ISNUMBER(IFERROR(INDEX(Precios!$D$5:$D$120,MATCH(F27,Precios!$A$5:$A$120,0)),"x")))),"Tela sin precio. ","")&amp;IF(J27="","Metros impresos. ","")&amp;IF(K27="","Confección. ",IF(Q27=0,"Confección sin valor. ",""))))</f>
        <v>Tela. Kg de tela. Metros impresos. </v>
      </c>
    </row>
    <row r="28" customFormat="false" ht="15" hidden="false" customHeight="false" outlineLevel="0" collapsed="false">
      <c r="A28" s="19" t="s">
        <v>278</v>
      </c>
      <c r="B28" s="10" t="s">
        <v>277</v>
      </c>
      <c r="C28" s="10" t="s">
        <v>235</v>
      </c>
      <c r="D28" s="10" t="s">
        <v>236</v>
      </c>
      <c r="E28" s="10" t="s">
        <v>245</v>
      </c>
      <c r="F28" s="11"/>
      <c r="G28" s="20"/>
      <c r="H28" s="11"/>
      <c r="I28" s="20"/>
      <c r="J28" s="21"/>
      <c r="K28" s="11" t="s">
        <v>268</v>
      </c>
      <c r="L28" s="12"/>
      <c r="M28" s="11" t="s">
        <v>45</v>
      </c>
      <c r="N28" s="13" t="s">
        <v>239</v>
      </c>
      <c r="O28" s="15" t="n">
        <f aca="false">IF(A28="","",IFERROR(G28*INDEX(Precios!$D$5:$D$120,MATCH(F28,Precios!$A$5:$A$120,0)),0)+IF(H28="",0,IFERROR(I28*INDEX(Precios!$D$5:$D$120,MATCH(H28,Precios!$A$5:$A$120,0)),0)))</f>
        <v>0</v>
      </c>
      <c r="P28" s="15" t="n">
        <f aca="false">IF(A28="","",N(J28)*Parametros!$B$27)</f>
        <v>0</v>
      </c>
      <c r="Q28" s="15" t="n">
        <f aca="false">IF(A28="","",IFERROR(INDEX(Confeccion!$B$5:$B$100,MATCH(K28,Confeccion!$A$5:$A$100,0)),0))</f>
        <v>2300</v>
      </c>
      <c r="R28" s="15" t="n">
        <f aca="false">IF(A28="","",N(L28))</f>
        <v>0</v>
      </c>
      <c r="S28" s="14" t="str">
        <f aca="false">IF(A28="","",IF(AND(F28&lt;&gt;"",ISNUMBER(G28),ISNUMBER(IFERROR(INDEX(Precios!$D$5:$D$120,MATCH(F28,Precios!$A$5:$A$120,0)),"x")),OR(H28="",ISNUMBER(IFERROR(INDEX(Precios!$D$5:$D$120,MATCH(H28,Precios!$A$5:$A$120,0)),"x"))),J28&lt;&gt;"",K28&lt;&gt;"",Q28&gt;0),SUM(O28:R28),""))</f>
        <v/>
      </c>
      <c r="T28" s="18" t="str">
        <f aca="false">IF(A28="","",IF(S28&lt;&gt;"",IF(AND(N(J28)&gt;0,Parametros!$B$27=0),"Lista (sin costo de impresión)","Lista"),IF(F28="","Tela. ","")&amp;IF(NOT(ISNUMBER(G28)),"Kg de tela. ","")&amp;IF(AND(F28&lt;&gt;"",NOT(ISNUMBER(IFERROR(INDEX(Precios!$D$5:$D$120,MATCH(F28,Precios!$A$5:$A$120,0)),"x")))),"Tela sin precio. ","")&amp;IF(J28="","Metros impresos. ","")&amp;IF(K28="","Confección. ",IF(Q28=0,"Confección sin valor. ",""))))</f>
        <v>Tela. Kg de tela. Metros impresos. </v>
      </c>
    </row>
    <row r="29" customFormat="false" ht="15" hidden="false" customHeight="false" outlineLevel="0" collapsed="false">
      <c r="A29" s="19" t="s">
        <v>279</v>
      </c>
      <c r="B29" s="10" t="s">
        <v>280</v>
      </c>
      <c r="C29" s="10" t="s">
        <v>235</v>
      </c>
      <c r="D29" s="10" t="s">
        <v>236</v>
      </c>
      <c r="E29" s="10" t="s">
        <v>237</v>
      </c>
      <c r="F29" s="11"/>
      <c r="G29" s="20"/>
      <c r="H29" s="11"/>
      <c r="I29" s="20"/>
      <c r="J29" s="21"/>
      <c r="K29" s="11" t="s">
        <v>268</v>
      </c>
      <c r="L29" s="12"/>
      <c r="M29" s="11" t="s">
        <v>45</v>
      </c>
      <c r="N29" s="13" t="s">
        <v>239</v>
      </c>
      <c r="O29" s="15" t="n">
        <f aca="false">IF(A29="","",IFERROR(G29*INDEX(Precios!$D$5:$D$120,MATCH(F29,Precios!$A$5:$A$120,0)),0)+IF(H29="",0,IFERROR(I29*INDEX(Precios!$D$5:$D$120,MATCH(H29,Precios!$A$5:$A$120,0)),0)))</f>
        <v>0</v>
      </c>
      <c r="P29" s="15" t="n">
        <f aca="false">IF(A29="","",N(J29)*Parametros!$B$27)</f>
        <v>0</v>
      </c>
      <c r="Q29" s="15" t="n">
        <f aca="false">IF(A29="","",IFERROR(INDEX(Confeccion!$B$5:$B$100,MATCH(K29,Confeccion!$A$5:$A$100,0)),0))</f>
        <v>2300</v>
      </c>
      <c r="R29" s="15" t="n">
        <f aca="false">IF(A29="","",N(L29))</f>
        <v>0</v>
      </c>
      <c r="S29" s="14" t="str">
        <f aca="false">IF(A29="","",IF(AND(F29&lt;&gt;"",ISNUMBER(G29),ISNUMBER(IFERROR(INDEX(Precios!$D$5:$D$120,MATCH(F29,Precios!$A$5:$A$120,0)),"x")),OR(H29="",ISNUMBER(IFERROR(INDEX(Precios!$D$5:$D$120,MATCH(H29,Precios!$A$5:$A$120,0)),"x"))),J29&lt;&gt;"",K29&lt;&gt;"",Q29&gt;0),SUM(O29:R29),""))</f>
        <v/>
      </c>
      <c r="T29" s="18" t="str">
        <f aca="false">IF(A29="","",IF(S29&lt;&gt;"",IF(AND(N(J29)&gt;0,Parametros!$B$27=0),"Lista (sin costo de impresión)","Lista"),IF(F29="","Tela. ","")&amp;IF(NOT(ISNUMBER(G29)),"Kg de tela. ","")&amp;IF(AND(F29&lt;&gt;"",NOT(ISNUMBER(IFERROR(INDEX(Precios!$D$5:$D$120,MATCH(F29,Precios!$A$5:$A$120,0)),"x")))),"Tela sin precio. ","")&amp;IF(J29="","Metros impresos. ","")&amp;IF(K29="","Confección. ",IF(Q29=0,"Confección sin valor. ",""))))</f>
        <v>Tela. Kg de tela. Metros impresos. </v>
      </c>
    </row>
    <row r="30" customFormat="false" ht="15" hidden="false" customHeight="false" outlineLevel="0" collapsed="false">
      <c r="A30" s="19" t="s">
        <v>281</v>
      </c>
      <c r="B30" s="10" t="s">
        <v>280</v>
      </c>
      <c r="C30" s="10" t="s">
        <v>235</v>
      </c>
      <c r="D30" s="10" t="s">
        <v>236</v>
      </c>
      <c r="E30" s="10" t="s">
        <v>240</v>
      </c>
      <c r="F30" s="11"/>
      <c r="G30" s="20"/>
      <c r="H30" s="11"/>
      <c r="I30" s="20"/>
      <c r="J30" s="21"/>
      <c r="K30" s="11" t="s">
        <v>268</v>
      </c>
      <c r="L30" s="12"/>
      <c r="M30" s="11" t="s">
        <v>45</v>
      </c>
      <c r="N30" s="13" t="s">
        <v>239</v>
      </c>
      <c r="O30" s="15" t="n">
        <f aca="false">IF(A30="","",IFERROR(G30*INDEX(Precios!$D$5:$D$120,MATCH(F30,Precios!$A$5:$A$120,0)),0)+IF(H30="",0,IFERROR(I30*INDEX(Precios!$D$5:$D$120,MATCH(H30,Precios!$A$5:$A$120,0)),0)))</f>
        <v>0</v>
      </c>
      <c r="P30" s="15" t="n">
        <f aca="false">IF(A30="","",N(J30)*Parametros!$B$27)</f>
        <v>0</v>
      </c>
      <c r="Q30" s="15" t="n">
        <f aca="false">IF(A30="","",IFERROR(INDEX(Confeccion!$B$5:$B$100,MATCH(K30,Confeccion!$A$5:$A$100,0)),0))</f>
        <v>2300</v>
      </c>
      <c r="R30" s="15" t="n">
        <f aca="false">IF(A30="","",N(L30))</f>
        <v>0</v>
      </c>
      <c r="S30" s="14" t="str">
        <f aca="false">IF(A30="","",IF(AND(F30&lt;&gt;"",ISNUMBER(G30),ISNUMBER(IFERROR(INDEX(Precios!$D$5:$D$120,MATCH(F30,Precios!$A$5:$A$120,0)),"x")),OR(H30="",ISNUMBER(IFERROR(INDEX(Precios!$D$5:$D$120,MATCH(H30,Precios!$A$5:$A$120,0)),"x"))),J30&lt;&gt;"",K30&lt;&gt;"",Q30&gt;0),SUM(O30:R30),""))</f>
        <v/>
      </c>
      <c r="T30" s="18" t="str">
        <f aca="false">IF(A30="","",IF(S30&lt;&gt;"",IF(AND(N(J30)&gt;0,Parametros!$B$27=0),"Lista (sin costo de impresión)","Lista"),IF(F30="","Tela. ","")&amp;IF(NOT(ISNUMBER(G30)),"Kg de tela. ","")&amp;IF(AND(F30&lt;&gt;"",NOT(ISNUMBER(IFERROR(INDEX(Precios!$D$5:$D$120,MATCH(F30,Precios!$A$5:$A$120,0)),"x")))),"Tela sin precio. ","")&amp;IF(J30="","Metros impresos. ","")&amp;IF(K30="","Confección. ",IF(Q30=0,"Confección sin valor. ",""))))</f>
        <v>Tela. Kg de tela. Metros impresos. </v>
      </c>
    </row>
    <row r="31" customFormat="false" ht="15" hidden="false" customHeight="false" outlineLevel="0" collapsed="false">
      <c r="A31" s="19" t="s">
        <v>282</v>
      </c>
      <c r="B31" s="10" t="s">
        <v>283</v>
      </c>
      <c r="C31" s="10" t="s">
        <v>235</v>
      </c>
      <c r="D31" s="10" t="s">
        <v>236</v>
      </c>
      <c r="E31" s="10" t="s">
        <v>237</v>
      </c>
      <c r="F31" s="11"/>
      <c r="G31" s="20"/>
      <c r="H31" s="11"/>
      <c r="I31" s="20"/>
      <c r="J31" s="21"/>
      <c r="K31" s="11" t="s">
        <v>268</v>
      </c>
      <c r="L31" s="12"/>
      <c r="M31" s="11" t="s">
        <v>45</v>
      </c>
      <c r="N31" s="13" t="s">
        <v>239</v>
      </c>
      <c r="O31" s="15" t="n">
        <f aca="false">IF(A31="","",IFERROR(G31*INDEX(Precios!$D$5:$D$120,MATCH(F31,Precios!$A$5:$A$120,0)),0)+IF(H31="",0,IFERROR(I31*INDEX(Precios!$D$5:$D$120,MATCH(H31,Precios!$A$5:$A$120,0)),0)))</f>
        <v>0</v>
      </c>
      <c r="P31" s="15" t="n">
        <f aca="false">IF(A31="","",N(J31)*Parametros!$B$27)</f>
        <v>0</v>
      </c>
      <c r="Q31" s="15" t="n">
        <f aca="false">IF(A31="","",IFERROR(INDEX(Confeccion!$B$5:$B$100,MATCH(K31,Confeccion!$A$5:$A$100,0)),0))</f>
        <v>2300</v>
      </c>
      <c r="R31" s="15" t="n">
        <f aca="false">IF(A31="","",N(L31))</f>
        <v>0</v>
      </c>
      <c r="S31" s="14" t="str">
        <f aca="false">IF(A31="","",IF(AND(F31&lt;&gt;"",ISNUMBER(G31),ISNUMBER(IFERROR(INDEX(Precios!$D$5:$D$120,MATCH(F31,Precios!$A$5:$A$120,0)),"x")),OR(H31="",ISNUMBER(IFERROR(INDEX(Precios!$D$5:$D$120,MATCH(H31,Precios!$A$5:$A$120,0)),"x"))),J31&lt;&gt;"",K31&lt;&gt;"",Q31&gt;0),SUM(O31:R31),""))</f>
        <v/>
      </c>
      <c r="T31" s="18" t="str">
        <f aca="false">IF(A31="","",IF(S31&lt;&gt;"",IF(AND(N(J31)&gt;0,Parametros!$B$27=0),"Lista (sin costo de impresión)","Lista"),IF(F31="","Tela. ","")&amp;IF(NOT(ISNUMBER(G31)),"Kg de tela. ","")&amp;IF(AND(F31&lt;&gt;"",NOT(ISNUMBER(IFERROR(INDEX(Precios!$D$5:$D$120,MATCH(F31,Precios!$A$5:$A$120,0)),"x")))),"Tela sin precio. ","")&amp;IF(J31="","Metros impresos. ","")&amp;IF(K31="","Confección. ",IF(Q31=0,"Confección sin valor. ",""))))</f>
        <v>Tela. Kg de tela. Metros impresos. </v>
      </c>
    </row>
    <row r="32" customFormat="false" ht="15" hidden="false" customHeight="false" outlineLevel="0" collapsed="false">
      <c r="A32" s="19" t="s">
        <v>284</v>
      </c>
      <c r="B32" s="10" t="s">
        <v>283</v>
      </c>
      <c r="C32" s="10" t="s">
        <v>235</v>
      </c>
      <c r="D32" s="10" t="s">
        <v>236</v>
      </c>
      <c r="E32" s="10" t="s">
        <v>240</v>
      </c>
      <c r="F32" s="11"/>
      <c r="G32" s="20"/>
      <c r="H32" s="11"/>
      <c r="I32" s="20"/>
      <c r="J32" s="21"/>
      <c r="K32" s="11" t="s">
        <v>268</v>
      </c>
      <c r="L32" s="12"/>
      <c r="M32" s="11" t="s">
        <v>45</v>
      </c>
      <c r="N32" s="13" t="s">
        <v>239</v>
      </c>
      <c r="O32" s="15" t="n">
        <f aca="false">IF(A32="","",IFERROR(G32*INDEX(Precios!$D$5:$D$120,MATCH(F32,Precios!$A$5:$A$120,0)),0)+IF(H32="",0,IFERROR(I32*INDEX(Precios!$D$5:$D$120,MATCH(H32,Precios!$A$5:$A$120,0)),0)))</f>
        <v>0</v>
      </c>
      <c r="P32" s="15" t="n">
        <f aca="false">IF(A32="","",N(J32)*Parametros!$B$27)</f>
        <v>0</v>
      </c>
      <c r="Q32" s="15" t="n">
        <f aca="false">IF(A32="","",IFERROR(INDEX(Confeccion!$B$5:$B$100,MATCH(K32,Confeccion!$A$5:$A$100,0)),0))</f>
        <v>2300</v>
      </c>
      <c r="R32" s="15" t="n">
        <f aca="false">IF(A32="","",N(L32))</f>
        <v>0</v>
      </c>
      <c r="S32" s="14" t="str">
        <f aca="false">IF(A32="","",IF(AND(F32&lt;&gt;"",ISNUMBER(G32),ISNUMBER(IFERROR(INDEX(Precios!$D$5:$D$120,MATCH(F32,Precios!$A$5:$A$120,0)),"x")),OR(H32="",ISNUMBER(IFERROR(INDEX(Precios!$D$5:$D$120,MATCH(H32,Precios!$A$5:$A$120,0)),"x"))),J32&lt;&gt;"",K32&lt;&gt;"",Q32&gt;0),SUM(O32:R32),""))</f>
        <v/>
      </c>
      <c r="T32" s="18" t="str">
        <f aca="false">IF(A32="","",IF(S32&lt;&gt;"",IF(AND(N(J32)&gt;0,Parametros!$B$27=0),"Lista (sin costo de impresión)","Lista"),IF(F32="","Tela. ","")&amp;IF(NOT(ISNUMBER(G32)),"Kg de tela. ","")&amp;IF(AND(F32&lt;&gt;"",NOT(ISNUMBER(IFERROR(INDEX(Precios!$D$5:$D$120,MATCH(F32,Precios!$A$5:$A$120,0)),"x")))),"Tela sin precio. ","")&amp;IF(J32="","Metros impresos. ","")&amp;IF(K32="","Confección. ",IF(Q32=0,"Confección sin valor. ",""))))</f>
        <v>Tela. Kg de tela. Metros impresos. </v>
      </c>
    </row>
    <row r="33" customFormat="false" ht="15" hidden="false" customHeight="false" outlineLevel="0" collapsed="false">
      <c r="A33" s="19" t="s">
        <v>285</v>
      </c>
      <c r="B33" s="10" t="s">
        <v>286</v>
      </c>
      <c r="C33" s="10" t="s">
        <v>287</v>
      </c>
      <c r="D33" s="10" t="s">
        <v>236</v>
      </c>
      <c r="E33" s="10" t="s">
        <v>237</v>
      </c>
      <c r="F33" s="11"/>
      <c r="G33" s="20"/>
      <c r="H33" s="11"/>
      <c r="I33" s="20"/>
      <c r="J33" s="21"/>
      <c r="K33" s="11" t="s">
        <v>288</v>
      </c>
      <c r="L33" s="12"/>
      <c r="M33" s="11" t="s">
        <v>45</v>
      </c>
      <c r="N33" s="13" t="s">
        <v>239</v>
      </c>
      <c r="O33" s="15" t="n">
        <f aca="false">IF(A33="","",IFERROR(G33*INDEX(Precios!$D$5:$D$120,MATCH(F33,Precios!$A$5:$A$120,0)),0)+IF(H33="",0,IFERROR(I33*INDEX(Precios!$D$5:$D$120,MATCH(H33,Precios!$A$5:$A$120,0)),0)))</f>
        <v>0</v>
      </c>
      <c r="P33" s="15" t="n">
        <f aca="false">IF(A33="","",N(J33)*Parametros!$B$27)</f>
        <v>0</v>
      </c>
      <c r="Q33" s="15" t="n">
        <f aca="false">IF(A33="","",IFERROR(INDEX(Confeccion!$B$5:$B$100,MATCH(K33,Confeccion!$A$5:$A$100,0)),0))</f>
        <v>1900</v>
      </c>
      <c r="R33" s="15" t="n">
        <f aca="false">IF(A33="","",N(L33))</f>
        <v>0</v>
      </c>
      <c r="S33" s="14" t="str">
        <f aca="false">IF(A33="","",IF(AND(F33&lt;&gt;"",ISNUMBER(G33),ISNUMBER(IFERROR(INDEX(Precios!$D$5:$D$120,MATCH(F33,Precios!$A$5:$A$120,0)),"x")),OR(H33="",ISNUMBER(IFERROR(INDEX(Precios!$D$5:$D$120,MATCH(H33,Precios!$A$5:$A$120,0)),"x"))),J33&lt;&gt;"",K33&lt;&gt;"",Q33&gt;0),SUM(O33:R33),""))</f>
        <v/>
      </c>
      <c r="T33" s="18" t="str">
        <f aca="false">IF(A33="","",IF(S33&lt;&gt;"",IF(AND(N(J33)&gt;0,Parametros!$B$27=0),"Lista (sin costo de impresión)","Lista"),IF(F33="","Tela. ","")&amp;IF(NOT(ISNUMBER(G33)),"Kg de tela. ","")&amp;IF(AND(F33&lt;&gt;"",NOT(ISNUMBER(IFERROR(INDEX(Precios!$D$5:$D$120,MATCH(F33,Precios!$A$5:$A$120,0)),"x")))),"Tela sin precio. ","")&amp;IF(J33="","Metros impresos. ","")&amp;IF(K33="","Confección. ",IF(Q33=0,"Confección sin valor. ",""))))</f>
        <v>Tela. Kg de tela. Metros impresos. </v>
      </c>
    </row>
    <row r="34" customFormat="false" ht="15" hidden="false" customHeight="false" outlineLevel="0" collapsed="false">
      <c r="A34" s="19" t="s">
        <v>143</v>
      </c>
      <c r="B34" s="10" t="s">
        <v>286</v>
      </c>
      <c r="C34" s="10" t="s">
        <v>287</v>
      </c>
      <c r="D34" s="10" t="s">
        <v>236</v>
      </c>
      <c r="E34" s="10" t="s">
        <v>240</v>
      </c>
      <c r="F34" s="11" t="s">
        <v>289</v>
      </c>
      <c r="G34" s="20" t="n">
        <v>0.2029</v>
      </c>
      <c r="H34" s="11"/>
      <c r="I34" s="20"/>
      <c r="J34" s="21"/>
      <c r="K34" s="11" t="s">
        <v>288</v>
      </c>
      <c r="L34" s="12"/>
      <c r="M34" s="11" t="s">
        <v>45</v>
      </c>
      <c r="N34" s="13" t="s">
        <v>290</v>
      </c>
      <c r="O34" s="15" t="n">
        <f aca="false">IF(A34="","",IFERROR(G34*INDEX(Precios!$D$5:$D$120,MATCH(F34,Precios!$A$5:$A$120,0)),0)+IF(H34="",0,IFERROR(I34*INDEX(Precios!$D$5:$D$120,MATCH(H34,Precios!$A$5:$A$120,0)),0)))</f>
        <v>1419.4884</v>
      </c>
      <c r="P34" s="15" t="n">
        <f aca="false">IF(A34="","",N(J34)*Parametros!$B$27)</f>
        <v>0</v>
      </c>
      <c r="Q34" s="15" t="n">
        <f aca="false">IF(A34="","",IFERROR(INDEX(Confeccion!$B$5:$B$100,MATCH(K34,Confeccion!$A$5:$A$100,0)),0))</f>
        <v>1900</v>
      </c>
      <c r="R34" s="15" t="n">
        <f aca="false">IF(A34="","",N(L34))</f>
        <v>0</v>
      </c>
      <c r="S34" s="14" t="str">
        <f aca="false">IF(A34="","",IF(AND(F34&lt;&gt;"",ISNUMBER(G34),ISNUMBER(IFERROR(INDEX(Precios!$D$5:$D$120,MATCH(F34,Precios!$A$5:$A$120,0)),"x")),OR(H34="",ISNUMBER(IFERROR(INDEX(Precios!$D$5:$D$120,MATCH(H34,Precios!$A$5:$A$120,0)),"x"))),J34&lt;&gt;"",K34&lt;&gt;"",Q34&gt;0),SUM(O34:R34),""))</f>
        <v/>
      </c>
      <c r="T34" s="18" t="str">
        <f aca="false">IF(A34="","",IF(S34&lt;&gt;"",IF(AND(N(J34)&gt;0,Parametros!$B$27=0),"Lista (sin costo de impresión)","Lista"),IF(F34="","Tela. ","")&amp;IF(NOT(ISNUMBER(G34)),"Kg de tela. ","")&amp;IF(AND(F34&lt;&gt;"",NOT(ISNUMBER(IFERROR(INDEX(Precios!$D$5:$D$120,MATCH(F34,Precios!$A$5:$A$120,0)),"x")))),"Tela sin precio. ","")&amp;IF(J34="","Metros impresos. ","")&amp;IF(K34="","Confección. ",IF(Q34=0,"Confección sin valor. ",""))))</f>
        <v>Metros impresos. </v>
      </c>
    </row>
    <row r="35" customFormat="false" ht="15" hidden="false" customHeight="false" outlineLevel="0" collapsed="false">
      <c r="A35" s="19" t="s">
        <v>291</v>
      </c>
      <c r="B35" s="10" t="s">
        <v>292</v>
      </c>
      <c r="C35" s="10" t="s">
        <v>287</v>
      </c>
      <c r="D35" s="10" t="s">
        <v>236</v>
      </c>
      <c r="E35" s="10" t="s">
        <v>243</v>
      </c>
      <c r="F35" s="11"/>
      <c r="G35" s="20"/>
      <c r="H35" s="11"/>
      <c r="I35" s="20"/>
      <c r="J35" s="21"/>
      <c r="K35" s="11" t="s">
        <v>288</v>
      </c>
      <c r="L35" s="12"/>
      <c r="M35" s="11" t="s">
        <v>45</v>
      </c>
      <c r="N35" s="13" t="s">
        <v>239</v>
      </c>
      <c r="O35" s="15" t="n">
        <f aca="false">IF(A35="","",IFERROR(G35*INDEX(Precios!$D$5:$D$120,MATCH(F35,Precios!$A$5:$A$120,0)),0)+IF(H35="",0,IFERROR(I35*INDEX(Precios!$D$5:$D$120,MATCH(H35,Precios!$A$5:$A$120,0)),0)))</f>
        <v>0</v>
      </c>
      <c r="P35" s="15" t="n">
        <f aca="false">IF(A35="","",N(J35)*Parametros!$B$27)</f>
        <v>0</v>
      </c>
      <c r="Q35" s="15" t="n">
        <f aca="false">IF(A35="","",IFERROR(INDEX(Confeccion!$B$5:$B$100,MATCH(K35,Confeccion!$A$5:$A$100,0)),0))</f>
        <v>1900</v>
      </c>
      <c r="R35" s="15" t="n">
        <f aca="false">IF(A35="","",N(L35))</f>
        <v>0</v>
      </c>
      <c r="S35" s="14" t="str">
        <f aca="false">IF(A35="","",IF(AND(F35&lt;&gt;"",ISNUMBER(G35),ISNUMBER(IFERROR(INDEX(Precios!$D$5:$D$120,MATCH(F35,Precios!$A$5:$A$120,0)),"x")),OR(H35="",ISNUMBER(IFERROR(INDEX(Precios!$D$5:$D$120,MATCH(H35,Precios!$A$5:$A$120,0)),"x"))),J35&lt;&gt;"",K35&lt;&gt;"",Q35&gt;0),SUM(O35:R35),""))</f>
        <v/>
      </c>
      <c r="T35" s="18" t="str">
        <f aca="false">IF(A35="","",IF(S35&lt;&gt;"",IF(AND(N(J35)&gt;0,Parametros!$B$27=0),"Lista (sin costo de impresión)","Lista"),IF(F35="","Tela. ","")&amp;IF(NOT(ISNUMBER(G35)),"Kg de tela. ","")&amp;IF(AND(F35&lt;&gt;"",NOT(ISNUMBER(IFERROR(INDEX(Precios!$D$5:$D$120,MATCH(F35,Precios!$A$5:$A$120,0)),"x")))),"Tela sin precio. ","")&amp;IF(J35="","Metros impresos. ","")&amp;IF(K35="","Confección. ",IF(Q35=0,"Confección sin valor. ",""))))</f>
        <v>Tela. Kg de tela. Metros impresos. </v>
      </c>
    </row>
    <row r="36" customFormat="false" ht="15" hidden="false" customHeight="false" outlineLevel="0" collapsed="false">
      <c r="A36" s="19" t="s">
        <v>293</v>
      </c>
      <c r="B36" s="10" t="s">
        <v>292</v>
      </c>
      <c r="C36" s="10" t="s">
        <v>287</v>
      </c>
      <c r="D36" s="10" t="s">
        <v>236</v>
      </c>
      <c r="E36" s="10" t="s">
        <v>245</v>
      </c>
      <c r="F36" s="11"/>
      <c r="G36" s="20"/>
      <c r="H36" s="11"/>
      <c r="I36" s="20"/>
      <c r="J36" s="21"/>
      <c r="K36" s="11" t="s">
        <v>288</v>
      </c>
      <c r="L36" s="12"/>
      <c r="M36" s="11" t="s">
        <v>45</v>
      </c>
      <c r="N36" s="13" t="s">
        <v>239</v>
      </c>
      <c r="O36" s="15" t="n">
        <f aca="false">IF(A36="","",IFERROR(G36*INDEX(Precios!$D$5:$D$120,MATCH(F36,Precios!$A$5:$A$120,0)),0)+IF(H36="",0,IFERROR(I36*INDEX(Precios!$D$5:$D$120,MATCH(H36,Precios!$A$5:$A$120,0)),0)))</f>
        <v>0</v>
      </c>
      <c r="P36" s="15" t="n">
        <f aca="false">IF(A36="","",N(J36)*Parametros!$B$27)</f>
        <v>0</v>
      </c>
      <c r="Q36" s="15" t="n">
        <f aca="false">IF(A36="","",IFERROR(INDEX(Confeccion!$B$5:$B$100,MATCH(K36,Confeccion!$A$5:$A$100,0)),0))</f>
        <v>1900</v>
      </c>
      <c r="R36" s="15" t="n">
        <f aca="false">IF(A36="","",N(L36))</f>
        <v>0</v>
      </c>
      <c r="S36" s="14" t="str">
        <f aca="false">IF(A36="","",IF(AND(F36&lt;&gt;"",ISNUMBER(G36),ISNUMBER(IFERROR(INDEX(Precios!$D$5:$D$120,MATCH(F36,Precios!$A$5:$A$120,0)),"x")),OR(H36="",ISNUMBER(IFERROR(INDEX(Precios!$D$5:$D$120,MATCH(H36,Precios!$A$5:$A$120,0)),"x"))),J36&lt;&gt;"",K36&lt;&gt;"",Q36&gt;0),SUM(O36:R36),""))</f>
        <v/>
      </c>
      <c r="T36" s="18" t="str">
        <f aca="false">IF(A36="","",IF(S36&lt;&gt;"",IF(AND(N(J36)&gt;0,Parametros!$B$27=0),"Lista (sin costo de impresión)","Lista"),IF(F36="","Tela. ","")&amp;IF(NOT(ISNUMBER(G36)),"Kg de tela. ","")&amp;IF(AND(F36&lt;&gt;"",NOT(ISNUMBER(IFERROR(INDEX(Precios!$D$5:$D$120,MATCH(F36,Precios!$A$5:$A$120,0)),"x")))),"Tela sin precio. ","")&amp;IF(J36="","Metros impresos. ","")&amp;IF(K36="","Confección. ",IF(Q36=0,"Confección sin valor. ",""))))</f>
        <v>Tela. Kg de tela. Metros impresos. </v>
      </c>
    </row>
    <row r="37" customFormat="false" ht="15" hidden="false" customHeight="false" outlineLevel="0" collapsed="false">
      <c r="A37" s="19" t="s">
        <v>294</v>
      </c>
      <c r="B37" s="10" t="s">
        <v>295</v>
      </c>
      <c r="C37" s="10" t="s">
        <v>287</v>
      </c>
      <c r="D37" s="10" t="s">
        <v>236</v>
      </c>
      <c r="E37" s="10" t="s">
        <v>237</v>
      </c>
      <c r="F37" s="11"/>
      <c r="G37" s="20"/>
      <c r="H37" s="11"/>
      <c r="I37" s="20"/>
      <c r="J37" s="21"/>
      <c r="K37" s="11" t="s">
        <v>288</v>
      </c>
      <c r="L37" s="12"/>
      <c r="M37" s="11" t="s">
        <v>45</v>
      </c>
      <c r="N37" s="13" t="s">
        <v>239</v>
      </c>
      <c r="O37" s="15" t="n">
        <f aca="false">IF(A37="","",IFERROR(G37*INDEX(Precios!$D$5:$D$120,MATCH(F37,Precios!$A$5:$A$120,0)),0)+IF(H37="",0,IFERROR(I37*INDEX(Precios!$D$5:$D$120,MATCH(H37,Precios!$A$5:$A$120,0)),0)))</f>
        <v>0</v>
      </c>
      <c r="P37" s="15" t="n">
        <f aca="false">IF(A37="","",N(J37)*Parametros!$B$27)</f>
        <v>0</v>
      </c>
      <c r="Q37" s="15" t="n">
        <f aca="false">IF(A37="","",IFERROR(INDEX(Confeccion!$B$5:$B$100,MATCH(K37,Confeccion!$A$5:$A$100,0)),0))</f>
        <v>1900</v>
      </c>
      <c r="R37" s="15" t="n">
        <f aca="false">IF(A37="","",N(L37))</f>
        <v>0</v>
      </c>
      <c r="S37" s="14" t="str">
        <f aca="false">IF(A37="","",IF(AND(F37&lt;&gt;"",ISNUMBER(G37),ISNUMBER(IFERROR(INDEX(Precios!$D$5:$D$120,MATCH(F37,Precios!$A$5:$A$120,0)),"x")),OR(H37="",ISNUMBER(IFERROR(INDEX(Precios!$D$5:$D$120,MATCH(H37,Precios!$A$5:$A$120,0)),"x"))),J37&lt;&gt;"",K37&lt;&gt;"",Q37&gt;0),SUM(O37:R37),""))</f>
        <v/>
      </c>
      <c r="T37" s="18" t="str">
        <f aca="false">IF(A37="","",IF(S37&lt;&gt;"",IF(AND(N(J37)&gt;0,Parametros!$B$27=0),"Lista (sin costo de impresión)","Lista"),IF(F37="","Tela. ","")&amp;IF(NOT(ISNUMBER(G37)),"Kg de tela. ","")&amp;IF(AND(F37&lt;&gt;"",NOT(ISNUMBER(IFERROR(INDEX(Precios!$D$5:$D$120,MATCH(F37,Precios!$A$5:$A$120,0)),"x")))),"Tela sin precio. ","")&amp;IF(J37="","Metros impresos. ","")&amp;IF(K37="","Confección. ",IF(Q37=0,"Confección sin valor. ",""))))</f>
        <v>Tela. Kg de tela. Metros impresos. </v>
      </c>
    </row>
    <row r="38" customFormat="false" ht="15" hidden="false" customHeight="false" outlineLevel="0" collapsed="false">
      <c r="A38" s="19" t="s">
        <v>296</v>
      </c>
      <c r="B38" s="10" t="s">
        <v>295</v>
      </c>
      <c r="C38" s="10" t="s">
        <v>287</v>
      </c>
      <c r="D38" s="10" t="s">
        <v>236</v>
      </c>
      <c r="E38" s="10" t="s">
        <v>240</v>
      </c>
      <c r="F38" s="11"/>
      <c r="G38" s="20"/>
      <c r="H38" s="11"/>
      <c r="I38" s="20"/>
      <c r="J38" s="21"/>
      <c r="K38" s="11" t="s">
        <v>288</v>
      </c>
      <c r="L38" s="12"/>
      <c r="M38" s="11" t="s">
        <v>45</v>
      </c>
      <c r="N38" s="13" t="s">
        <v>239</v>
      </c>
      <c r="O38" s="15" t="n">
        <f aca="false">IF(A38="","",IFERROR(G38*INDEX(Precios!$D$5:$D$120,MATCH(F38,Precios!$A$5:$A$120,0)),0)+IF(H38="",0,IFERROR(I38*INDEX(Precios!$D$5:$D$120,MATCH(H38,Precios!$A$5:$A$120,0)),0)))</f>
        <v>0</v>
      </c>
      <c r="P38" s="15" t="n">
        <f aca="false">IF(A38="","",N(J38)*Parametros!$B$27)</f>
        <v>0</v>
      </c>
      <c r="Q38" s="15" t="n">
        <f aca="false">IF(A38="","",IFERROR(INDEX(Confeccion!$B$5:$B$100,MATCH(K38,Confeccion!$A$5:$A$100,0)),0))</f>
        <v>1900</v>
      </c>
      <c r="R38" s="15" t="n">
        <f aca="false">IF(A38="","",N(L38))</f>
        <v>0</v>
      </c>
      <c r="S38" s="14" t="str">
        <f aca="false">IF(A38="","",IF(AND(F38&lt;&gt;"",ISNUMBER(G38),ISNUMBER(IFERROR(INDEX(Precios!$D$5:$D$120,MATCH(F38,Precios!$A$5:$A$120,0)),"x")),OR(H38="",ISNUMBER(IFERROR(INDEX(Precios!$D$5:$D$120,MATCH(H38,Precios!$A$5:$A$120,0)),"x"))),J38&lt;&gt;"",K38&lt;&gt;"",Q38&gt;0),SUM(O38:R38),""))</f>
        <v/>
      </c>
      <c r="T38" s="18" t="str">
        <f aca="false">IF(A38="","",IF(S38&lt;&gt;"",IF(AND(N(J38)&gt;0,Parametros!$B$27=0),"Lista (sin costo de impresión)","Lista"),IF(F38="","Tela. ","")&amp;IF(NOT(ISNUMBER(G38)),"Kg de tela. ","")&amp;IF(AND(F38&lt;&gt;"",NOT(ISNUMBER(IFERROR(INDEX(Precios!$D$5:$D$120,MATCH(F38,Precios!$A$5:$A$120,0)),"x")))),"Tela sin precio. ","")&amp;IF(J38="","Metros impresos. ","")&amp;IF(K38="","Confección. ",IF(Q38=0,"Confección sin valor. ",""))))</f>
        <v>Tela. Kg de tela. Metros impresos. </v>
      </c>
    </row>
    <row r="39" customFormat="false" ht="15" hidden="false" customHeight="false" outlineLevel="0" collapsed="false">
      <c r="A39" s="19" t="s">
        <v>297</v>
      </c>
      <c r="B39" s="10" t="s">
        <v>298</v>
      </c>
      <c r="C39" s="10" t="s">
        <v>287</v>
      </c>
      <c r="D39" s="10" t="s">
        <v>236</v>
      </c>
      <c r="E39" s="10" t="s">
        <v>243</v>
      </c>
      <c r="F39" s="11"/>
      <c r="G39" s="20"/>
      <c r="H39" s="11"/>
      <c r="I39" s="20"/>
      <c r="J39" s="21"/>
      <c r="K39" s="11" t="s">
        <v>288</v>
      </c>
      <c r="L39" s="12"/>
      <c r="M39" s="11" t="s">
        <v>45</v>
      </c>
      <c r="N39" s="13" t="s">
        <v>239</v>
      </c>
      <c r="O39" s="15" t="n">
        <f aca="false">IF(A39="","",IFERROR(G39*INDEX(Precios!$D$5:$D$120,MATCH(F39,Precios!$A$5:$A$120,0)),0)+IF(H39="",0,IFERROR(I39*INDEX(Precios!$D$5:$D$120,MATCH(H39,Precios!$A$5:$A$120,0)),0)))</f>
        <v>0</v>
      </c>
      <c r="P39" s="15" t="n">
        <f aca="false">IF(A39="","",N(J39)*Parametros!$B$27)</f>
        <v>0</v>
      </c>
      <c r="Q39" s="15" t="n">
        <f aca="false">IF(A39="","",IFERROR(INDEX(Confeccion!$B$5:$B$100,MATCH(K39,Confeccion!$A$5:$A$100,0)),0))</f>
        <v>1900</v>
      </c>
      <c r="R39" s="15" t="n">
        <f aca="false">IF(A39="","",N(L39))</f>
        <v>0</v>
      </c>
      <c r="S39" s="14" t="str">
        <f aca="false">IF(A39="","",IF(AND(F39&lt;&gt;"",ISNUMBER(G39),ISNUMBER(IFERROR(INDEX(Precios!$D$5:$D$120,MATCH(F39,Precios!$A$5:$A$120,0)),"x")),OR(H39="",ISNUMBER(IFERROR(INDEX(Precios!$D$5:$D$120,MATCH(H39,Precios!$A$5:$A$120,0)),"x"))),J39&lt;&gt;"",K39&lt;&gt;"",Q39&gt;0),SUM(O39:R39),""))</f>
        <v/>
      </c>
      <c r="T39" s="18" t="str">
        <f aca="false">IF(A39="","",IF(S39&lt;&gt;"",IF(AND(N(J39)&gt;0,Parametros!$B$27=0),"Lista (sin costo de impresión)","Lista"),IF(F39="","Tela. ","")&amp;IF(NOT(ISNUMBER(G39)),"Kg de tela. ","")&amp;IF(AND(F39&lt;&gt;"",NOT(ISNUMBER(IFERROR(INDEX(Precios!$D$5:$D$120,MATCH(F39,Precios!$A$5:$A$120,0)),"x")))),"Tela sin precio. ","")&amp;IF(J39="","Metros impresos. ","")&amp;IF(K39="","Confección. ",IF(Q39=0,"Confección sin valor. ",""))))</f>
        <v>Tela. Kg de tela. Metros impresos. </v>
      </c>
    </row>
    <row r="40" customFormat="false" ht="15" hidden="false" customHeight="false" outlineLevel="0" collapsed="false">
      <c r="A40" s="19" t="s">
        <v>299</v>
      </c>
      <c r="B40" s="10" t="s">
        <v>298</v>
      </c>
      <c r="C40" s="10" t="s">
        <v>287</v>
      </c>
      <c r="D40" s="10" t="s">
        <v>236</v>
      </c>
      <c r="E40" s="10" t="s">
        <v>245</v>
      </c>
      <c r="F40" s="11"/>
      <c r="G40" s="20"/>
      <c r="H40" s="11"/>
      <c r="I40" s="20"/>
      <c r="J40" s="21"/>
      <c r="K40" s="11" t="s">
        <v>288</v>
      </c>
      <c r="L40" s="12"/>
      <c r="M40" s="11" t="s">
        <v>45</v>
      </c>
      <c r="N40" s="13" t="s">
        <v>239</v>
      </c>
      <c r="O40" s="15" t="n">
        <f aca="false">IF(A40="","",IFERROR(G40*INDEX(Precios!$D$5:$D$120,MATCH(F40,Precios!$A$5:$A$120,0)),0)+IF(H40="",0,IFERROR(I40*INDEX(Precios!$D$5:$D$120,MATCH(H40,Precios!$A$5:$A$120,0)),0)))</f>
        <v>0</v>
      </c>
      <c r="P40" s="15" t="n">
        <f aca="false">IF(A40="","",N(J40)*Parametros!$B$27)</f>
        <v>0</v>
      </c>
      <c r="Q40" s="15" t="n">
        <f aca="false">IF(A40="","",IFERROR(INDEX(Confeccion!$B$5:$B$100,MATCH(K40,Confeccion!$A$5:$A$100,0)),0))</f>
        <v>1900</v>
      </c>
      <c r="R40" s="15" t="n">
        <f aca="false">IF(A40="","",N(L40))</f>
        <v>0</v>
      </c>
      <c r="S40" s="14" t="str">
        <f aca="false">IF(A40="","",IF(AND(F40&lt;&gt;"",ISNUMBER(G40),ISNUMBER(IFERROR(INDEX(Precios!$D$5:$D$120,MATCH(F40,Precios!$A$5:$A$120,0)),"x")),OR(H40="",ISNUMBER(IFERROR(INDEX(Precios!$D$5:$D$120,MATCH(H40,Precios!$A$5:$A$120,0)),"x"))),J40&lt;&gt;"",K40&lt;&gt;"",Q40&gt;0),SUM(O40:R40),""))</f>
        <v/>
      </c>
      <c r="T40" s="18" t="str">
        <f aca="false">IF(A40="","",IF(S40&lt;&gt;"",IF(AND(N(J40)&gt;0,Parametros!$B$27=0),"Lista (sin costo de impresión)","Lista"),IF(F40="","Tela. ","")&amp;IF(NOT(ISNUMBER(G40)),"Kg de tela. ","")&amp;IF(AND(F40&lt;&gt;"",NOT(ISNUMBER(IFERROR(INDEX(Precios!$D$5:$D$120,MATCH(F40,Precios!$A$5:$A$120,0)),"x")))),"Tela sin precio. ","")&amp;IF(J40="","Metros impresos. ","")&amp;IF(K40="","Confección. ",IF(Q40=0,"Confección sin valor. ",""))))</f>
        <v>Tela. Kg de tela. Metros impresos. </v>
      </c>
    </row>
    <row r="41" customFormat="false" ht="15" hidden="false" customHeight="false" outlineLevel="0" collapsed="false">
      <c r="A41" s="19" t="s">
        <v>300</v>
      </c>
      <c r="B41" s="10" t="s">
        <v>301</v>
      </c>
      <c r="C41" s="10" t="s">
        <v>287</v>
      </c>
      <c r="D41" s="10" t="s">
        <v>236</v>
      </c>
      <c r="E41" s="10" t="s">
        <v>237</v>
      </c>
      <c r="F41" s="11"/>
      <c r="G41" s="20"/>
      <c r="H41" s="11"/>
      <c r="I41" s="20"/>
      <c r="J41" s="21"/>
      <c r="K41" s="11" t="s">
        <v>302</v>
      </c>
      <c r="L41" s="12"/>
      <c r="M41" s="11" t="s">
        <v>45</v>
      </c>
      <c r="N41" s="13" t="s">
        <v>239</v>
      </c>
      <c r="O41" s="15" t="n">
        <f aca="false">IF(A41="","",IFERROR(G41*INDEX(Precios!$D$5:$D$120,MATCH(F41,Precios!$A$5:$A$120,0)),0)+IF(H41="",0,IFERROR(I41*INDEX(Precios!$D$5:$D$120,MATCH(H41,Precios!$A$5:$A$120,0)),0)))</f>
        <v>0</v>
      </c>
      <c r="P41" s="15" t="n">
        <f aca="false">IF(A41="","",N(J41)*Parametros!$B$27)</f>
        <v>0</v>
      </c>
      <c r="Q41" s="15" t="n">
        <f aca="false">IF(A41="","",IFERROR(INDEX(Confeccion!$B$5:$B$100,MATCH(K41,Confeccion!$A$5:$A$100,0)),0))</f>
        <v>2400</v>
      </c>
      <c r="R41" s="15" t="n">
        <f aca="false">IF(A41="","",N(L41))</f>
        <v>0</v>
      </c>
      <c r="S41" s="14" t="str">
        <f aca="false">IF(A41="","",IF(AND(F41&lt;&gt;"",ISNUMBER(G41),ISNUMBER(IFERROR(INDEX(Precios!$D$5:$D$120,MATCH(F41,Precios!$A$5:$A$120,0)),"x")),OR(H41="",ISNUMBER(IFERROR(INDEX(Precios!$D$5:$D$120,MATCH(H41,Precios!$A$5:$A$120,0)),"x"))),J41&lt;&gt;"",K41&lt;&gt;"",Q41&gt;0),SUM(O41:R41),""))</f>
        <v/>
      </c>
      <c r="T41" s="18" t="str">
        <f aca="false">IF(A41="","",IF(S41&lt;&gt;"",IF(AND(N(J41)&gt;0,Parametros!$B$27=0),"Lista (sin costo de impresión)","Lista"),IF(F41="","Tela. ","")&amp;IF(NOT(ISNUMBER(G41)),"Kg de tela. ","")&amp;IF(AND(F41&lt;&gt;"",NOT(ISNUMBER(IFERROR(INDEX(Precios!$D$5:$D$120,MATCH(F41,Precios!$A$5:$A$120,0)),"x")))),"Tela sin precio. ","")&amp;IF(J41="","Metros impresos. ","")&amp;IF(K41="","Confección. ",IF(Q41=0,"Confección sin valor. ",""))))</f>
        <v>Tela. Kg de tela. Metros impresos. </v>
      </c>
    </row>
    <row r="42" customFormat="false" ht="15" hidden="false" customHeight="false" outlineLevel="0" collapsed="false">
      <c r="A42" s="19" t="s">
        <v>303</v>
      </c>
      <c r="B42" s="10" t="s">
        <v>301</v>
      </c>
      <c r="C42" s="10" t="s">
        <v>287</v>
      </c>
      <c r="D42" s="10" t="s">
        <v>236</v>
      </c>
      <c r="E42" s="10" t="s">
        <v>240</v>
      </c>
      <c r="F42" s="11"/>
      <c r="G42" s="20"/>
      <c r="H42" s="11"/>
      <c r="I42" s="20"/>
      <c r="J42" s="21"/>
      <c r="K42" s="11" t="s">
        <v>302</v>
      </c>
      <c r="L42" s="12"/>
      <c r="M42" s="11" t="s">
        <v>45</v>
      </c>
      <c r="N42" s="13" t="s">
        <v>239</v>
      </c>
      <c r="O42" s="15" t="n">
        <f aca="false">IF(A42="","",IFERROR(G42*INDEX(Precios!$D$5:$D$120,MATCH(F42,Precios!$A$5:$A$120,0)),0)+IF(H42="",0,IFERROR(I42*INDEX(Precios!$D$5:$D$120,MATCH(H42,Precios!$A$5:$A$120,0)),0)))</f>
        <v>0</v>
      </c>
      <c r="P42" s="15" t="n">
        <f aca="false">IF(A42="","",N(J42)*Parametros!$B$27)</f>
        <v>0</v>
      </c>
      <c r="Q42" s="15" t="n">
        <f aca="false">IF(A42="","",IFERROR(INDEX(Confeccion!$B$5:$B$100,MATCH(K42,Confeccion!$A$5:$A$100,0)),0))</f>
        <v>2400</v>
      </c>
      <c r="R42" s="15" t="n">
        <f aca="false">IF(A42="","",N(L42))</f>
        <v>0</v>
      </c>
      <c r="S42" s="14" t="str">
        <f aca="false">IF(A42="","",IF(AND(F42&lt;&gt;"",ISNUMBER(G42),ISNUMBER(IFERROR(INDEX(Precios!$D$5:$D$120,MATCH(F42,Precios!$A$5:$A$120,0)),"x")),OR(H42="",ISNUMBER(IFERROR(INDEX(Precios!$D$5:$D$120,MATCH(H42,Precios!$A$5:$A$120,0)),"x"))),J42&lt;&gt;"",K42&lt;&gt;"",Q42&gt;0),SUM(O42:R42),""))</f>
        <v/>
      </c>
      <c r="T42" s="18" t="str">
        <f aca="false">IF(A42="","",IF(S42&lt;&gt;"",IF(AND(N(J42)&gt;0,Parametros!$B$27=0),"Lista (sin costo de impresión)","Lista"),IF(F42="","Tela. ","")&amp;IF(NOT(ISNUMBER(G42)),"Kg de tela. ","")&amp;IF(AND(F42&lt;&gt;"",NOT(ISNUMBER(IFERROR(INDEX(Precios!$D$5:$D$120,MATCH(F42,Precios!$A$5:$A$120,0)),"x")))),"Tela sin precio. ","")&amp;IF(J42="","Metros impresos. ","")&amp;IF(K42="","Confección. ",IF(Q42=0,"Confección sin valor. ",""))))</f>
        <v>Tela. Kg de tela. Metros impresos. </v>
      </c>
    </row>
    <row r="43" customFormat="false" ht="15" hidden="false" customHeight="false" outlineLevel="0" collapsed="false">
      <c r="A43" s="19" t="s">
        <v>304</v>
      </c>
      <c r="B43" s="10" t="s">
        <v>305</v>
      </c>
      <c r="C43" s="10" t="s">
        <v>287</v>
      </c>
      <c r="D43" s="10" t="s">
        <v>236</v>
      </c>
      <c r="E43" s="10" t="s">
        <v>243</v>
      </c>
      <c r="F43" s="11"/>
      <c r="G43" s="20"/>
      <c r="H43" s="11"/>
      <c r="I43" s="20"/>
      <c r="J43" s="21"/>
      <c r="K43" s="11" t="s">
        <v>302</v>
      </c>
      <c r="L43" s="12"/>
      <c r="M43" s="11" t="s">
        <v>45</v>
      </c>
      <c r="N43" s="13" t="s">
        <v>239</v>
      </c>
      <c r="O43" s="15" t="n">
        <f aca="false">IF(A43="","",IFERROR(G43*INDEX(Precios!$D$5:$D$120,MATCH(F43,Precios!$A$5:$A$120,0)),0)+IF(H43="",0,IFERROR(I43*INDEX(Precios!$D$5:$D$120,MATCH(H43,Precios!$A$5:$A$120,0)),0)))</f>
        <v>0</v>
      </c>
      <c r="P43" s="15" t="n">
        <f aca="false">IF(A43="","",N(J43)*Parametros!$B$27)</f>
        <v>0</v>
      </c>
      <c r="Q43" s="15" t="n">
        <f aca="false">IF(A43="","",IFERROR(INDEX(Confeccion!$B$5:$B$100,MATCH(K43,Confeccion!$A$5:$A$100,0)),0))</f>
        <v>2400</v>
      </c>
      <c r="R43" s="15" t="n">
        <f aca="false">IF(A43="","",N(L43))</f>
        <v>0</v>
      </c>
      <c r="S43" s="14" t="str">
        <f aca="false">IF(A43="","",IF(AND(F43&lt;&gt;"",ISNUMBER(G43),ISNUMBER(IFERROR(INDEX(Precios!$D$5:$D$120,MATCH(F43,Precios!$A$5:$A$120,0)),"x")),OR(H43="",ISNUMBER(IFERROR(INDEX(Precios!$D$5:$D$120,MATCH(H43,Precios!$A$5:$A$120,0)),"x"))),J43&lt;&gt;"",K43&lt;&gt;"",Q43&gt;0),SUM(O43:R43),""))</f>
        <v/>
      </c>
      <c r="T43" s="18" t="str">
        <f aca="false">IF(A43="","",IF(S43&lt;&gt;"",IF(AND(N(J43)&gt;0,Parametros!$B$27=0),"Lista (sin costo de impresión)","Lista"),IF(F43="","Tela. ","")&amp;IF(NOT(ISNUMBER(G43)),"Kg de tela. ","")&amp;IF(AND(F43&lt;&gt;"",NOT(ISNUMBER(IFERROR(INDEX(Precios!$D$5:$D$120,MATCH(F43,Precios!$A$5:$A$120,0)),"x")))),"Tela sin precio. ","")&amp;IF(J43="","Metros impresos. ","")&amp;IF(K43="","Confección. ",IF(Q43=0,"Confección sin valor. ",""))))</f>
        <v>Tela. Kg de tela. Metros impresos. </v>
      </c>
    </row>
    <row r="44" customFormat="false" ht="15" hidden="false" customHeight="false" outlineLevel="0" collapsed="false">
      <c r="A44" s="19" t="s">
        <v>306</v>
      </c>
      <c r="B44" s="10" t="s">
        <v>305</v>
      </c>
      <c r="C44" s="10" t="s">
        <v>287</v>
      </c>
      <c r="D44" s="10" t="s">
        <v>236</v>
      </c>
      <c r="E44" s="10" t="s">
        <v>245</v>
      </c>
      <c r="F44" s="11"/>
      <c r="G44" s="20"/>
      <c r="H44" s="11"/>
      <c r="I44" s="20"/>
      <c r="J44" s="21"/>
      <c r="K44" s="11" t="s">
        <v>302</v>
      </c>
      <c r="L44" s="12"/>
      <c r="M44" s="11" t="s">
        <v>45</v>
      </c>
      <c r="N44" s="13" t="s">
        <v>239</v>
      </c>
      <c r="O44" s="15" t="n">
        <f aca="false">IF(A44="","",IFERROR(G44*INDEX(Precios!$D$5:$D$120,MATCH(F44,Precios!$A$5:$A$120,0)),0)+IF(H44="",0,IFERROR(I44*INDEX(Precios!$D$5:$D$120,MATCH(H44,Precios!$A$5:$A$120,0)),0)))</f>
        <v>0</v>
      </c>
      <c r="P44" s="15" t="n">
        <f aca="false">IF(A44="","",N(J44)*Parametros!$B$27)</f>
        <v>0</v>
      </c>
      <c r="Q44" s="15" t="n">
        <f aca="false">IF(A44="","",IFERROR(INDEX(Confeccion!$B$5:$B$100,MATCH(K44,Confeccion!$A$5:$A$100,0)),0))</f>
        <v>2400</v>
      </c>
      <c r="R44" s="15" t="n">
        <f aca="false">IF(A44="","",N(L44))</f>
        <v>0</v>
      </c>
      <c r="S44" s="14" t="str">
        <f aca="false">IF(A44="","",IF(AND(F44&lt;&gt;"",ISNUMBER(G44),ISNUMBER(IFERROR(INDEX(Precios!$D$5:$D$120,MATCH(F44,Precios!$A$5:$A$120,0)),"x")),OR(H44="",ISNUMBER(IFERROR(INDEX(Precios!$D$5:$D$120,MATCH(H44,Precios!$A$5:$A$120,0)),"x"))),J44&lt;&gt;"",K44&lt;&gt;"",Q44&gt;0),SUM(O44:R44),""))</f>
        <v/>
      </c>
      <c r="T44" s="18" t="str">
        <f aca="false">IF(A44="","",IF(S44&lt;&gt;"",IF(AND(N(J44)&gt;0,Parametros!$B$27=0),"Lista (sin costo de impresión)","Lista"),IF(F44="","Tela. ","")&amp;IF(NOT(ISNUMBER(G44)),"Kg de tela. ","")&amp;IF(AND(F44&lt;&gt;"",NOT(ISNUMBER(IFERROR(INDEX(Precios!$D$5:$D$120,MATCH(F44,Precios!$A$5:$A$120,0)),"x")))),"Tela sin precio. ","")&amp;IF(J44="","Metros impresos. ","")&amp;IF(K44="","Confección. ",IF(Q44=0,"Confección sin valor. ",""))))</f>
        <v>Tela. Kg de tela. Metros impresos. </v>
      </c>
    </row>
    <row r="45" customFormat="false" ht="15" hidden="false" customHeight="false" outlineLevel="0" collapsed="false">
      <c r="A45" s="19" t="s">
        <v>307</v>
      </c>
      <c r="B45" s="10" t="s">
        <v>308</v>
      </c>
      <c r="C45" s="10" t="s">
        <v>287</v>
      </c>
      <c r="D45" s="10" t="s">
        <v>236</v>
      </c>
      <c r="E45" s="10" t="s">
        <v>237</v>
      </c>
      <c r="F45" s="11"/>
      <c r="G45" s="20"/>
      <c r="H45" s="11"/>
      <c r="I45" s="20"/>
      <c r="J45" s="21"/>
      <c r="K45" s="11" t="s">
        <v>309</v>
      </c>
      <c r="L45" s="12"/>
      <c r="M45" s="11" t="s">
        <v>45</v>
      </c>
      <c r="N45" s="13" t="s">
        <v>239</v>
      </c>
      <c r="O45" s="15" t="n">
        <f aca="false">IF(A45="","",IFERROR(G45*INDEX(Precios!$D$5:$D$120,MATCH(F45,Precios!$A$5:$A$120,0)),0)+IF(H45="",0,IFERROR(I45*INDEX(Precios!$D$5:$D$120,MATCH(H45,Precios!$A$5:$A$120,0)),0)))</f>
        <v>0</v>
      </c>
      <c r="P45" s="15" t="n">
        <f aca="false">IF(A45="","",N(J45)*Parametros!$B$27)</f>
        <v>0</v>
      </c>
      <c r="Q45" s="15" t="n">
        <f aca="false">IF(A45="","",IFERROR(INDEX(Confeccion!$B$5:$B$100,MATCH(K45,Confeccion!$A$5:$A$100,0)),0))</f>
        <v>2000</v>
      </c>
      <c r="R45" s="15" t="n">
        <f aca="false">IF(A45="","",N(L45))</f>
        <v>0</v>
      </c>
      <c r="S45" s="14" t="str">
        <f aca="false">IF(A45="","",IF(AND(F45&lt;&gt;"",ISNUMBER(G45),ISNUMBER(IFERROR(INDEX(Precios!$D$5:$D$120,MATCH(F45,Precios!$A$5:$A$120,0)),"x")),OR(H45="",ISNUMBER(IFERROR(INDEX(Precios!$D$5:$D$120,MATCH(H45,Precios!$A$5:$A$120,0)),"x"))),J45&lt;&gt;"",K45&lt;&gt;"",Q45&gt;0),SUM(O45:R45),""))</f>
        <v/>
      </c>
      <c r="T45" s="18" t="str">
        <f aca="false">IF(A45="","",IF(S45&lt;&gt;"",IF(AND(N(J45)&gt;0,Parametros!$B$27=0),"Lista (sin costo de impresión)","Lista"),IF(F45="","Tela. ","")&amp;IF(NOT(ISNUMBER(G45)),"Kg de tela. ","")&amp;IF(AND(F45&lt;&gt;"",NOT(ISNUMBER(IFERROR(INDEX(Precios!$D$5:$D$120,MATCH(F45,Precios!$A$5:$A$120,0)),"x")))),"Tela sin precio. ","")&amp;IF(J45="","Metros impresos. ","")&amp;IF(K45="","Confección. ",IF(Q45=0,"Confección sin valor. ",""))))</f>
        <v>Tela. Kg de tela. Metros impresos. </v>
      </c>
    </row>
    <row r="46" customFormat="false" ht="15" hidden="false" customHeight="false" outlineLevel="0" collapsed="false">
      <c r="A46" s="19" t="s">
        <v>310</v>
      </c>
      <c r="B46" s="10" t="s">
        <v>308</v>
      </c>
      <c r="C46" s="10" t="s">
        <v>287</v>
      </c>
      <c r="D46" s="10" t="s">
        <v>236</v>
      </c>
      <c r="E46" s="10" t="s">
        <v>240</v>
      </c>
      <c r="F46" s="11"/>
      <c r="G46" s="20"/>
      <c r="H46" s="11"/>
      <c r="I46" s="20"/>
      <c r="J46" s="21"/>
      <c r="K46" s="11" t="s">
        <v>309</v>
      </c>
      <c r="L46" s="12"/>
      <c r="M46" s="11" t="s">
        <v>45</v>
      </c>
      <c r="N46" s="13" t="s">
        <v>239</v>
      </c>
      <c r="O46" s="15" t="n">
        <f aca="false">IF(A46="","",IFERROR(G46*INDEX(Precios!$D$5:$D$120,MATCH(F46,Precios!$A$5:$A$120,0)),0)+IF(H46="",0,IFERROR(I46*INDEX(Precios!$D$5:$D$120,MATCH(H46,Precios!$A$5:$A$120,0)),0)))</f>
        <v>0</v>
      </c>
      <c r="P46" s="15" t="n">
        <f aca="false">IF(A46="","",N(J46)*Parametros!$B$27)</f>
        <v>0</v>
      </c>
      <c r="Q46" s="15" t="n">
        <f aca="false">IF(A46="","",IFERROR(INDEX(Confeccion!$B$5:$B$100,MATCH(K46,Confeccion!$A$5:$A$100,0)),0))</f>
        <v>2000</v>
      </c>
      <c r="R46" s="15" t="n">
        <f aca="false">IF(A46="","",N(L46))</f>
        <v>0</v>
      </c>
      <c r="S46" s="14" t="str">
        <f aca="false">IF(A46="","",IF(AND(F46&lt;&gt;"",ISNUMBER(G46),ISNUMBER(IFERROR(INDEX(Precios!$D$5:$D$120,MATCH(F46,Precios!$A$5:$A$120,0)),"x")),OR(H46="",ISNUMBER(IFERROR(INDEX(Precios!$D$5:$D$120,MATCH(H46,Precios!$A$5:$A$120,0)),"x"))),J46&lt;&gt;"",K46&lt;&gt;"",Q46&gt;0),SUM(O46:R46),""))</f>
        <v/>
      </c>
      <c r="T46" s="18" t="str">
        <f aca="false">IF(A46="","",IF(S46&lt;&gt;"",IF(AND(N(J46)&gt;0,Parametros!$B$27=0),"Lista (sin costo de impresión)","Lista"),IF(F46="","Tela. ","")&amp;IF(NOT(ISNUMBER(G46)),"Kg de tela. ","")&amp;IF(AND(F46&lt;&gt;"",NOT(ISNUMBER(IFERROR(INDEX(Precios!$D$5:$D$120,MATCH(F46,Precios!$A$5:$A$120,0)),"x")))),"Tela sin precio. ","")&amp;IF(J46="","Metros impresos. ","")&amp;IF(K46="","Confección. ",IF(Q46=0,"Confección sin valor. ",""))))</f>
        <v>Tela. Kg de tela. Metros impresos. </v>
      </c>
    </row>
    <row r="47" customFormat="false" ht="15" hidden="false" customHeight="false" outlineLevel="0" collapsed="false">
      <c r="A47" s="19" t="s">
        <v>311</v>
      </c>
      <c r="B47" s="10" t="s">
        <v>312</v>
      </c>
      <c r="C47" s="10" t="s">
        <v>287</v>
      </c>
      <c r="D47" s="10" t="s">
        <v>236</v>
      </c>
      <c r="E47" s="10" t="s">
        <v>237</v>
      </c>
      <c r="F47" s="11"/>
      <c r="G47" s="20"/>
      <c r="H47" s="11"/>
      <c r="I47" s="20"/>
      <c r="J47" s="21"/>
      <c r="K47" s="11" t="s">
        <v>309</v>
      </c>
      <c r="L47" s="12"/>
      <c r="M47" s="11" t="s">
        <v>45</v>
      </c>
      <c r="N47" s="13" t="s">
        <v>239</v>
      </c>
      <c r="O47" s="15" t="n">
        <f aca="false">IF(A47="","",IFERROR(G47*INDEX(Precios!$D$5:$D$120,MATCH(F47,Precios!$A$5:$A$120,0)),0)+IF(H47="",0,IFERROR(I47*INDEX(Precios!$D$5:$D$120,MATCH(H47,Precios!$A$5:$A$120,0)),0)))</f>
        <v>0</v>
      </c>
      <c r="P47" s="15" t="n">
        <f aca="false">IF(A47="","",N(J47)*Parametros!$B$27)</f>
        <v>0</v>
      </c>
      <c r="Q47" s="15" t="n">
        <f aca="false">IF(A47="","",IFERROR(INDEX(Confeccion!$B$5:$B$100,MATCH(K47,Confeccion!$A$5:$A$100,0)),0))</f>
        <v>2000</v>
      </c>
      <c r="R47" s="15" t="n">
        <f aca="false">IF(A47="","",N(L47))</f>
        <v>0</v>
      </c>
      <c r="S47" s="14" t="str">
        <f aca="false">IF(A47="","",IF(AND(F47&lt;&gt;"",ISNUMBER(G47),ISNUMBER(IFERROR(INDEX(Precios!$D$5:$D$120,MATCH(F47,Precios!$A$5:$A$120,0)),"x")),OR(H47="",ISNUMBER(IFERROR(INDEX(Precios!$D$5:$D$120,MATCH(H47,Precios!$A$5:$A$120,0)),"x"))),J47&lt;&gt;"",K47&lt;&gt;"",Q47&gt;0),SUM(O47:R47),""))</f>
        <v/>
      </c>
      <c r="T47" s="18" t="str">
        <f aca="false">IF(A47="","",IF(S47&lt;&gt;"",IF(AND(N(J47)&gt;0,Parametros!$B$27=0),"Lista (sin costo de impresión)","Lista"),IF(F47="","Tela. ","")&amp;IF(NOT(ISNUMBER(G47)),"Kg de tela. ","")&amp;IF(AND(F47&lt;&gt;"",NOT(ISNUMBER(IFERROR(INDEX(Precios!$D$5:$D$120,MATCH(F47,Precios!$A$5:$A$120,0)),"x")))),"Tela sin precio. ","")&amp;IF(J47="","Metros impresos. ","")&amp;IF(K47="","Confección. ",IF(Q47=0,"Confección sin valor. ",""))))</f>
        <v>Tela. Kg de tela. Metros impresos. </v>
      </c>
    </row>
    <row r="48" customFormat="false" ht="15" hidden="false" customHeight="false" outlineLevel="0" collapsed="false">
      <c r="A48" s="19" t="s">
        <v>313</v>
      </c>
      <c r="B48" s="10" t="s">
        <v>312</v>
      </c>
      <c r="C48" s="10" t="s">
        <v>287</v>
      </c>
      <c r="D48" s="10" t="s">
        <v>236</v>
      </c>
      <c r="E48" s="10" t="s">
        <v>240</v>
      </c>
      <c r="F48" s="11"/>
      <c r="G48" s="20"/>
      <c r="H48" s="11"/>
      <c r="I48" s="20"/>
      <c r="J48" s="21"/>
      <c r="K48" s="11" t="s">
        <v>309</v>
      </c>
      <c r="L48" s="12"/>
      <c r="M48" s="11" t="s">
        <v>45</v>
      </c>
      <c r="N48" s="13" t="s">
        <v>239</v>
      </c>
      <c r="O48" s="15" t="n">
        <f aca="false">IF(A48="","",IFERROR(G48*INDEX(Precios!$D$5:$D$120,MATCH(F48,Precios!$A$5:$A$120,0)),0)+IF(H48="",0,IFERROR(I48*INDEX(Precios!$D$5:$D$120,MATCH(H48,Precios!$A$5:$A$120,0)),0)))</f>
        <v>0</v>
      </c>
      <c r="P48" s="15" t="n">
        <f aca="false">IF(A48="","",N(J48)*Parametros!$B$27)</f>
        <v>0</v>
      </c>
      <c r="Q48" s="15" t="n">
        <f aca="false">IF(A48="","",IFERROR(INDEX(Confeccion!$B$5:$B$100,MATCH(K48,Confeccion!$A$5:$A$100,0)),0))</f>
        <v>2000</v>
      </c>
      <c r="R48" s="15" t="n">
        <f aca="false">IF(A48="","",N(L48))</f>
        <v>0</v>
      </c>
      <c r="S48" s="14" t="str">
        <f aca="false">IF(A48="","",IF(AND(F48&lt;&gt;"",ISNUMBER(G48),ISNUMBER(IFERROR(INDEX(Precios!$D$5:$D$120,MATCH(F48,Precios!$A$5:$A$120,0)),"x")),OR(H48="",ISNUMBER(IFERROR(INDEX(Precios!$D$5:$D$120,MATCH(H48,Precios!$A$5:$A$120,0)),"x"))),J48&lt;&gt;"",K48&lt;&gt;"",Q48&gt;0),SUM(O48:R48),""))</f>
        <v/>
      </c>
      <c r="T48" s="18" t="str">
        <f aca="false">IF(A48="","",IF(S48&lt;&gt;"",IF(AND(N(J48)&gt;0,Parametros!$B$27=0),"Lista (sin costo de impresión)","Lista"),IF(F48="","Tela. ","")&amp;IF(NOT(ISNUMBER(G48)),"Kg de tela. ","")&amp;IF(AND(F48&lt;&gt;"",NOT(ISNUMBER(IFERROR(INDEX(Precios!$D$5:$D$120,MATCH(F48,Precios!$A$5:$A$120,0)),"x")))),"Tela sin precio. ","")&amp;IF(J48="","Metros impresos. ","")&amp;IF(K48="","Confección. ",IF(Q48=0,"Confección sin valor. ",""))))</f>
        <v>Tela. Kg de tela. Metros impresos. </v>
      </c>
    </row>
    <row r="49" customFormat="false" ht="15" hidden="false" customHeight="false" outlineLevel="0" collapsed="false">
      <c r="A49" s="19" t="s">
        <v>314</v>
      </c>
      <c r="B49" s="10" t="s">
        <v>287</v>
      </c>
      <c r="C49" s="10" t="s">
        <v>287</v>
      </c>
      <c r="D49" s="10" t="s">
        <v>315</v>
      </c>
      <c r="E49" s="10" t="s">
        <v>237</v>
      </c>
      <c r="F49" s="11"/>
      <c r="G49" s="20"/>
      <c r="H49" s="11"/>
      <c r="I49" s="20"/>
      <c r="J49" s="21"/>
      <c r="K49" s="11" t="s">
        <v>316</v>
      </c>
      <c r="L49" s="12"/>
      <c r="M49" s="11" t="s">
        <v>45</v>
      </c>
      <c r="N49" s="13" t="s">
        <v>239</v>
      </c>
      <c r="O49" s="15" t="n">
        <f aca="false">IF(A49="","",IFERROR(G49*INDEX(Precios!$D$5:$D$120,MATCH(F49,Precios!$A$5:$A$120,0)),0)+IF(H49="",0,IFERROR(I49*INDEX(Precios!$D$5:$D$120,MATCH(H49,Precios!$A$5:$A$120,0)),0)))</f>
        <v>0</v>
      </c>
      <c r="P49" s="15" t="n">
        <f aca="false">IF(A49="","",N(J49)*Parametros!$B$27)</f>
        <v>0</v>
      </c>
      <c r="Q49" s="15" t="n">
        <f aca="false">IF(A49="","",IFERROR(INDEX(Confeccion!$B$5:$B$100,MATCH(K49,Confeccion!$A$5:$A$100,0)),0))</f>
        <v>1900</v>
      </c>
      <c r="R49" s="15" t="n">
        <f aca="false">IF(A49="","",N(L49))</f>
        <v>0</v>
      </c>
      <c r="S49" s="14" t="str">
        <f aca="false">IF(A49="","",IF(AND(F49&lt;&gt;"",ISNUMBER(G49),ISNUMBER(IFERROR(INDEX(Precios!$D$5:$D$120,MATCH(F49,Precios!$A$5:$A$120,0)),"x")),OR(H49="",ISNUMBER(IFERROR(INDEX(Precios!$D$5:$D$120,MATCH(H49,Precios!$A$5:$A$120,0)),"x"))),J49&lt;&gt;"",K49&lt;&gt;"",Q49&gt;0),SUM(O49:R49),""))</f>
        <v/>
      </c>
      <c r="T49" s="18" t="str">
        <f aca="false">IF(A49="","",IF(S49&lt;&gt;"",IF(AND(N(J49)&gt;0,Parametros!$B$27=0),"Lista (sin costo de impresión)","Lista"),IF(F49="","Tela. ","")&amp;IF(NOT(ISNUMBER(G49)),"Kg de tela. ","")&amp;IF(AND(F49&lt;&gt;"",NOT(ISNUMBER(IFERROR(INDEX(Precios!$D$5:$D$120,MATCH(F49,Precios!$A$5:$A$120,0)),"x")))),"Tela sin precio. ","")&amp;IF(J49="","Metros impresos. ","")&amp;IF(K49="","Confección. ",IF(Q49=0,"Confección sin valor. ",""))))</f>
        <v>Tela. Kg de tela. Metros impresos. </v>
      </c>
    </row>
    <row r="50" customFormat="false" ht="15" hidden="false" customHeight="false" outlineLevel="0" collapsed="false">
      <c r="A50" s="19" t="s">
        <v>317</v>
      </c>
      <c r="B50" s="10" t="s">
        <v>287</v>
      </c>
      <c r="C50" s="10" t="s">
        <v>287</v>
      </c>
      <c r="D50" s="10" t="s">
        <v>315</v>
      </c>
      <c r="E50" s="10" t="s">
        <v>240</v>
      </c>
      <c r="F50" s="11" t="s">
        <v>289</v>
      </c>
      <c r="G50" s="20" t="n">
        <v>0.1529</v>
      </c>
      <c r="H50" s="11"/>
      <c r="I50" s="20"/>
      <c r="J50" s="21"/>
      <c r="K50" s="11" t="s">
        <v>316</v>
      </c>
      <c r="L50" s="12"/>
      <c r="M50" s="11" t="s">
        <v>45</v>
      </c>
      <c r="N50" s="13" t="s">
        <v>318</v>
      </c>
      <c r="O50" s="15" t="n">
        <f aca="false">IF(A50="","",IFERROR(G50*INDEX(Precios!$D$5:$D$120,MATCH(F50,Precios!$A$5:$A$120,0)),0)+IF(H50="",0,IFERROR(I50*INDEX(Precios!$D$5:$D$120,MATCH(H50,Precios!$A$5:$A$120,0)),0)))</f>
        <v>1069.6884</v>
      </c>
      <c r="P50" s="15" t="n">
        <f aca="false">IF(A50="","",N(J50)*Parametros!$B$27)</f>
        <v>0</v>
      </c>
      <c r="Q50" s="15" t="n">
        <f aca="false">IF(A50="","",IFERROR(INDEX(Confeccion!$B$5:$B$100,MATCH(K50,Confeccion!$A$5:$A$100,0)),0))</f>
        <v>1900</v>
      </c>
      <c r="R50" s="15" t="n">
        <f aca="false">IF(A50="","",N(L50))</f>
        <v>0</v>
      </c>
      <c r="S50" s="14" t="str">
        <f aca="false">IF(A50="","",IF(AND(F50&lt;&gt;"",ISNUMBER(G50),ISNUMBER(IFERROR(INDEX(Precios!$D$5:$D$120,MATCH(F50,Precios!$A$5:$A$120,0)),"x")),OR(H50="",ISNUMBER(IFERROR(INDEX(Precios!$D$5:$D$120,MATCH(H50,Precios!$A$5:$A$120,0)),"x"))),J50&lt;&gt;"",K50&lt;&gt;"",Q50&gt;0),SUM(O50:R50),""))</f>
        <v/>
      </c>
      <c r="T50" s="18" t="str">
        <f aca="false">IF(A50="","",IF(S50&lt;&gt;"",IF(AND(N(J50)&gt;0,Parametros!$B$27=0),"Lista (sin costo de impresión)","Lista"),IF(F50="","Tela. ","")&amp;IF(NOT(ISNUMBER(G50)),"Kg de tela. ","")&amp;IF(AND(F50&lt;&gt;"",NOT(ISNUMBER(IFERROR(INDEX(Precios!$D$5:$D$120,MATCH(F50,Precios!$A$5:$A$120,0)),"x")))),"Tela sin precio. ","")&amp;IF(J50="","Metros impresos. ","")&amp;IF(K50="","Confección. ",IF(Q50=0,"Confección sin valor. ",""))))</f>
        <v>Metros impresos. </v>
      </c>
    </row>
    <row r="51" customFormat="false" ht="15" hidden="false" customHeight="false" outlineLevel="0" collapsed="false">
      <c r="A51" s="19" t="s">
        <v>319</v>
      </c>
      <c r="B51" s="10" t="s">
        <v>320</v>
      </c>
      <c r="C51" s="10" t="s">
        <v>287</v>
      </c>
      <c r="D51" s="10" t="s">
        <v>315</v>
      </c>
      <c r="E51" s="10" t="s">
        <v>243</v>
      </c>
      <c r="F51" s="11"/>
      <c r="G51" s="20"/>
      <c r="H51" s="11"/>
      <c r="I51" s="20"/>
      <c r="J51" s="21"/>
      <c r="K51" s="11" t="s">
        <v>316</v>
      </c>
      <c r="L51" s="12"/>
      <c r="M51" s="11" t="s">
        <v>45</v>
      </c>
      <c r="N51" s="13" t="s">
        <v>239</v>
      </c>
      <c r="O51" s="15" t="n">
        <f aca="false">IF(A51="","",IFERROR(G51*INDEX(Precios!$D$5:$D$120,MATCH(F51,Precios!$A$5:$A$120,0)),0)+IF(H51="",0,IFERROR(I51*INDEX(Precios!$D$5:$D$120,MATCH(H51,Precios!$A$5:$A$120,0)),0)))</f>
        <v>0</v>
      </c>
      <c r="P51" s="15" t="n">
        <f aca="false">IF(A51="","",N(J51)*Parametros!$B$27)</f>
        <v>0</v>
      </c>
      <c r="Q51" s="15" t="n">
        <f aca="false">IF(A51="","",IFERROR(INDEX(Confeccion!$B$5:$B$100,MATCH(K51,Confeccion!$A$5:$A$100,0)),0))</f>
        <v>1900</v>
      </c>
      <c r="R51" s="15" t="n">
        <f aca="false">IF(A51="","",N(L51))</f>
        <v>0</v>
      </c>
      <c r="S51" s="14" t="str">
        <f aca="false">IF(A51="","",IF(AND(F51&lt;&gt;"",ISNUMBER(G51),ISNUMBER(IFERROR(INDEX(Precios!$D$5:$D$120,MATCH(F51,Precios!$A$5:$A$120,0)),"x")),OR(H51="",ISNUMBER(IFERROR(INDEX(Precios!$D$5:$D$120,MATCH(H51,Precios!$A$5:$A$120,0)),"x"))),J51&lt;&gt;"",K51&lt;&gt;"",Q51&gt;0),SUM(O51:R51),""))</f>
        <v/>
      </c>
      <c r="T51" s="18" t="str">
        <f aca="false">IF(A51="","",IF(S51&lt;&gt;"",IF(AND(N(J51)&gt;0,Parametros!$B$27=0),"Lista (sin costo de impresión)","Lista"),IF(F51="","Tela. ","")&amp;IF(NOT(ISNUMBER(G51)),"Kg de tela. ","")&amp;IF(AND(F51&lt;&gt;"",NOT(ISNUMBER(IFERROR(INDEX(Precios!$D$5:$D$120,MATCH(F51,Precios!$A$5:$A$120,0)),"x")))),"Tela sin precio. ","")&amp;IF(J51="","Metros impresos. ","")&amp;IF(K51="","Confección. ",IF(Q51=0,"Confección sin valor. ",""))))</f>
        <v>Tela. Kg de tela. Metros impresos. </v>
      </c>
    </row>
    <row r="52" customFormat="false" ht="15" hidden="false" customHeight="false" outlineLevel="0" collapsed="false">
      <c r="A52" s="19" t="s">
        <v>321</v>
      </c>
      <c r="B52" s="10" t="s">
        <v>320</v>
      </c>
      <c r="C52" s="10" t="s">
        <v>287</v>
      </c>
      <c r="D52" s="10" t="s">
        <v>315</v>
      </c>
      <c r="E52" s="10" t="s">
        <v>245</v>
      </c>
      <c r="F52" s="11"/>
      <c r="G52" s="20"/>
      <c r="H52" s="11"/>
      <c r="I52" s="20"/>
      <c r="J52" s="21"/>
      <c r="K52" s="11" t="s">
        <v>316</v>
      </c>
      <c r="L52" s="12"/>
      <c r="M52" s="11" t="s">
        <v>45</v>
      </c>
      <c r="N52" s="13" t="s">
        <v>239</v>
      </c>
      <c r="O52" s="15" t="n">
        <f aca="false">IF(A52="","",IFERROR(G52*INDEX(Precios!$D$5:$D$120,MATCH(F52,Precios!$A$5:$A$120,0)),0)+IF(H52="",0,IFERROR(I52*INDEX(Precios!$D$5:$D$120,MATCH(H52,Precios!$A$5:$A$120,0)),0)))</f>
        <v>0</v>
      </c>
      <c r="P52" s="15" t="n">
        <f aca="false">IF(A52="","",N(J52)*Parametros!$B$27)</f>
        <v>0</v>
      </c>
      <c r="Q52" s="15" t="n">
        <f aca="false">IF(A52="","",IFERROR(INDEX(Confeccion!$B$5:$B$100,MATCH(K52,Confeccion!$A$5:$A$100,0)),0))</f>
        <v>1900</v>
      </c>
      <c r="R52" s="15" t="n">
        <f aca="false">IF(A52="","",N(L52))</f>
        <v>0</v>
      </c>
      <c r="S52" s="14" t="str">
        <f aca="false">IF(A52="","",IF(AND(F52&lt;&gt;"",ISNUMBER(G52),ISNUMBER(IFERROR(INDEX(Precios!$D$5:$D$120,MATCH(F52,Precios!$A$5:$A$120,0)),"x")),OR(H52="",ISNUMBER(IFERROR(INDEX(Precios!$D$5:$D$120,MATCH(H52,Precios!$A$5:$A$120,0)),"x"))),J52&lt;&gt;"",K52&lt;&gt;"",Q52&gt;0),SUM(O52:R52),""))</f>
        <v/>
      </c>
      <c r="T52" s="18" t="str">
        <f aca="false">IF(A52="","",IF(S52&lt;&gt;"",IF(AND(N(J52)&gt;0,Parametros!$B$27=0),"Lista (sin costo de impresión)","Lista"),IF(F52="","Tela. ","")&amp;IF(NOT(ISNUMBER(G52)),"Kg de tela. ","")&amp;IF(AND(F52&lt;&gt;"",NOT(ISNUMBER(IFERROR(INDEX(Precios!$D$5:$D$120,MATCH(F52,Precios!$A$5:$A$120,0)),"x")))),"Tela sin precio. ","")&amp;IF(J52="","Metros impresos. ","")&amp;IF(K52="","Confección. ",IF(Q52=0,"Confección sin valor. ",""))))</f>
        <v>Tela. Kg de tela. Metros impresos. </v>
      </c>
    </row>
    <row r="53" customFormat="false" ht="15" hidden="false" customHeight="false" outlineLevel="0" collapsed="false">
      <c r="A53" s="19" t="s">
        <v>322</v>
      </c>
      <c r="B53" s="10" t="s">
        <v>323</v>
      </c>
      <c r="C53" s="10" t="s">
        <v>287</v>
      </c>
      <c r="D53" s="10" t="s">
        <v>315</v>
      </c>
      <c r="E53" s="10" t="s">
        <v>237</v>
      </c>
      <c r="F53" s="11"/>
      <c r="G53" s="20"/>
      <c r="H53" s="11"/>
      <c r="I53" s="20"/>
      <c r="J53" s="21"/>
      <c r="K53" s="11" t="s">
        <v>324</v>
      </c>
      <c r="L53" s="12"/>
      <c r="M53" s="11" t="s">
        <v>45</v>
      </c>
      <c r="N53" s="13" t="s">
        <v>239</v>
      </c>
      <c r="O53" s="15" t="n">
        <f aca="false">IF(A53="","",IFERROR(G53*INDEX(Precios!$D$5:$D$120,MATCH(F53,Precios!$A$5:$A$120,0)),0)+IF(H53="",0,IFERROR(I53*INDEX(Precios!$D$5:$D$120,MATCH(H53,Precios!$A$5:$A$120,0)),0)))</f>
        <v>0</v>
      </c>
      <c r="P53" s="15" t="n">
        <f aca="false">IF(A53="","",N(J53)*Parametros!$B$27)</f>
        <v>0</v>
      </c>
      <c r="Q53" s="15" t="n">
        <f aca="false">IF(A53="","",IFERROR(INDEX(Confeccion!$B$5:$B$100,MATCH(K53,Confeccion!$A$5:$A$100,0)),0))</f>
        <v>2400</v>
      </c>
      <c r="R53" s="15" t="n">
        <f aca="false">IF(A53="","",N(L53))</f>
        <v>0</v>
      </c>
      <c r="S53" s="14" t="str">
        <f aca="false">IF(A53="","",IF(AND(F53&lt;&gt;"",ISNUMBER(G53),ISNUMBER(IFERROR(INDEX(Precios!$D$5:$D$120,MATCH(F53,Precios!$A$5:$A$120,0)),"x")),OR(H53="",ISNUMBER(IFERROR(INDEX(Precios!$D$5:$D$120,MATCH(H53,Precios!$A$5:$A$120,0)),"x"))),J53&lt;&gt;"",K53&lt;&gt;"",Q53&gt;0),SUM(O53:R53),""))</f>
        <v/>
      </c>
      <c r="T53" s="18" t="str">
        <f aca="false">IF(A53="","",IF(S53&lt;&gt;"",IF(AND(N(J53)&gt;0,Parametros!$B$27=0),"Lista (sin costo de impresión)","Lista"),IF(F53="","Tela. ","")&amp;IF(NOT(ISNUMBER(G53)),"Kg de tela. ","")&amp;IF(AND(F53&lt;&gt;"",NOT(ISNUMBER(IFERROR(INDEX(Precios!$D$5:$D$120,MATCH(F53,Precios!$A$5:$A$120,0)),"x")))),"Tela sin precio. ","")&amp;IF(J53="","Metros impresos. ","")&amp;IF(K53="","Confección. ",IF(Q53=0,"Confección sin valor. ",""))))</f>
        <v>Tela. Kg de tela. Metros impresos. </v>
      </c>
    </row>
    <row r="54" customFormat="false" ht="15" hidden="false" customHeight="false" outlineLevel="0" collapsed="false">
      <c r="A54" s="19" t="s">
        <v>325</v>
      </c>
      <c r="B54" s="10" t="s">
        <v>323</v>
      </c>
      <c r="C54" s="10" t="s">
        <v>287</v>
      </c>
      <c r="D54" s="10" t="s">
        <v>315</v>
      </c>
      <c r="E54" s="10" t="s">
        <v>240</v>
      </c>
      <c r="F54" s="11"/>
      <c r="G54" s="20"/>
      <c r="H54" s="11"/>
      <c r="I54" s="20"/>
      <c r="J54" s="21"/>
      <c r="K54" s="11" t="s">
        <v>324</v>
      </c>
      <c r="L54" s="12"/>
      <c r="M54" s="11" t="s">
        <v>45</v>
      </c>
      <c r="N54" s="13" t="s">
        <v>239</v>
      </c>
      <c r="O54" s="15" t="n">
        <f aca="false">IF(A54="","",IFERROR(G54*INDEX(Precios!$D$5:$D$120,MATCH(F54,Precios!$A$5:$A$120,0)),0)+IF(H54="",0,IFERROR(I54*INDEX(Precios!$D$5:$D$120,MATCH(H54,Precios!$A$5:$A$120,0)),0)))</f>
        <v>0</v>
      </c>
      <c r="P54" s="15" t="n">
        <f aca="false">IF(A54="","",N(J54)*Parametros!$B$27)</f>
        <v>0</v>
      </c>
      <c r="Q54" s="15" t="n">
        <f aca="false">IF(A54="","",IFERROR(INDEX(Confeccion!$B$5:$B$100,MATCH(K54,Confeccion!$A$5:$A$100,0)),0))</f>
        <v>2400</v>
      </c>
      <c r="R54" s="15" t="n">
        <f aca="false">IF(A54="","",N(L54))</f>
        <v>0</v>
      </c>
      <c r="S54" s="14" t="str">
        <f aca="false">IF(A54="","",IF(AND(F54&lt;&gt;"",ISNUMBER(G54),ISNUMBER(IFERROR(INDEX(Precios!$D$5:$D$120,MATCH(F54,Precios!$A$5:$A$120,0)),"x")),OR(H54="",ISNUMBER(IFERROR(INDEX(Precios!$D$5:$D$120,MATCH(H54,Precios!$A$5:$A$120,0)),"x"))),J54&lt;&gt;"",K54&lt;&gt;"",Q54&gt;0),SUM(O54:R54),""))</f>
        <v/>
      </c>
      <c r="T54" s="18" t="str">
        <f aca="false">IF(A54="","",IF(S54&lt;&gt;"",IF(AND(N(J54)&gt;0,Parametros!$B$27=0),"Lista (sin costo de impresión)","Lista"),IF(F54="","Tela. ","")&amp;IF(NOT(ISNUMBER(G54)),"Kg de tela. ","")&amp;IF(AND(F54&lt;&gt;"",NOT(ISNUMBER(IFERROR(INDEX(Precios!$D$5:$D$120,MATCH(F54,Precios!$A$5:$A$120,0)),"x")))),"Tela sin precio. ","")&amp;IF(J54="","Metros impresos. ","")&amp;IF(K54="","Confección. ",IF(Q54=0,"Confección sin valor. ",""))))</f>
        <v>Tela. Kg de tela. Metros impresos. </v>
      </c>
    </row>
    <row r="55" customFormat="false" ht="15" hidden="false" customHeight="false" outlineLevel="0" collapsed="false">
      <c r="A55" s="19" t="s">
        <v>326</v>
      </c>
      <c r="B55" s="10" t="s">
        <v>327</v>
      </c>
      <c r="C55" s="10" t="s">
        <v>287</v>
      </c>
      <c r="D55" s="10" t="s">
        <v>315</v>
      </c>
      <c r="E55" s="10" t="s">
        <v>243</v>
      </c>
      <c r="F55" s="11"/>
      <c r="G55" s="20"/>
      <c r="H55" s="11"/>
      <c r="I55" s="20"/>
      <c r="J55" s="21"/>
      <c r="K55" s="11" t="s">
        <v>324</v>
      </c>
      <c r="L55" s="12"/>
      <c r="M55" s="11" t="s">
        <v>45</v>
      </c>
      <c r="N55" s="13" t="s">
        <v>239</v>
      </c>
      <c r="O55" s="15" t="n">
        <f aca="false">IF(A55="","",IFERROR(G55*INDEX(Precios!$D$5:$D$120,MATCH(F55,Precios!$A$5:$A$120,0)),0)+IF(H55="",0,IFERROR(I55*INDEX(Precios!$D$5:$D$120,MATCH(H55,Precios!$A$5:$A$120,0)),0)))</f>
        <v>0</v>
      </c>
      <c r="P55" s="15" t="n">
        <f aca="false">IF(A55="","",N(J55)*Parametros!$B$27)</f>
        <v>0</v>
      </c>
      <c r="Q55" s="15" t="n">
        <f aca="false">IF(A55="","",IFERROR(INDEX(Confeccion!$B$5:$B$100,MATCH(K55,Confeccion!$A$5:$A$100,0)),0))</f>
        <v>2400</v>
      </c>
      <c r="R55" s="15" t="n">
        <f aca="false">IF(A55="","",N(L55))</f>
        <v>0</v>
      </c>
      <c r="S55" s="14" t="str">
        <f aca="false">IF(A55="","",IF(AND(F55&lt;&gt;"",ISNUMBER(G55),ISNUMBER(IFERROR(INDEX(Precios!$D$5:$D$120,MATCH(F55,Precios!$A$5:$A$120,0)),"x")),OR(H55="",ISNUMBER(IFERROR(INDEX(Precios!$D$5:$D$120,MATCH(H55,Precios!$A$5:$A$120,0)),"x"))),J55&lt;&gt;"",K55&lt;&gt;"",Q55&gt;0),SUM(O55:R55),""))</f>
        <v/>
      </c>
      <c r="T55" s="18" t="str">
        <f aca="false">IF(A55="","",IF(S55&lt;&gt;"",IF(AND(N(J55)&gt;0,Parametros!$B$27=0),"Lista (sin costo de impresión)","Lista"),IF(F55="","Tela. ","")&amp;IF(NOT(ISNUMBER(G55)),"Kg de tela. ","")&amp;IF(AND(F55&lt;&gt;"",NOT(ISNUMBER(IFERROR(INDEX(Precios!$D$5:$D$120,MATCH(F55,Precios!$A$5:$A$120,0)),"x")))),"Tela sin precio. ","")&amp;IF(J55="","Metros impresos. ","")&amp;IF(K55="","Confección. ",IF(Q55=0,"Confección sin valor. ",""))))</f>
        <v>Tela. Kg de tela. Metros impresos. </v>
      </c>
    </row>
    <row r="56" customFormat="false" ht="15" hidden="false" customHeight="false" outlineLevel="0" collapsed="false">
      <c r="A56" s="19" t="s">
        <v>328</v>
      </c>
      <c r="B56" s="10" t="s">
        <v>327</v>
      </c>
      <c r="C56" s="10" t="s">
        <v>287</v>
      </c>
      <c r="D56" s="10" t="s">
        <v>315</v>
      </c>
      <c r="E56" s="10" t="s">
        <v>245</v>
      </c>
      <c r="F56" s="11"/>
      <c r="G56" s="20"/>
      <c r="H56" s="11"/>
      <c r="I56" s="20"/>
      <c r="J56" s="21"/>
      <c r="K56" s="11" t="s">
        <v>324</v>
      </c>
      <c r="L56" s="12"/>
      <c r="M56" s="11" t="s">
        <v>45</v>
      </c>
      <c r="N56" s="13" t="s">
        <v>239</v>
      </c>
      <c r="O56" s="15" t="n">
        <f aca="false">IF(A56="","",IFERROR(G56*INDEX(Precios!$D$5:$D$120,MATCH(F56,Precios!$A$5:$A$120,0)),0)+IF(H56="",0,IFERROR(I56*INDEX(Precios!$D$5:$D$120,MATCH(H56,Precios!$A$5:$A$120,0)),0)))</f>
        <v>0</v>
      </c>
      <c r="P56" s="15" t="n">
        <f aca="false">IF(A56="","",N(J56)*Parametros!$B$27)</f>
        <v>0</v>
      </c>
      <c r="Q56" s="15" t="n">
        <f aca="false">IF(A56="","",IFERROR(INDEX(Confeccion!$B$5:$B$100,MATCH(K56,Confeccion!$A$5:$A$100,0)),0))</f>
        <v>2400</v>
      </c>
      <c r="R56" s="15" t="n">
        <f aca="false">IF(A56="","",N(L56))</f>
        <v>0</v>
      </c>
      <c r="S56" s="14" t="str">
        <f aca="false">IF(A56="","",IF(AND(F56&lt;&gt;"",ISNUMBER(G56),ISNUMBER(IFERROR(INDEX(Precios!$D$5:$D$120,MATCH(F56,Precios!$A$5:$A$120,0)),"x")),OR(H56="",ISNUMBER(IFERROR(INDEX(Precios!$D$5:$D$120,MATCH(H56,Precios!$A$5:$A$120,0)),"x"))),J56&lt;&gt;"",K56&lt;&gt;"",Q56&gt;0),SUM(O56:R56),""))</f>
        <v/>
      </c>
      <c r="T56" s="18" t="str">
        <f aca="false">IF(A56="","",IF(S56&lt;&gt;"",IF(AND(N(J56)&gt;0,Parametros!$B$27=0),"Lista (sin costo de impresión)","Lista"),IF(F56="","Tela. ","")&amp;IF(NOT(ISNUMBER(G56)),"Kg de tela. ","")&amp;IF(AND(F56&lt;&gt;"",NOT(ISNUMBER(IFERROR(INDEX(Precios!$D$5:$D$120,MATCH(F56,Precios!$A$5:$A$120,0)),"x")))),"Tela sin precio. ","")&amp;IF(J56="","Metros impresos. ","")&amp;IF(K56="","Confección. ",IF(Q56=0,"Confección sin valor. ",""))))</f>
        <v>Tela. Kg de tela. Metros impresos. </v>
      </c>
    </row>
    <row r="57" customFormat="false" ht="15" hidden="false" customHeight="false" outlineLevel="0" collapsed="false">
      <c r="A57" s="19" t="s">
        <v>329</v>
      </c>
      <c r="B57" s="10" t="s">
        <v>330</v>
      </c>
      <c r="C57" s="10" t="s">
        <v>287</v>
      </c>
      <c r="D57" s="10" t="s">
        <v>315</v>
      </c>
      <c r="E57" s="10" t="s">
        <v>237</v>
      </c>
      <c r="F57" s="11"/>
      <c r="G57" s="20"/>
      <c r="H57" s="11"/>
      <c r="I57" s="20"/>
      <c r="J57" s="21"/>
      <c r="K57" s="11" t="s">
        <v>331</v>
      </c>
      <c r="L57" s="12"/>
      <c r="M57" s="11" t="s">
        <v>45</v>
      </c>
      <c r="N57" s="13" t="s">
        <v>239</v>
      </c>
      <c r="O57" s="15" t="n">
        <f aca="false">IF(A57="","",IFERROR(G57*INDEX(Precios!$D$5:$D$120,MATCH(F57,Precios!$A$5:$A$120,0)),0)+IF(H57="",0,IFERROR(I57*INDEX(Precios!$D$5:$D$120,MATCH(H57,Precios!$A$5:$A$120,0)),0)))</f>
        <v>0</v>
      </c>
      <c r="P57" s="15" t="n">
        <f aca="false">IF(A57="","",N(J57)*Parametros!$B$27)</f>
        <v>0</v>
      </c>
      <c r="Q57" s="15" t="n">
        <f aca="false">IF(A57="","",IFERROR(INDEX(Confeccion!$B$5:$B$100,MATCH(K57,Confeccion!$A$5:$A$100,0)),0))</f>
        <v>2200</v>
      </c>
      <c r="R57" s="15" t="n">
        <f aca="false">IF(A57="","",N(L57))</f>
        <v>0</v>
      </c>
      <c r="S57" s="14" t="str">
        <f aca="false">IF(A57="","",IF(AND(F57&lt;&gt;"",ISNUMBER(G57),ISNUMBER(IFERROR(INDEX(Precios!$D$5:$D$120,MATCH(F57,Precios!$A$5:$A$120,0)),"x")),OR(H57="",ISNUMBER(IFERROR(INDEX(Precios!$D$5:$D$120,MATCH(H57,Precios!$A$5:$A$120,0)),"x"))),J57&lt;&gt;"",K57&lt;&gt;"",Q57&gt;0),SUM(O57:R57),""))</f>
        <v/>
      </c>
      <c r="T57" s="18" t="str">
        <f aca="false">IF(A57="","",IF(S57&lt;&gt;"",IF(AND(N(J57)&gt;0,Parametros!$B$27=0),"Lista (sin costo de impresión)","Lista"),IF(F57="","Tela. ","")&amp;IF(NOT(ISNUMBER(G57)),"Kg de tela. ","")&amp;IF(AND(F57&lt;&gt;"",NOT(ISNUMBER(IFERROR(INDEX(Precios!$D$5:$D$120,MATCH(F57,Precios!$A$5:$A$120,0)),"x")))),"Tela sin precio. ","")&amp;IF(J57="","Metros impresos. ","")&amp;IF(K57="","Confección. ",IF(Q57=0,"Confección sin valor. ",""))))</f>
        <v>Tela. Kg de tela. Metros impresos. </v>
      </c>
    </row>
    <row r="58" customFormat="false" ht="15" hidden="false" customHeight="false" outlineLevel="0" collapsed="false">
      <c r="A58" s="19" t="s">
        <v>332</v>
      </c>
      <c r="B58" s="10" t="s">
        <v>330</v>
      </c>
      <c r="C58" s="10" t="s">
        <v>287</v>
      </c>
      <c r="D58" s="10" t="s">
        <v>315</v>
      </c>
      <c r="E58" s="10" t="s">
        <v>240</v>
      </c>
      <c r="F58" s="11"/>
      <c r="G58" s="20"/>
      <c r="H58" s="11"/>
      <c r="I58" s="20"/>
      <c r="J58" s="21"/>
      <c r="K58" s="11" t="s">
        <v>331</v>
      </c>
      <c r="L58" s="12"/>
      <c r="M58" s="11" t="s">
        <v>45</v>
      </c>
      <c r="N58" s="13" t="s">
        <v>239</v>
      </c>
      <c r="O58" s="15" t="n">
        <f aca="false">IF(A58="","",IFERROR(G58*INDEX(Precios!$D$5:$D$120,MATCH(F58,Precios!$A$5:$A$120,0)),0)+IF(H58="",0,IFERROR(I58*INDEX(Precios!$D$5:$D$120,MATCH(H58,Precios!$A$5:$A$120,0)),0)))</f>
        <v>0</v>
      </c>
      <c r="P58" s="15" t="n">
        <f aca="false">IF(A58="","",N(J58)*Parametros!$B$27)</f>
        <v>0</v>
      </c>
      <c r="Q58" s="15" t="n">
        <f aca="false">IF(A58="","",IFERROR(INDEX(Confeccion!$B$5:$B$100,MATCH(K58,Confeccion!$A$5:$A$100,0)),0))</f>
        <v>2200</v>
      </c>
      <c r="R58" s="15" t="n">
        <f aca="false">IF(A58="","",N(L58))</f>
        <v>0</v>
      </c>
      <c r="S58" s="14" t="str">
        <f aca="false">IF(A58="","",IF(AND(F58&lt;&gt;"",ISNUMBER(G58),ISNUMBER(IFERROR(INDEX(Precios!$D$5:$D$120,MATCH(F58,Precios!$A$5:$A$120,0)),"x")),OR(H58="",ISNUMBER(IFERROR(INDEX(Precios!$D$5:$D$120,MATCH(H58,Precios!$A$5:$A$120,0)),"x"))),J58&lt;&gt;"",K58&lt;&gt;"",Q58&gt;0),SUM(O58:R58),""))</f>
        <v/>
      </c>
      <c r="T58" s="18" t="str">
        <f aca="false">IF(A58="","",IF(S58&lt;&gt;"",IF(AND(N(J58)&gt;0,Parametros!$B$27=0),"Lista (sin costo de impresión)","Lista"),IF(F58="","Tela. ","")&amp;IF(NOT(ISNUMBER(G58)),"Kg de tela. ","")&amp;IF(AND(F58&lt;&gt;"",NOT(ISNUMBER(IFERROR(INDEX(Precios!$D$5:$D$120,MATCH(F58,Precios!$A$5:$A$120,0)),"x")))),"Tela sin precio. ","")&amp;IF(J58="","Metros impresos. ","")&amp;IF(K58="","Confección. ",IF(Q58=0,"Confección sin valor. ",""))))</f>
        <v>Tela. Kg de tela. Metros impresos. </v>
      </c>
    </row>
    <row r="59" customFormat="false" ht="15" hidden="false" customHeight="false" outlineLevel="0" collapsed="false">
      <c r="A59" s="22" t="s">
        <v>333</v>
      </c>
      <c r="B59" s="23"/>
      <c r="C59" s="23"/>
      <c r="D59" s="23"/>
      <c r="E59" s="23"/>
      <c r="F59" s="23"/>
      <c r="G59" s="23"/>
      <c r="H59" s="23"/>
      <c r="I59" s="23"/>
      <c r="J59" s="23"/>
      <c r="K59" s="23"/>
      <c r="L59" s="23"/>
      <c r="M59" s="23"/>
      <c r="N59" s="23"/>
      <c r="O59" s="23"/>
      <c r="P59" s="23"/>
      <c r="Q59" s="23"/>
      <c r="R59" s="23"/>
      <c r="S59" s="23"/>
      <c r="T59" s="23"/>
    </row>
    <row r="60" customFormat="false" ht="22.35" hidden="false" customHeight="false" outlineLevel="0" collapsed="false">
      <c r="A60" s="19" t="s">
        <v>91</v>
      </c>
      <c r="B60" s="10" t="s">
        <v>334</v>
      </c>
      <c r="C60" s="10" t="s">
        <v>235</v>
      </c>
      <c r="D60" s="10" t="s">
        <v>315</v>
      </c>
      <c r="E60" s="10" t="s">
        <v>240</v>
      </c>
      <c r="F60" s="11" t="s">
        <v>246</v>
      </c>
      <c r="G60" s="20" t="n">
        <v>0.1609</v>
      </c>
      <c r="H60" s="11"/>
      <c r="I60" s="20"/>
      <c r="J60" s="21" t="n">
        <v>0</v>
      </c>
      <c r="K60" s="11" t="s">
        <v>335</v>
      </c>
      <c r="L60" s="12"/>
      <c r="M60" s="11" t="s">
        <v>45</v>
      </c>
      <c r="N60" s="13" t="s">
        <v>336</v>
      </c>
      <c r="O60" s="15" t="n">
        <f aca="false">IF(A60="","",IFERROR(G60*INDEX(Precios!$D$5:$D$120,MATCH(F60,Precios!$A$5:$A$120,0)),0)+IF(H60="",0,IFERROR(I60*INDEX(Precios!$D$5:$D$120,MATCH(H60,Precios!$A$5:$A$120,0)),0)))</f>
        <v>901.04</v>
      </c>
      <c r="P60" s="15" t="n">
        <f aca="false">IF(A60="","",N(J60)*Parametros!$B$27)</f>
        <v>0</v>
      </c>
      <c r="Q60" s="15" t="n">
        <f aca="false">IF(A60="","",IFERROR(INDEX(Confeccion!$B$5:$B$100,MATCH(K60,Confeccion!$A$5:$A$100,0)),0))</f>
        <v>1700</v>
      </c>
      <c r="R60" s="15" t="n">
        <f aca="false">IF(A60="","",N(L60))</f>
        <v>0</v>
      </c>
      <c r="S60" s="14" t="n">
        <f aca="false">IF(A60="","",IF(AND(F60&lt;&gt;"",ISNUMBER(G60),ISNUMBER(IFERROR(INDEX(Precios!$D$5:$D$120,MATCH(F60,Precios!$A$5:$A$120,0)),"x")),OR(H60="",ISNUMBER(IFERROR(INDEX(Precios!$D$5:$D$120,MATCH(H60,Precios!$A$5:$A$120,0)),"x"))),J60&lt;&gt;"",K60&lt;&gt;"",Q60&gt;0),SUM(O60:R60),""))</f>
        <v>2601.04</v>
      </c>
      <c r="T60" s="18" t="str">
        <f aca="false">IF(A60="","",IF(S60&lt;&gt;"",IF(AND(N(J60)&gt;0,Parametros!$B$27=0),"Lista (sin costo de impresión)","Lista"),IF(F60="","Tela. ","")&amp;IF(NOT(ISNUMBER(G60)),"Kg de tela. ","")&amp;IF(AND(F60&lt;&gt;"",NOT(ISNUMBER(IFERROR(INDEX(Precios!$D$5:$D$120,MATCH(F60,Precios!$A$5:$A$120,0)),"x")))),"Tela sin precio. ","")&amp;IF(J60="","Metros impresos. ","")&amp;IF(K60="","Confección. ",IF(Q60=0,"Confección sin valor. ",""))))</f>
        <v>Lista</v>
      </c>
    </row>
    <row r="61" customFormat="false" ht="15" hidden="false" customHeight="false" outlineLevel="0" collapsed="false">
      <c r="A61" s="19" t="s">
        <v>86</v>
      </c>
      <c r="B61" s="10" t="s">
        <v>337</v>
      </c>
      <c r="C61" s="10" t="s">
        <v>338</v>
      </c>
      <c r="D61" s="10" t="s">
        <v>315</v>
      </c>
      <c r="E61" s="10" t="s">
        <v>240</v>
      </c>
      <c r="F61" s="11" t="s">
        <v>339</v>
      </c>
      <c r="G61" s="20" t="n">
        <v>0.1842</v>
      </c>
      <c r="H61" s="11"/>
      <c r="I61" s="20"/>
      <c r="J61" s="21" t="n">
        <v>0</v>
      </c>
      <c r="K61" s="11" t="s">
        <v>340</v>
      </c>
      <c r="L61" s="12"/>
      <c r="M61" s="11" t="s">
        <v>45</v>
      </c>
      <c r="N61" s="13" t="s">
        <v>341</v>
      </c>
      <c r="O61" s="15" t="n">
        <f aca="false">IF(A61="","",IFERROR(G61*INDEX(Precios!$D$5:$D$120,MATCH(F61,Precios!$A$5:$A$120,0)),0)+IF(H61="",0,IFERROR(I61*INDEX(Precios!$D$5:$D$120,MATCH(H61,Precios!$A$5:$A$120,0)),0)))</f>
        <v>506.55</v>
      </c>
      <c r="P61" s="15" t="n">
        <f aca="false">IF(A61="","",N(J61)*Parametros!$B$27)</f>
        <v>0</v>
      </c>
      <c r="Q61" s="15" t="n">
        <f aca="false">IF(A61="","",IFERROR(INDEX(Confeccion!$B$5:$B$100,MATCH(K61,Confeccion!$A$5:$A$100,0)),0))</f>
        <v>2200</v>
      </c>
      <c r="R61" s="15" t="n">
        <f aca="false">IF(A61="","",N(L61))</f>
        <v>0</v>
      </c>
      <c r="S61" s="14" t="n">
        <f aca="false">IF(A61="","",IF(AND(F61&lt;&gt;"",ISNUMBER(G61),ISNUMBER(IFERROR(INDEX(Precios!$D$5:$D$120,MATCH(F61,Precios!$A$5:$A$120,0)),"x")),OR(H61="",ISNUMBER(IFERROR(INDEX(Precios!$D$5:$D$120,MATCH(H61,Precios!$A$5:$A$120,0)),"x"))),J61&lt;&gt;"",K61&lt;&gt;"",Q61&gt;0),SUM(O61:R61),""))</f>
        <v>2706.55</v>
      </c>
      <c r="T61" s="18" t="str">
        <f aca="false">IF(A61="","",IF(S61&lt;&gt;"",IF(AND(N(J61)&gt;0,Parametros!$B$27=0),"Lista (sin costo de impresión)","Lista"),IF(F61="","Tela. ","")&amp;IF(NOT(ISNUMBER(G61)),"Kg de tela. ","")&amp;IF(AND(F61&lt;&gt;"",NOT(ISNUMBER(IFERROR(INDEX(Precios!$D$5:$D$120,MATCH(F61,Precios!$A$5:$A$120,0)),"x")))),"Tela sin precio. ","")&amp;IF(J61="","Metros impresos. ","")&amp;IF(K61="","Confección. ",IF(Q61=0,"Confección sin valor. ",""))))</f>
        <v>Lista</v>
      </c>
    </row>
    <row r="62" customFormat="false" ht="15" hidden="false" customHeight="false" outlineLevel="0" collapsed="false">
      <c r="A62" s="19" t="s">
        <v>81</v>
      </c>
      <c r="B62" s="10" t="s">
        <v>342</v>
      </c>
      <c r="C62" s="10" t="s">
        <v>343</v>
      </c>
      <c r="D62" s="10" t="s">
        <v>236</v>
      </c>
      <c r="E62" s="10" t="s">
        <v>240</v>
      </c>
      <c r="F62" s="11" t="s">
        <v>344</v>
      </c>
      <c r="G62" s="20" t="n">
        <v>0.082</v>
      </c>
      <c r="H62" s="11"/>
      <c r="I62" s="20"/>
      <c r="J62" s="21" t="n">
        <v>1.2</v>
      </c>
      <c r="K62" s="11" t="s">
        <v>345</v>
      </c>
      <c r="L62" s="12"/>
      <c r="M62" s="11" t="s">
        <v>45</v>
      </c>
      <c r="N62" s="13" t="s">
        <v>346</v>
      </c>
      <c r="O62" s="15" t="n">
        <f aca="false">IF(A62="","",IFERROR(G62*INDEX(Precios!$D$5:$D$120,MATCH(F62,Precios!$A$5:$A$120,0)),0)+IF(H62="",0,IFERROR(I62*INDEX(Precios!$D$5:$D$120,MATCH(H62,Precios!$A$5:$A$120,0)),0)))</f>
        <v>348.008</v>
      </c>
      <c r="P62" s="15" t="n">
        <f aca="false">IF(A62="","",N(J62)*Parametros!$B$27)</f>
        <v>0</v>
      </c>
      <c r="Q62" s="15" t="n">
        <f aca="false">IF(A62="","",IFERROR(INDEX(Confeccion!$B$5:$B$100,MATCH(K62,Confeccion!$A$5:$A$100,0)),0))</f>
        <v>1800</v>
      </c>
      <c r="R62" s="15" t="n">
        <f aca="false">IF(A62="","",N(L62))</f>
        <v>0</v>
      </c>
      <c r="S62" s="14" t="n">
        <f aca="false">IF(A62="","",IF(AND(F62&lt;&gt;"",ISNUMBER(G62),ISNUMBER(IFERROR(INDEX(Precios!$D$5:$D$120,MATCH(F62,Precios!$A$5:$A$120,0)),"x")),OR(H62="",ISNUMBER(IFERROR(INDEX(Precios!$D$5:$D$120,MATCH(H62,Precios!$A$5:$A$120,0)),"x"))),J62&lt;&gt;"",K62&lt;&gt;"",Q62&gt;0),SUM(O62:R62),""))</f>
        <v>2148.008</v>
      </c>
      <c r="T62" s="18" t="str">
        <f aca="false">IF(A62="","",IF(S62&lt;&gt;"",IF(AND(N(J62)&gt;0,Parametros!$B$27=0),"Lista (sin costo de impresión)","Lista"),IF(F62="","Tela. ","")&amp;IF(NOT(ISNUMBER(G62)),"Kg de tela. ","")&amp;IF(AND(F62&lt;&gt;"",NOT(ISNUMBER(IFERROR(INDEX(Precios!$D$5:$D$120,MATCH(F62,Precios!$A$5:$A$120,0)),"x")))),"Tela sin precio. ","")&amp;IF(J62="","Metros impresos. ","")&amp;IF(K62="","Confección. ",IF(Q62=0,"Confección sin valor. ",""))))</f>
        <v>Lista (sin costo de impresión)</v>
      </c>
    </row>
    <row r="63" customFormat="false" ht="15" hidden="false" customHeight="false" outlineLevel="0" collapsed="false">
      <c r="A63" s="19" t="s">
        <v>196</v>
      </c>
      <c r="B63" s="10" t="s">
        <v>347</v>
      </c>
      <c r="C63" s="10" t="s">
        <v>348</v>
      </c>
      <c r="D63" s="10" t="s">
        <v>349</v>
      </c>
      <c r="E63" s="10" t="s">
        <v>240</v>
      </c>
      <c r="F63" s="11" t="s">
        <v>350</v>
      </c>
      <c r="G63" s="20" t="n">
        <v>0.074</v>
      </c>
      <c r="H63" s="11"/>
      <c r="I63" s="20"/>
      <c r="J63" s="21" t="n">
        <v>0</v>
      </c>
      <c r="K63" s="11" t="s">
        <v>349</v>
      </c>
      <c r="L63" s="12"/>
      <c r="M63" s="11" t="s">
        <v>45</v>
      </c>
      <c r="N63" s="13" t="s">
        <v>351</v>
      </c>
      <c r="O63" s="15" t="n">
        <f aca="false">IF(A63="","",IFERROR(G63*INDEX(Precios!$D$5:$D$120,MATCH(F63,Precios!$A$5:$A$120,0)),0)+IF(H63="",0,IFERROR(I63*INDEX(Precios!$D$5:$D$120,MATCH(H63,Precios!$A$5:$A$120,0)),0)))</f>
        <v>0</v>
      </c>
      <c r="P63" s="15" t="n">
        <f aca="false">IF(A63="","",N(J63)*Parametros!$B$27)</f>
        <v>0</v>
      </c>
      <c r="Q63" s="15" t="n">
        <f aca="false">IF(A63="","",IFERROR(INDEX(Confeccion!$B$5:$B$100,MATCH(K63,Confeccion!$A$5:$A$100,0)),0))</f>
        <v>1200</v>
      </c>
      <c r="R63" s="15" t="n">
        <f aca="false">IF(A63="","",N(L63))</f>
        <v>0</v>
      </c>
      <c r="S63" s="14" t="str">
        <f aca="false">IF(A63="","",IF(AND(F63&lt;&gt;"",ISNUMBER(G63),ISNUMBER(IFERROR(INDEX(Precios!$D$5:$D$120,MATCH(F63,Precios!$A$5:$A$120,0)),"x")),OR(H63="",ISNUMBER(IFERROR(INDEX(Precios!$D$5:$D$120,MATCH(H63,Precios!$A$5:$A$120,0)),"x"))),J63&lt;&gt;"",K63&lt;&gt;"",Q63&gt;0),SUM(O63:R63),""))</f>
        <v/>
      </c>
      <c r="T63" s="18" t="str">
        <f aca="false">IF(A63="","",IF(S63&lt;&gt;"",IF(AND(N(J63)&gt;0,Parametros!$B$27=0),"Lista (sin costo de impresión)","Lista"),IF(F63="","Tela. ","")&amp;IF(NOT(ISNUMBER(G63)),"Kg de tela. ","")&amp;IF(AND(F63&lt;&gt;"",NOT(ISNUMBER(IFERROR(INDEX(Precios!$D$5:$D$120,MATCH(F63,Precios!$A$5:$A$120,0)),"x")))),"Tela sin precio. ","")&amp;IF(J63="","Metros impresos. ","")&amp;IF(K63="","Confección. ",IF(Q63=0,"Confección sin valor. ",""))))</f>
        <v>Tela sin precio. </v>
      </c>
    </row>
    <row r="64" customFormat="false" ht="15" hidden="false" customHeight="false" outlineLevel="0" collapsed="false">
      <c r="A64" s="11"/>
      <c r="B64" s="11"/>
      <c r="C64" s="11"/>
      <c r="D64" s="11"/>
      <c r="E64" s="11"/>
      <c r="F64" s="11"/>
      <c r="G64" s="20"/>
      <c r="H64" s="11"/>
      <c r="I64" s="20"/>
      <c r="J64" s="21"/>
      <c r="K64" s="11"/>
      <c r="L64" s="12"/>
      <c r="M64" s="11"/>
      <c r="N64" s="13" t="s">
        <v>352</v>
      </c>
      <c r="O64" s="15" t="str">
        <f aca="false">IF(A64="","",IFERROR(G64*INDEX(Precios!$D$5:$D$120,MATCH(F64,Precios!$A$5:$A$120,0)),0)+IF(H64="",0,IFERROR(I64*INDEX(Precios!$D$5:$D$120,MATCH(H64,Precios!$A$5:$A$120,0)),0)))</f>
        <v/>
      </c>
      <c r="P64" s="15" t="str">
        <f aca="false">IF(A64="","",N(J64)*Parametros!$B$27)</f>
        <v/>
      </c>
      <c r="Q64" s="15" t="str">
        <f aca="false">IF(A64="","",IFERROR(INDEX(Confeccion!$B$5:$B$100,MATCH(K64,Confeccion!$A$5:$A$100,0)),0))</f>
        <v/>
      </c>
      <c r="R64" s="15" t="str">
        <f aca="false">IF(A64="","",N(L64))</f>
        <v/>
      </c>
      <c r="S64" s="14" t="str">
        <f aca="false">IF(A64="","",IF(AND(F64&lt;&gt;"",ISNUMBER(G64),ISNUMBER(IFERROR(INDEX(Precios!$D$5:$D$120,MATCH(F64,Precios!$A$5:$A$120,0)),"x")),OR(H64="",ISNUMBER(IFERROR(INDEX(Precios!$D$5:$D$120,MATCH(H64,Precios!$A$5:$A$120,0)),"x"))),J64&lt;&gt;"",K64&lt;&gt;"",Q64&gt;0),SUM(O64:R64),""))</f>
        <v/>
      </c>
      <c r="T64" s="18" t="str">
        <f aca="false">IF(A64="","",IF(S64&lt;&gt;"",IF(AND(N(J64)&gt;0,Parametros!$B$27=0),"Lista (sin costo de impresión)","Lista"),IF(F64="","Tela. ","")&amp;IF(NOT(ISNUMBER(G64)),"Kg de tela. ","")&amp;IF(AND(F64&lt;&gt;"",NOT(ISNUMBER(IFERROR(INDEX(Precios!$D$5:$D$120,MATCH(F64,Precios!$A$5:$A$120,0)),"x")))),"Tela sin precio. ","")&amp;IF(J64="","Metros impresos. ","")&amp;IF(K64="","Confección. ",IF(Q64=0,"Confección sin valor. ",""))))</f>
        <v/>
      </c>
    </row>
    <row r="65" customFormat="false" ht="15" hidden="false" customHeight="false" outlineLevel="0" collapsed="false">
      <c r="A65" s="11"/>
      <c r="B65" s="11"/>
      <c r="C65" s="11"/>
      <c r="D65" s="11"/>
      <c r="E65" s="11"/>
      <c r="F65" s="11"/>
      <c r="G65" s="20"/>
      <c r="H65" s="11"/>
      <c r="I65" s="20"/>
      <c r="J65" s="21"/>
      <c r="K65" s="11"/>
      <c r="L65" s="12"/>
      <c r="M65" s="11"/>
      <c r="O65" s="15" t="str">
        <f aca="false">IF(A65="","",IFERROR(G65*INDEX(Precios!$D$5:$D$120,MATCH(F65,Precios!$A$5:$A$120,0)),0)+IF(H65="",0,IFERROR(I65*INDEX(Precios!$D$5:$D$120,MATCH(H65,Precios!$A$5:$A$120,0)),0)))</f>
        <v/>
      </c>
      <c r="P65" s="15" t="str">
        <f aca="false">IF(A65="","",N(J65)*Parametros!$B$27)</f>
        <v/>
      </c>
      <c r="Q65" s="15" t="str">
        <f aca="false">IF(A65="","",IFERROR(INDEX(Confeccion!$B$5:$B$100,MATCH(K65,Confeccion!$A$5:$A$100,0)),0))</f>
        <v/>
      </c>
      <c r="R65" s="15" t="str">
        <f aca="false">IF(A65="","",N(L65))</f>
        <v/>
      </c>
      <c r="S65" s="14" t="str">
        <f aca="false">IF(A65="","",IF(AND(F65&lt;&gt;"",ISNUMBER(G65),ISNUMBER(IFERROR(INDEX(Precios!$D$5:$D$120,MATCH(F65,Precios!$A$5:$A$120,0)),"x")),OR(H65="",ISNUMBER(IFERROR(INDEX(Precios!$D$5:$D$120,MATCH(H65,Precios!$A$5:$A$120,0)),"x"))),J65&lt;&gt;"",K65&lt;&gt;"",Q65&gt;0),SUM(O65:R65),""))</f>
        <v/>
      </c>
      <c r="T65" s="18" t="str">
        <f aca="false">IF(A65="","",IF(S65&lt;&gt;"",IF(AND(N(J65)&gt;0,Parametros!$B$27=0),"Lista (sin costo de impresión)","Lista"),IF(F65="","Tela. ","")&amp;IF(NOT(ISNUMBER(G65)),"Kg de tela. ","")&amp;IF(AND(F65&lt;&gt;"",NOT(ISNUMBER(IFERROR(INDEX(Precios!$D$5:$D$120,MATCH(F65,Precios!$A$5:$A$120,0)),"x")))),"Tela sin precio. ","")&amp;IF(J65="","Metros impresos. ","")&amp;IF(K65="","Confección. ",IF(Q65=0,"Confección sin valor. ",""))))</f>
        <v/>
      </c>
    </row>
    <row r="66" customFormat="false" ht="15" hidden="false" customHeight="false" outlineLevel="0" collapsed="false">
      <c r="A66" s="11"/>
      <c r="B66" s="11"/>
      <c r="C66" s="11"/>
      <c r="D66" s="11"/>
      <c r="E66" s="11"/>
      <c r="F66" s="11"/>
      <c r="G66" s="20"/>
      <c r="H66" s="11"/>
      <c r="I66" s="20"/>
      <c r="J66" s="21"/>
      <c r="K66" s="11"/>
      <c r="L66" s="12"/>
      <c r="M66" s="11"/>
      <c r="O66" s="15" t="str">
        <f aca="false">IF(A66="","",IFERROR(G66*INDEX(Precios!$D$5:$D$120,MATCH(F66,Precios!$A$5:$A$120,0)),0)+IF(H66="",0,IFERROR(I66*INDEX(Precios!$D$5:$D$120,MATCH(H66,Precios!$A$5:$A$120,0)),0)))</f>
        <v/>
      </c>
      <c r="P66" s="15" t="str">
        <f aca="false">IF(A66="","",N(J66)*Parametros!$B$27)</f>
        <v/>
      </c>
      <c r="Q66" s="15" t="str">
        <f aca="false">IF(A66="","",IFERROR(INDEX(Confeccion!$B$5:$B$100,MATCH(K66,Confeccion!$A$5:$A$100,0)),0))</f>
        <v/>
      </c>
      <c r="R66" s="15" t="str">
        <f aca="false">IF(A66="","",N(L66))</f>
        <v/>
      </c>
      <c r="S66" s="14" t="str">
        <f aca="false">IF(A66="","",IF(AND(F66&lt;&gt;"",ISNUMBER(G66),ISNUMBER(IFERROR(INDEX(Precios!$D$5:$D$120,MATCH(F66,Precios!$A$5:$A$120,0)),"x")),OR(H66="",ISNUMBER(IFERROR(INDEX(Precios!$D$5:$D$120,MATCH(H66,Precios!$A$5:$A$120,0)),"x"))),J66&lt;&gt;"",K66&lt;&gt;"",Q66&gt;0),SUM(O66:R66),""))</f>
        <v/>
      </c>
      <c r="T66" s="18" t="str">
        <f aca="false">IF(A66="","",IF(S66&lt;&gt;"",IF(AND(N(J66)&gt;0,Parametros!$B$27=0),"Lista (sin costo de impresión)","Lista"),IF(F66="","Tela. ","")&amp;IF(NOT(ISNUMBER(G66)),"Kg de tela. ","")&amp;IF(AND(F66&lt;&gt;"",NOT(ISNUMBER(IFERROR(INDEX(Precios!$D$5:$D$120,MATCH(F66,Precios!$A$5:$A$120,0)),"x")))),"Tela sin precio. ","")&amp;IF(J66="","Metros impresos. ","")&amp;IF(K66="","Confección. ",IF(Q66=0,"Confección sin valor. ",""))))</f>
        <v/>
      </c>
    </row>
    <row r="67" customFormat="false" ht="15" hidden="false" customHeight="false" outlineLevel="0" collapsed="false">
      <c r="A67" s="11"/>
      <c r="B67" s="11"/>
      <c r="C67" s="11"/>
      <c r="D67" s="11"/>
      <c r="E67" s="11"/>
      <c r="F67" s="11"/>
      <c r="G67" s="20"/>
      <c r="H67" s="11"/>
      <c r="I67" s="20"/>
      <c r="J67" s="21"/>
      <c r="K67" s="11"/>
      <c r="L67" s="12"/>
      <c r="M67" s="11"/>
      <c r="O67" s="15" t="str">
        <f aca="false">IF(A67="","",IFERROR(G67*INDEX(Precios!$D$5:$D$120,MATCH(F67,Precios!$A$5:$A$120,0)),0)+IF(H67="",0,IFERROR(I67*INDEX(Precios!$D$5:$D$120,MATCH(H67,Precios!$A$5:$A$120,0)),0)))</f>
        <v/>
      </c>
      <c r="P67" s="15" t="str">
        <f aca="false">IF(A67="","",N(J67)*Parametros!$B$27)</f>
        <v/>
      </c>
      <c r="Q67" s="15" t="str">
        <f aca="false">IF(A67="","",IFERROR(INDEX(Confeccion!$B$5:$B$100,MATCH(K67,Confeccion!$A$5:$A$100,0)),0))</f>
        <v/>
      </c>
      <c r="R67" s="15" t="str">
        <f aca="false">IF(A67="","",N(L67))</f>
        <v/>
      </c>
      <c r="S67" s="14" t="str">
        <f aca="false">IF(A67="","",IF(AND(F67&lt;&gt;"",ISNUMBER(G67),ISNUMBER(IFERROR(INDEX(Precios!$D$5:$D$120,MATCH(F67,Precios!$A$5:$A$120,0)),"x")),OR(H67="",ISNUMBER(IFERROR(INDEX(Precios!$D$5:$D$120,MATCH(H67,Precios!$A$5:$A$120,0)),"x"))),J67&lt;&gt;"",K67&lt;&gt;"",Q67&gt;0),SUM(O67:R67),""))</f>
        <v/>
      </c>
      <c r="T67" s="18" t="str">
        <f aca="false">IF(A67="","",IF(S67&lt;&gt;"",IF(AND(N(J67)&gt;0,Parametros!$B$27=0),"Lista (sin costo de impresión)","Lista"),IF(F67="","Tela. ","")&amp;IF(NOT(ISNUMBER(G67)),"Kg de tela. ","")&amp;IF(AND(F67&lt;&gt;"",NOT(ISNUMBER(IFERROR(INDEX(Precios!$D$5:$D$120,MATCH(F67,Precios!$A$5:$A$120,0)),"x")))),"Tela sin precio. ","")&amp;IF(J67="","Metros impresos. ","")&amp;IF(K67="","Confección. ",IF(Q67=0,"Confección sin valor. ",""))))</f>
        <v/>
      </c>
    </row>
    <row r="68" customFormat="false" ht="15" hidden="false" customHeight="false" outlineLevel="0" collapsed="false">
      <c r="A68" s="11"/>
      <c r="B68" s="11"/>
      <c r="C68" s="11"/>
      <c r="D68" s="11"/>
      <c r="E68" s="11"/>
      <c r="F68" s="11"/>
      <c r="G68" s="20"/>
      <c r="H68" s="11"/>
      <c r="I68" s="20"/>
      <c r="J68" s="21"/>
      <c r="K68" s="11"/>
      <c r="L68" s="12"/>
      <c r="M68" s="11"/>
      <c r="O68" s="15" t="str">
        <f aca="false">IF(A68="","",IFERROR(G68*INDEX(Precios!$D$5:$D$120,MATCH(F68,Precios!$A$5:$A$120,0)),0)+IF(H68="",0,IFERROR(I68*INDEX(Precios!$D$5:$D$120,MATCH(H68,Precios!$A$5:$A$120,0)),0)))</f>
        <v/>
      </c>
      <c r="P68" s="15" t="str">
        <f aca="false">IF(A68="","",N(J68)*Parametros!$B$27)</f>
        <v/>
      </c>
      <c r="Q68" s="15" t="str">
        <f aca="false">IF(A68="","",IFERROR(INDEX(Confeccion!$B$5:$B$100,MATCH(K68,Confeccion!$A$5:$A$100,0)),0))</f>
        <v/>
      </c>
      <c r="R68" s="15" t="str">
        <f aca="false">IF(A68="","",N(L68))</f>
        <v/>
      </c>
      <c r="S68" s="14" t="str">
        <f aca="false">IF(A68="","",IF(AND(F68&lt;&gt;"",ISNUMBER(G68),ISNUMBER(IFERROR(INDEX(Precios!$D$5:$D$120,MATCH(F68,Precios!$A$5:$A$120,0)),"x")),OR(H68="",ISNUMBER(IFERROR(INDEX(Precios!$D$5:$D$120,MATCH(H68,Precios!$A$5:$A$120,0)),"x"))),J68&lt;&gt;"",K68&lt;&gt;"",Q68&gt;0),SUM(O68:R68),""))</f>
        <v/>
      </c>
      <c r="T68" s="18" t="str">
        <f aca="false">IF(A68="","",IF(S68&lt;&gt;"",IF(AND(N(J68)&gt;0,Parametros!$B$27=0),"Lista (sin costo de impresión)","Lista"),IF(F68="","Tela. ","")&amp;IF(NOT(ISNUMBER(G68)),"Kg de tela. ","")&amp;IF(AND(F68&lt;&gt;"",NOT(ISNUMBER(IFERROR(INDEX(Precios!$D$5:$D$120,MATCH(F68,Precios!$A$5:$A$120,0)),"x")))),"Tela sin precio. ","")&amp;IF(J68="","Metros impresos. ","")&amp;IF(K68="","Confección. ",IF(Q68=0,"Confección sin valor. ",""))))</f>
        <v/>
      </c>
    </row>
    <row r="69" customFormat="false" ht="15" hidden="false" customHeight="false" outlineLevel="0" collapsed="false">
      <c r="A69" s="11"/>
      <c r="B69" s="11"/>
      <c r="C69" s="11"/>
      <c r="D69" s="11"/>
      <c r="E69" s="11"/>
      <c r="F69" s="11"/>
      <c r="G69" s="20"/>
      <c r="H69" s="11"/>
      <c r="I69" s="20"/>
      <c r="J69" s="21"/>
      <c r="K69" s="11"/>
      <c r="L69" s="12"/>
      <c r="M69" s="11"/>
      <c r="O69" s="15" t="str">
        <f aca="false">IF(A69="","",IFERROR(G69*INDEX(Precios!$D$5:$D$120,MATCH(F69,Precios!$A$5:$A$120,0)),0)+IF(H69="",0,IFERROR(I69*INDEX(Precios!$D$5:$D$120,MATCH(H69,Precios!$A$5:$A$120,0)),0)))</f>
        <v/>
      </c>
      <c r="P69" s="15" t="str">
        <f aca="false">IF(A69="","",N(J69)*Parametros!$B$27)</f>
        <v/>
      </c>
      <c r="Q69" s="15" t="str">
        <f aca="false">IF(A69="","",IFERROR(INDEX(Confeccion!$B$5:$B$100,MATCH(K69,Confeccion!$A$5:$A$100,0)),0))</f>
        <v/>
      </c>
      <c r="R69" s="15" t="str">
        <f aca="false">IF(A69="","",N(L69))</f>
        <v/>
      </c>
      <c r="S69" s="14" t="str">
        <f aca="false">IF(A69="","",IF(AND(F69&lt;&gt;"",ISNUMBER(G69),ISNUMBER(IFERROR(INDEX(Precios!$D$5:$D$120,MATCH(F69,Precios!$A$5:$A$120,0)),"x")),OR(H69="",ISNUMBER(IFERROR(INDEX(Precios!$D$5:$D$120,MATCH(H69,Precios!$A$5:$A$120,0)),"x"))),J69&lt;&gt;"",K69&lt;&gt;"",Q69&gt;0),SUM(O69:R69),""))</f>
        <v/>
      </c>
      <c r="T69" s="18" t="str">
        <f aca="false">IF(A69="","",IF(S69&lt;&gt;"",IF(AND(N(J69)&gt;0,Parametros!$B$27=0),"Lista (sin costo de impresión)","Lista"),IF(F69="","Tela. ","")&amp;IF(NOT(ISNUMBER(G69)),"Kg de tela. ","")&amp;IF(AND(F69&lt;&gt;"",NOT(ISNUMBER(IFERROR(INDEX(Precios!$D$5:$D$120,MATCH(F69,Precios!$A$5:$A$120,0)),"x")))),"Tela sin precio. ","")&amp;IF(J69="","Metros impresos. ","")&amp;IF(K69="","Confección. ",IF(Q69=0,"Confección sin valor. ",""))))</f>
        <v/>
      </c>
    </row>
    <row r="70" customFormat="false" ht="15" hidden="false" customHeight="false" outlineLevel="0" collapsed="false">
      <c r="A70" s="11"/>
      <c r="B70" s="11"/>
      <c r="C70" s="11"/>
      <c r="D70" s="11"/>
      <c r="E70" s="11"/>
      <c r="F70" s="11"/>
      <c r="G70" s="20"/>
      <c r="H70" s="11"/>
      <c r="I70" s="20"/>
      <c r="J70" s="21"/>
      <c r="K70" s="11"/>
      <c r="L70" s="12"/>
      <c r="M70" s="11"/>
      <c r="O70" s="15" t="str">
        <f aca="false">IF(A70="","",IFERROR(G70*INDEX(Precios!$D$5:$D$120,MATCH(F70,Precios!$A$5:$A$120,0)),0)+IF(H70="",0,IFERROR(I70*INDEX(Precios!$D$5:$D$120,MATCH(H70,Precios!$A$5:$A$120,0)),0)))</f>
        <v/>
      </c>
      <c r="P70" s="15" t="str">
        <f aca="false">IF(A70="","",N(J70)*Parametros!$B$27)</f>
        <v/>
      </c>
      <c r="Q70" s="15" t="str">
        <f aca="false">IF(A70="","",IFERROR(INDEX(Confeccion!$B$5:$B$100,MATCH(K70,Confeccion!$A$5:$A$100,0)),0))</f>
        <v/>
      </c>
      <c r="R70" s="15" t="str">
        <f aca="false">IF(A70="","",N(L70))</f>
        <v/>
      </c>
      <c r="S70" s="14" t="str">
        <f aca="false">IF(A70="","",IF(AND(F70&lt;&gt;"",ISNUMBER(G70),ISNUMBER(IFERROR(INDEX(Precios!$D$5:$D$120,MATCH(F70,Precios!$A$5:$A$120,0)),"x")),OR(H70="",ISNUMBER(IFERROR(INDEX(Precios!$D$5:$D$120,MATCH(H70,Precios!$A$5:$A$120,0)),"x"))),J70&lt;&gt;"",K70&lt;&gt;"",Q70&gt;0),SUM(O70:R70),""))</f>
        <v/>
      </c>
      <c r="T70" s="18" t="str">
        <f aca="false">IF(A70="","",IF(S70&lt;&gt;"",IF(AND(N(J70)&gt;0,Parametros!$B$27=0),"Lista (sin costo de impresión)","Lista"),IF(F70="","Tela. ","")&amp;IF(NOT(ISNUMBER(G70)),"Kg de tela. ","")&amp;IF(AND(F70&lt;&gt;"",NOT(ISNUMBER(IFERROR(INDEX(Precios!$D$5:$D$120,MATCH(F70,Precios!$A$5:$A$120,0)),"x")))),"Tela sin precio. ","")&amp;IF(J70="","Metros impresos. ","")&amp;IF(K70="","Confección. ",IF(Q70=0,"Confección sin valor. ",""))))</f>
        <v/>
      </c>
    </row>
    <row r="71" customFormat="false" ht="15" hidden="false" customHeight="false" outlineLevel="0" collapsed="false">
      <c r="A71" s="11"/>
      <c r="B71" s="11"/>
      <c r="C71" s="11"/>
      <c r="D71" s="11"/>
      <c r="E71" s="11"/>
      <c r="F71" s="11"/>
      <c r="G71" s="20"/>
      <c r="H71" s="11"/>
      <c r="I71" s="20"/>
      <c r="J71" s="21"/>
      <c r="K71" s="11"/>
      <c r="L71" s="12"/>
      <c r="M71" s="11"/>
      <c r="O71" s="15" t="str">
        <f aca="false">IF(A71="","",IFERROR(G71*INDEX(Precios!$D$5:$D$120,MATCH(F71,Precios!$A$5:$A$120,0)),0)+IF(H71="",0,IFERROR(I71*INDEX(Precios!$D$5:$D$120,MATCH(H71,Precios!$A$5:$A$120,0)),0)))</f>
        <v/>
      </c>
      <c r="P71" s="15" t="str">
        <f aca="false">IF(A71="","",N(J71)*Parametros!$B$27)</f>
        <v/>
      </c>
      <c r="Q71" s="15" t="str">
        <f aca="false">IF(A71="","",IFERROR(INDEX(Confeccion!$B$5:$B$100,MATCH(K71,Confeccion!$A$5:$A$100,0)),0))</f>
        <v/>
      </c>
      <c r="R71" s="15" t="str">
        <f aca="false">IF(A71="","",N(L71))</f>
        <v/>
      </c>
      <c r="S71" s="14" t="str">
        <f aca="false">IF(A71="","",IF(AND(F71&lt;&gt;"",ISNUMBER(G71),ISNUMBER(IFERROR(INDEX(Precios!$D$5:$D$120,MATCH(F71,Precios!$A$5:$A$120,0)),"x")),OR(H71="",ISNUMBER(IFERROR(INDEX(Precios!$D$5:$D$120,MATCH(H71,Precios!$A$5:$A$120,0)),"x"))),J71&lt;&gt;"",K71&lt;&gt;"",Q71&gt;0),SUM(O71:R71),""))</f>
        <v/>
      </c>
      <c r="T71" s="18" t="str">
        <f aca="false">IF(A71="","",IF(S71&lt;&gt;"",IF(AND(N(J71)&gt;0,Parametros!$B$27=0),"Lista (sin costo de impresión)","Lista"),IF(F71="","Tela. ","")&amp;IF(NOT(ISNUMBER(G71)),"Kg de tela. ","")&amp;IF(AND(F71&lt;&gt;"",NOT(ISNUMBER(IFERROR(INDEX(Precios!$D$5:$D$120,MATCH(F71,Precios!$A$5:$A$120,0)),"x")))),"Tela sin precio. ","")&amp;IF(J71="","Metros impresos. ","")&amp;IF(K71="","Confección. ",IF(Q71=0,"Confección sin valor. ",""))))</f>
        <v/>
      </c>
    </row>
    <row r="72" customFormat="false" ht="15" hidden="false" customHeight="false" outlineLevel="0" collapsed="false">
      <c r="A72" s="11"/>
      <c r="B72" s="11"/>
      <c r="C72" s="11"/>
      <c r="D72" s="11"/>
      <c r="E72" s="11"/>
      <c r="F72" s="11"/>
      <c r="G72" s="20"/>
      <c r="H72" s="11"/>
      <c r="I72" s="20"/>
      <c r="J72" s="21"/>
      <c r="K72" s="11"/>
      <c r="L72" s="12"/>
      <c r="M72" s="11"/>
      <c r="O72" s="15" t="str">
        <f aca="false">IF(A72="","",IFERROR(G72*INDEX(Precios!$D$5:$D$120,MATCH(F72,Precios!$A$5:$A$120,0)),0)+IF(H72="",0,IFERROR(I72*INDEX(Precios!$D$5:$D$120,MATCH(H72,Precios!$A$5:$A$120,0)),0)))</f>
        <v/>
      </c>
      <c r="P72" s="15" t="str">
        <f aca="false">IF(A72="","",N(J72)*Parametros!$B$27)</f>
        <v/>
      </c>
      <c r="Q72" s="15" t="str">
        <f aca="false">IF(A72="","",IFERROR(INDEX(Confeccion!$B$5:$B$100,MATCH(K72,Confeccion!$A$5:$A$100,0)),0))</f>
        <v/>
      </c>
      <c r="R72" s="15" t="str">
        <f aca="false">IF(A72="","",N(L72))</f>
        <v/>
      </c>
      <c r="S72" s="14" t="str">
        <f aca="false">IF(A72="","",IF(AND(F72&lt;&gt;"",ISNUMBER(G72),ISNUMBER(IFERROR(INDEX(Precios!$D$5:$D$120,MATCH(F72,Precios!$A$5:$A$120,0)),"x")),OR(H72="",ISNUMBER(IFERROR(INDEX(Precios!$D$5:$D$120,MATCH(H72,Precios!$A$5:$A$120,0)),"x"))),J72&lt;&gt;"",K72&lt;&gt;"",Q72&gt;0),SUM(O72:R72),""))</f>
        <v/>
      </c>
      <c r="T72" s="18" t="str">
        <f aca="false">IF(A72="","",IF(S72&lt;&gt;"",IF(AND(N(J72)&gt;0,Parametros!$B$27=0),"Lista (sin costo de impresión)","Lista"),IF(F72="","Tela. ","")&amp;IF(NOT(ISNUMBER(G72)),"Kg de tela. ","")&amp;IF(AND(F72&lt;&gt;"",NOT(ISNUMBER(IFERROR(INDEX(Precios!$D$5:$D$120,MATCH(F72,Precios!$A$5:$A$120,0)),"x")))),"Tela sin precio. ","")&amp;IF(J72="","Metros impresos. ","")&amp;IF(K72="","Confección. ",IF(Q72=0,"Confección sin valor. ",""))))</f>
        <v/>
      </c>
    </row>
    <row r="73" customFormat="false" ht="15" hidden="false" customHeight="false" outlineLevel="0" collapsed="false">
      <c r="A73" s="11"/>
      <c r="B73" s="11"/>
      <c r="C73" s="11"/>
      <c r="D73" s="11"/>
      <c r="E73" s="11"/>
      <c r="F73" s="11"/>
      <c r="G73" s="20"/>
      <c r="H73" s="11"/>
      <c r="I73" s="20"/>
      <c r="J73" s="21"/>
      <c r="K73" s="11"/>
      <c r="L73" s="12"/>
      <c r="M73" s="11"/>
      <c r="O73" s="15" t="str">
        <f aca="false">IF(A73="","",IFERROR(G73*INDEX(Precios!$D$5:$D$120,MATCH(F73,Precios!$A$5:$A$120,0)),0)+IF(H73="",0,IFERROR(I73*INDEX(Precios!$D$5:$D$120,MATCH(H73,Precios!$A$5:$A$120,0)),0)))</f>
        <v/>
      </c>
      <c r="P73" s="15" t="str">
        <f aca="false">IF(A73="","",N(J73)*Parametros!$B$27)</f>
        <v/>
      </c>
      <c r="Q73" s="15" t="str">
        <f aca="false">IF(A73="","",IFERROR(INDEX(Confeccion!$B$5:$B$100,MATCH(K73,Confeccion!$A$5:$A$100,0)),0))</f>
        <v/>
      </c>
      <c r="R73" s="15" t="str">
        <f aca="false">IF(A73="","",N(L73))</f>
        <v/>
      </c>
      <c r="S73" s="14" t="str">
        <f aca="false">IF(A73="","",IF(AND(F73&lt;&gt;"",ISNUMBER(G73),ISNUMBER(IFERROR(INDEX(Precios!$D$5:$D$120,MATCH(F73,Precios!$A$5:$A$120,0)),"x")),OR(H73="",ISNUMBER(IFERROR(INDEX(Precios!$D$5:$D$120,MATCH(H73,Precios!$A$5:$A$120,0)),"x"))),J73&lt;&gt;"",K73&lt;&gt;"",Q73&gt;0),SUM(O73:R73),""))</f>
        <v/>
      </c>
      <c r="T73" s="18" t="str">
        <f aca="false">IF(A73="","",IF(S73&lt;&gt;"",IF(AND(N(J73)&gt;0,Parametros!$B$27=0),"Lista (sin costo de impresión)","Lista"),IF(F73="","Tela. ","")&amp;IF(NOT(ISNUMBER(G73)),"Kg de tela. ","")&amp;IF(AND(F73&lt;&gt;"",NOT(ISNUMBER(IFERROR(INDEX(Precios!$D$5:$D$120,MATCH(F73,Precios!$A$5:$A$120,0)),"x")))),"Tela sin precio. ","")&amp;IF(J73="","Metros impresos. ","")&amp;IF(K73="","Confección. ",IF(Q73=0,"Confección sin valor. ",""))))</f>
        <v/>
      </c>
    </row>
    <row r="74" customFormat="false" ht="15" hidden="false" customHeight="false" outlineLevel="0" collapsed="false">
      <c r="A74" s="11"/>
      <c r="B74" s="11"/>
      <c r="C74" s="11"/>
      <c r="D74" s="11"/>
      <c r="E74" s="11"/>
      <c r="F74" s="11"/>
      <c r="G74" s="20"/>
      <c r="H74" s="11"/>
      <c r="I74" s="20"/>
      <c r="J74" s="21"/>
      <c r="K74" s="11"/>
      <c r="L74" s="12"/>
      <c r="M74" s="11"/>
      <c r="O74" s="15" t="str">
        <f aca="false">IF(A74="","",IFERROR(G74*INDEX(Precios!$D$5:$D$120,MATCH(F74,Precios!$A$5:$A$120,0)),0)+IF(H74="",0,IFERROR(I74*INDEX(Precios!$D$5:$D$120,MATCH(H74,Precios!$A$5:$A$120,0)),0)))</f>
        <v/>
      </c>
      <c r="P74" s="15" t="str">
        <f aca="false">IF(A74="","",N(J74)*Parametros!$B$27)</f>
        <v/>
      </c>
      <c r="Q74" s="15" t="str">
        <f aca="false">IF(A74="","",IFERROR(INDEX(Confeccion!$B$5:$B$100,MATCH(K74,Confeccion!$A$5:$A$100,0)),0))</f>
        <v/>
      </c>
      <c r="R74" s="15" t="str">
        <f aca="false">IF(A74="","",N(L74))</f>
        <v/>
      </c>
      <c r="S74" s="14" t="str">
        <f aca="false">IF(A74="","",IF(AND(F74&lt;&gt;"",ISNUMBER(G74),ISNUMBER(IFERROR(INDEX(Precios!$D$5:$D$120,MATCH(F74,Precios!$A$5:$A$120,0)),"x")),OR(H74="",ISNUMBER(IFERROR(INDEX(Precios!$D$5:$D$120,MATCH(H74,Precios!$A$5:$A$120,0)),"x"))),J74&lt;&gt;"",K74&lt;&gt;"",Q74&gt;0),SUM(O74:R74),""))</f>
        <v/>
      </c>
      <c r="T74" s="18" t="str">
        <f aca="false">IF(A74="","",IF(S74&lt;&gt;"",IF(AND(N(J74)&gt;0,Parametros!$B$27=0),"Lista (sin costo de impresión)","Lista"),IF(F74="","Tela. ","")&amp;IF(NOT(ISNUMBER(G74)),"Kg de tela. ","")&amp;IF(AND(F74&lt;&gt;"",NOT(ISNUMBER(IFERROR(INDEX(Precios!$D$5:$D$120,MATCH(F74,Precios!$A$5:$A$120,0)),"x")))),"Tela sin precio. ","")&amp;IF(J74="","Metros impresos. ","")&amp;IF(K74="","Confección. ",IF(Q74=0,"Confección sin valor. ",""))))</f>
        <v/>
      </c>
    </row>
    <row r="75" customFormat="false" ht="15" hidden="false" customHeight="false" outlineLevel="0" collapsed="false">
      <c r="A75" s="11"/>
      <c r="B75" s="11"/>
      <c r="C75" s="11"/>
      <c r="D75" s="11"/>
      <c r="E75" s="11"/>
      <c r="F75" s="11"/>
      <c r="G75" s="20"/>
      <c r="H75" s="11"/>
      <c r="I75" s="20"/>
      <c r="J75" s="21"/>
      <c r="K75" s="11"/>
      <c r="L75" s="12"/>
      <c r="M75" s="11"/>
      <c r="O75" s="15" t="str">
        <f aca="false">IF(A75="","",IFERROR(G75*INDEX(Precios!$D$5:$D$120,MATCH(F75,Precios!$A$5:$A$120,0)),0)+IF(H75="",0,IFERROR(I75*INDEX(Precios!$D$5:$D$120,MATCH(H75,Precios!$A$5:$A$120,0)),0)))</f>
        <v/>
      </c>
      <c r="P75" s="15" t="str">
        <f aca="false">IF(A75="","",N(J75)*Parametros!$B$27)</f>
        <v/>
      </c>
      <c r="Q75" s="15" t="str">
        <f aca="false">IF(A75="","",IFERROR(INDEX(Confeccion!$B$5:$B$100,MATCH(K75,Confeccion!$A$5:$A$100,0)),0))</f>
        <v/>
      </c>
      <c r="R75" s="15" t="str">
        <f aca="false">IF(A75="","",N(L75))</f>
        <v/>
      </c>
      <c r="S75" s="14" t="str">
        <f aca="false">IF(A75="","",IF(AND(F75&lt;&gt;"",ISNUMBER(G75),ISNUMBER(IFERROR(INDEX(Precios!$D$5:$D$120,MATCH(F75,Precios!$A$5:$A$120,0)),"x")),OR(H75="",ISNUMBER(IFERROR(INDEX(Precios!$D$5:$D$120,MATCH(H75,Precios!$A$5:$A$120,0)),"x"))),J75&lt;&gt;"",K75&lt;&gt;"",Q75&gt;0),SUM(O75:R75),""))</f>
        <v/>
      </c>
      <c r="T75" s="18" t="str">
        <f aca="false">IF(A75="","",IF(S75&lt;&gt;"",IF(AND(N(J75)&gt;0,Parametros!$B$27=0),"Lista (sin costo de impresión)","Lista"),IF(F75="","Tela. ","")&amp;IF(NOT(ISNUMBER(G75)),"Kg de tela. ","")&amp;IF(AND(F75&lt;&gt;"",NOT(ISNUMBER(IFERROR(INDEX(Precios!$D$5:$D$120,MATCH(F75,Precios!$A$5:$A$120,0)),"x")))),"Tela sin precio. ","")&amp;IF(J75="","Metros impresos. ","")&amp;IF(K75="","Confección. ",IF(Q75=0,"Confección sin valor. ",""))))</f>
        <v/>
      </c>
    </row>
    <row r="76" customFormat="false" ht="15" hidden="false" customHeight="false" outlineLevel="0" collapsed="false">
      <c r="A76" s="11"/>
      <c r="B76" s="11"/>
      <c r="C76" s="11"/>
      <c r="D76" s="11"/>
      <c r="E76" s="11"/>
      <c r="F76" s="11"/>
      <c r="G76" s="20"/>
      <c r="H76" s="11"/>
      <c r="I76" s="20"/>
      <c r="J76" s="21"/>
      <c r="K76" s="11"/>
      <c r="L76" s="12"/>
      <c r="M76" s="11"/>
      <c r="O76" s="15" t="str">
        <f aca="false">IF(A76="","",IFERROR(G76*INDEX(Precios!$D$5:$D$120,MATCH(F76,Precios!$A$5:$A$120,0)),0)+IF(H76="",0,IFERROR(I76*INDEX(Precios!$D$5:$D$120,MATCH(H76,Precios!$A$5:$A$120,0)),0)))</f>
        <v/>
      </c>
      <c r="P76" s="15" t="str">
        <f aca="false">IF(A76="","",N(J76)*Parametros!$B$27)</f>
        <v/>
      </c>
      <c r="Q76" s="15" t="str">
        <f aca="false">IF(A76="","",IFERROR(INDEX(Confeccion!$B$5:$B$100,MATCH(K76,Confeccion!$A$5:$A$100,0)),0))</f>
        <v/>
      </c>
      <c r="R76" s="15" t="str">
        <f aca="false">IF(A76="","",N(L76))</f>
        <v/>
      </c>
      <c r="S76" s="14" t="str">
        <f aca="false">IF(A76="","",IF(AND(F76&lt;&gt;"",ISNUMBER(G76),ISNUMBER(IFERROR(INDEX(Precios!$D$5:$D$120,MATCH(F76,Precios!$A$5:$A$120,0)),"x")),OR(H76="",ISNUMBER(IFERROR(INDEX(Precios!$D$5:$D$120,MATCH(H76,Precios!$A$5:$A$120,0)),"x"))),J76&lt;&gt;"",K76&lt;&gt;"",Q76&gt;0),SUM(O76:R76),""))</f>
        <v/>
      </c>
      <c r="T76" s="18" t="str">
        <f aca="false">IF(A76="","",IF(S76&lt;&gt;"",IF(AND(N(J76)&gt;0,Parametros!$B$27=0),"Lista (sin costo de impresión)","Lista"),IF(F76="","Tela. ","")&amp;IF(NOT(ISNUMBER(G76)),"Kg de tela. ","")&amp;IF(AND(F76&lt;&gt;"",NOT(ISNUMBER(IFERROR(INDEX(Precios!$D$5:$D$120,MATCH(F76,Precios!$A$5:$A$120,0)),"x")))),"Tela sin precio. ","")&amp;IF(J76="","Metros impresos. ","")&amp;IF(K76="","Confección. ",IF(Q76=0,"Confección sin valor. ",""))))</f>
        <v/>
      </c>
    </row>
    <row r="77" customFormat="false" ht="15" hidden="false" customHeight="false" outlineLevel="0" collapsed="false">
      <c r="A77" s="11"/>
      <c r="B77" s="11"/>
      <c r="C77" s="11"/>
      <c r="D77" s="11"/>
      <c r="E77" s="11"/>
      <c r="F77" s="11"/>
      <c r="G77" s="20"/>
      <c r="H77" s="11"/>
      <c r="I77" s="20"/>
      <c r="J77" s="21"/>
      <c r="K77" s="11"/>
      <c r="L77" s="12"/>
      <c r="M77" s="11"/>
      <c r="O77" s="15" t="str">
        <f aca="false">IF(A77="","",IFERROR(G77*INDEX(Precios!$D$5:$D$120,MATCH(F77,Precios!$A$5:$A$120,0)),0)+IF(H77="",0,IFERROR(I77*INDEX(Precios!$D$5:$D$120,MATCH(H77,Precios!$A$5:$A$120,0)),0)))</f>
        <v/>
      </c>
      <c r="P77" s="15" t="str">
        <f aca="false">IF(A77="","",N(J77)*Parametros!$B$27)</f>
        <v/>
      </c>
      <c r="Q77" s="15" t="str">
        <f aca="false">IF(A77="","",IFERROR(INDEX(Confeccion!$B$5:$B$100,MATCH(K77,Confeccion!$A$5:$A$100,0)),0))</f>
        <v/>
      </c>
      <c r="R77" s="15" t="str">
        <f aca="false">IF(A77="","",N(L77))</f>
        <v/>
      </c>
      <c r="S77" s="14" t="str">
        <f aca="false">IF(A77="","",IF(AND(F77&lt;&gt;"",ISNUMBER(G77),ISNUMBER(IFERROR(INDEX(Precios!$D$5:$D$120,MATCH(F77,Precios!$A$5:$A$120,0)),"x")),OR(H77="",ISNUMBER(IFERROR(INDEX(Precios!$D$5:$D$120,MATCH(H77,Precios!$A$5:$A$120,0)),"x"))),J77&lt;&gt;"",K77&lt;&gt;"",Q77&gt;0),SUM(O77:R77),""))</f>
        <v/>
      </c>
      <c r="T77" s="18" t="str">
        <f aca="false">IF(A77="","",IF(S77&lt;&gt;"",IF(AND(N(J77)&gt;0,Parametros!$B$27=0),"Lista (sin costo de impresión)","Lista"),IF(F77="","Tela. ","")&amp;IF(NOT(ISNUMBER(G77)),"Kg de tela. ","")&amp;IF(AND(F77&lt;&gt;"",NOT(ISNUMBER(IFERROR(INDEX(Precios!$D$5:$D$120,MATCH(F77,Precios!$A$5:$A$120,0)),"x")))),"Tela sin precio. ","")&amp;IF(J77="","Metros impresos. ","")&amp;IF(K77="","Confección. ",IF(Q77=0,"Confección sin valor. ",""))))</f>
        <v/>
      </c>
    </row>
    <row r="78" customFormat="false" ht="15" hidden="false" customHeight="false" outlineLevel="0" collapsed="false">
      <c r="A78" s="11"/>
      <c r="B78" s="11"/>
      <c r="C78" s="11"/>
      <c r="D78" s="11"/>
      <c r="E78" s="11"/>
      <c r="F78" s="11"/>
      <c r="G78" s="20"/>
      <c r="H78" s="11"/>
      <c r="I78" s="20"/>
      <c r="J78" s="21"/>
      <c r="K78" s="11"/>
      <c r="L78" s="12"/>
      <c r="M78" s="11"/>
      <c r="O78" s="15" t="str">
        <f aca="false">IF(A78="","",IFERROR(G78*INDEX(Precios!$D$5:$D$120,MATCH(F78,Precios!$A$5:$A$120,0)),0)+IF(H78="",0,IFERROR(I78*INDEX(Precios!$D$5:$D$120,MATCH(H78,Precios!$A$5:$A$120,0)),0)))</f>
        <v/>
      </c>
      <c r="P78" s="15" t="str">
        <f aca="false">IF(A78="","",N(J78)*Parametros!$B$27)</f>
        <v/>
      </c>
      <c r="Q78" s="15" t="str">
        <f aca="false">IF(A78="","",IFERROR(INDEX(Confeccion!$B$5:$B$100,MATCH(K78,Confeccion!$A$5:$A$100,0)),0))</f>
        <v/>
      </c>
      <c r="R78" s="15" t="str">
        <f aca="false">IF(A78="","",N(L78))</f>
        <v/>
      </c>
      <c r="S78" s="14" t="str">
        <f aca="false">IF(A78="","",IF(AND(F78&lt;&gt;"",ISNUMBER(G78),ISNUMBER(IFERROR(INDEX(Precios!$D$5:$D$120,MATCH(F78,Precios!$A$5:$A$120,0)),"x")),OR(H78="",ISNUMBER(IFERROR(INDEX(Precios!$D$5:$D$120,MATCH(H78,Precios!$A$5:$A$120,0)),"x"))),J78&lt;&gt;"",K78&lt;&gt;"",Q78&gt;0),SUM(O78:R78),""))</f>
        <v/>
      </c>
      <c r="T78" s="18" t="str">
        <f aca="false">IF(A78="","",IF(S78&lt;&gt;"",IF(AND(N(J78)&gt;0,Parametros!$B$27=0),"Lista (sin costo de impresión)","Lista"),IF(F78="","Tela. ","")&amp;IF(NOT(ISNUMBER(G78)),"Kg de tela. ","")&amp;IF(AND(F78&lt;&gt;"",NOT(ISNUMBER(IFERROR(INDEX(Precios!$D$5:$D$120,MATCH(F78,Precios!$A$5:$A$120,0)),"x")))),"Tela sin precio. ","")&amp;IF(J78="","Metros impresos. ","")&amp;IF(K78="","Confección. ",IF(Q78=0,"Confección sin valor. ",""))))</f>
        <v/>
      </c>
    </row>
    <row r="79" customFormat="false" ht="15" hidden="false" customHeight="false" outlineLevel="0" collapsed="false">
      <c r="A79" s="11"/>
      <c r="B79" s="11"/>
      <c r="C79" s="11"/>
      <c r="D79" s="11"/>
      <c r="E79" s="11"/>
      <c r="F79" s="11"/>
      <c r="G79" s="20"/>
      <c r="H79" s="11"/>
      <c r="I79" s="20"/>
      <c r="J79" s="21"/>
      <c r="K79" s="11"/>
      <c r="L79" s="12"/>
      <c r="M79" s="11"/>
      <c r="O79" s="15" t="str">
        <f aca="false">IF(A79="","",IFERROR(G79*INDEX(Precios!$D$5:$D$120,MATCH(F79,Precios!$A$5:$A$120,0)),0)+IF(H79="",0,IFERROR(I79*INDEX(Precios!$D$5:$D$120,MATCH(H79,Precios!$A$5:$A$120,0)),0)))</f>
        <v/>
      </c>
      <c r="P79" s="15" t="str">
        <f aca="false">IF(A79="","",N(J79)*Parametros!$B$27)</f>
        <v/>
      </c>
      <c r="Q79" s="15" t="str">
        <f aca="false">IF(A79="","",IFERROR(INDEX(Confeccion!$B$5:$B$100,MATCH(K79,Confeccion!$A$5:$A$100,0)),0))</f>
        <v/>
      </c>
      <c r="R79" s="15" t="str">
        <f aca="false">IF(A79="","",N(L79))</f>
        <v/>
      </c>
      <c r="S79" s="14" t="str">
        <f aca="false">IF(A79="","",IF(AND(F79&lt;&gt;"",ISNUMBER(G79),ISNUMBER(IFERROR(INDEX(Precios!$D$5:$D$120,MATCH(F79,Precios!$A$5:$A$120,0)),"x")),OR(H79="",ISNUMBER(IFERROR(INDEX(Precios!$D$5:$D$120,MATCH(H79,Precios!$A$5:$A$120,0)),"x"))),J79&lt;&gt;"",K79&lt;&gt;"",Q79&gt;0),SUM(O79:R79),""))</f>
        <v/>
      </c>
      <c r="T79" s="18" t="str">
        <f aca="false">IF(A79="","",IF(S79&lt;&gt;"",IF(AND(N(J79)&gt;0,Parametros!$B$27=0),"Lista (sin costo de impresión)","Lista"),IF(F79="","Tela. ","")&amp;IF(NOT(ISNUMBER(G79)),"Kg de tela. ","")&amp;IF(AND(F79&lt;&gt;"",NOT(ISNUMBER(IFERROR(INDEX(Precios!$D$5:$D$120,MATCH(F79,Precios!$A$5:$A$120,0)),"x")))),"Tela sin precio. ","")&amp;IF(J79="","Metros impresos. ","")&amp;IF(K79="","Confección. ",IF(Q79=0,"Confección sin valor. ",""))))</f>
        <v/>
      </c>
    </row>
    <row r="80" customFormat="false" ht="15" hidden="false" customHeight="false" outlineLevel="0" collapsed="false">
      <c r="A80" s="11"/>
      <c r="B80" s="11"/>
      <c r="C80" s="11"/>
      <c r="D80" s="11"/>
      <c r="E80" s="11"/>
      <c r="F80" s="11"/>
      <c r="G80" s="20"/>
      <c r="H80" s="11"/>
      <c r="I80" s="20"/>
      <c r="J80" s="21"/>
      <c r="K80" s="11"/>
      <c r="L80" s="12"/>
      <c r="M80" s="11"/>
      <c r="O80" s="15" t="str">
        <f aca="false">IF(A80="","",IFERROR(G80*INDEX(Precios!$D$5:$D$120,MATCH(F80,Precios!$A$5:$A$120,0)),0)+IF(H80="",0,IFERROR(I80*INDEX(Precios!$D$5:$D$120,MATCH(H80,Precios!$A$5:$A$120,0)),0)))</f>
        <v/>
      </c>
      <c r="P80" s="15" t="str">
        <f aca="false">IF(A80="","",N(J80)*Parametros!$B$27)</f>
        <v/>
      </c>
      <c r="Q80" s="15" t="str">
        <f aca="false">IF(A80="","",IFERROR(INDEX(Confeccion!$B$5:$B$100,MATCH(K80,Confeccion!$A$5:$A$100,0)),0))</f>
        <v/>
      </c>
      <c r="R80" s="15" t="str">
        <f aca="false">IF(A80="","",N(L80))</f>
        <v/>
      </c>
      <c r="S80" s="14" t="str">
        <f aca="false">IF(A80="","",IF(AND(F80&lt;&gt;"",ISNUMBER(G80),ISNUMBER(IFERROR(INDEX(Precios!$D$5:$D$120,MATCH(F80,Precios!$A$5:$A$120,0)),"x")),OR(H80="",ISNUMBER(IFERROR(INDEX(Precios!$D$5:$D$120,MATCH(H80,Precios!$A$5:$A$120,0)),"x"))),J80&lt;&gt;"",K80&lt;&gt;"",Q80&gt;0),SUM(O80:R80),""))</f>
        <v/>
      </c>
      <c r="T80" s="18" t="str">
        <f aca="false">IF(A80="","",IF(S80&lt;&gt;"",IF(AND(N(J80)&gt;0,Parametros!$B$27=0),"Lista (sin costo de impresión)","Lista"),IF(F80="","Tela. ","")&amp;IF(NOT(ISNUMBER(G80)),"Kg de tela. ","")&amp;IF(AND(F80&lt;&gt;"",NOT(ISNUMBER(IFERROR(INDEX(Precios!$D$5:$D$120,MATCH(F80,Precios!$A$5:$A$120,0)),"x")))),"Tela sin precio. ","")&amp;IF(J80="","Metros impresos. ","")&amp;IF(K80="","Confección. ",IF(Q80=0,"Confección sin valor. ",""))))</f>
        <v/>
      </c>
    </row>
    <row r="81" customFormat="false" ht="15" hidden="false" customHeight="false" outlineLevel="0" collapsed="false">
      <c r="A81" s="11"/>
      <c r="B81" s="11"/>
      <c r="C81" s="11"/>
      <c r="D81" s="11"/>
      <c r="E81" s="11"/>
      <c r="F81" s="11"/>
      <c r="G81" s="20"/>
      <c r="H81" s="11"/>
      <c r="I81" s="20"/>
      <c r="J81" s="21"/>
      <c r="K81" s="11"/>
      <c r="L81" s="12"/>
      <c r="M81" s="11"/>
      <c r="O81" s="15" t="str">
        <f aca="false">IF(A81="","",IFERROR(G81*INDEX(Precios!$D$5:$D$120,MATCH(F81,Precios!$A$5:$A$120,0)),0)+IF(H81="",0,IFERROR(I81*INDEX(Precios!$D$5:$D$120,MATCH(H81,Precios!$A$5:$A$120,0)),0)))</f>
        <v/>
      </c>
      <c r="P81" s="15" t="str">
        <f aca="false">IF(A81="","",N(J81)*Parametros!$B$27)</f>
        <v/>
      </c>
      <c r="Q81" s="15" t="str">
        <f aca="false">IF(A81="","",IFERROR(INDEX(Confeccion!$B$5:$B$100,MATCH(K81,Confeccion!$A$5:$A$100,0)),0))</f>
        <v/>
      </c>
      <c r="R81" s="15" t="str">
        <f aca="false">IF(A81="","",N(L81))</f>
        <v/>
      </c>
      <c r="S81" s="14" t="str">
        <f aca="false">IF(A81="","",IF(AND(F81&lt;&gt;"",ISNUMBER(G81),ISNUMBER(IFERROR(INDEX(Precios!$D$5:$D$120,MATCH(F81,Precios!$A$5:$A$120,0)),"x")),OR(H81="",ISNUMBER(IFERROR(INDEX(Precios!$D$5:$D$120,MATCH(H81,Precios!$A$5:$A$120,0)),"x"))),J81&lt;&gt;"",K81&lt;&gt;"",Q81&gt;0),SUM(O81:R81),""))</f>
        <v/>
      </c>
      <c r="T81" s="18" t="str">
        <f aca="false">IF(A81="","",IF(S81&lt;&gt;"",IF(AND(N(J81)&gt;0,Parametros!$B$27=0),"Lista (sin costo de impresión)","Lista"),IF(F81="","Tela. ","")&amp;IF(NOT(ISNUMBER(G81)),"Kg de tela. ","")&amp;IF(AND(F81&lt;&gt;"",NOT(ISNUMBER(IFERROR(INDEX(Precios!$D$5:$D$120,MATCH(F81,Precios!$A$5:$A$120,0)),"x")))),"Tela sin precio. ","")&amp;IF(J81="","Metros impresos. ","")&amp;IF(K81="","Confección. ",IF(Q81=0,"Confección sin valor. ",""))))</f>
        <v/>
      </c>
    </row>
    <row r="82" customFormat="false" ht="15" hidden="false" customHeight="false" outlineLevel="0" collapsed="false">
      <c r="A82" s="11"/>
      <c r="B82" s="11"/>
      <c r="C82" s="11"/>
      <c r="D82" s="11"/>
      <c r="E82" s="11"/>
      <c r="F82" s="11"/>
      <c r="G82" s="20"/>
      <c r="H82" s="11"/>
      <c r="I82" s="20"/>
      <c r="J82" s="21"/>
      <c r="K82" s="11"/>
      <c r="L82" s="12"/>
      <c r="M82" s="11"/>
      <c r="O82" s="15" t="str">
        <f aca="false">IF(A82="","",IFERROR(G82*INDEX(Precios!$D$5:$D$120,MATCH(F82,Precios!$A$5:$A$120,0)),0)+IF(H82="",0,IFERROR(I82*INDEX(Precios!$D$5:$D$120,MATCH(H82,Precios!$A$5:$A$120,0)),0)))</f>
        <v/>
      </c>
      <c r="P82" s="15" t="str">
        <f aca="false">IF(A82="","",N(J82)*Parametros!$B$27)</f>
        <v/>
      </c>
      <c r="Q82" s="15" t="str">
        <f aca="false">IF(A82="","",IFERROR(INDEX(Confeccion!$B$5:$B$100,MATCH(K82,Confeccion!$A$5:$A$100,0)),0))</f>
        <v/>
      </c>
      <c r="R82" s="15" t="str">
        <f aca="false">IF(A82="","",N(L82))</f>
        <v/>
      </c>
      <c r="S82" s="14" t="str">
        <f aca="false">IF(A82="","",IF(AND(F82&lt;&gt;"",ISNUMBER(G82),ISNUMBER(IFERROR(INDEX(Precios!$D$5:$D$120,MATCH(F82,Precios!$A$5:$A$120,0)),"x")),OR(H82="",ISNUMBER(IFERROR(INDEX(Precios!$D$5:$D$120,MATCH(H82,Precios!$A$5:$A$120,0)),"x"))),J82&lt;&gt;"",K82&lt;&gt;"",Q82&gt;0),SUM(O82:R82),""))</f>
        <v/>
      </c>
      <c r="T82" s="18" t="str">
        <f aca="false">IF(A82="","",IF(S82&lt;&gt;"",IF(AND(N(J82)&gt;0,Parametros!$B$27=0),"Lista (sin costo de impresión)","Lista"),IF(F82="","Tela. ","")&amp;IF(NOT(ISNUMBER(G82)),"Kg de tela. ","")&amp;IF(AND(F82&lt;&gt;"",NOT(ISNUMBER(IFERROR(INDEX(Precios!$D$5:$D$120,MATCH(F82,Precios!$A$5:$A$120,0)),"x")))),"Tela sin precio. ","")&amp;IF(J82="","Metros impresos. ","")&amp;IF(K82="","Confección. ",IF(Q82=0,"Confección sin valor. ",""))))</f>
        <v/>
      </c>
    </row>
    <row r="83" customFormat="false" ht="15" hidden="false" customHeight="false" outlineLevel="0" collapsed="false">
      <c r="A83" s="11"/>
      <c r="B83" s="11"/>
      <c r="C83" s="11"/>
      <c r="D83" s="11"/>
      <c r="E83" s="11"/>
      <c r="F83" s="11"/>
      <c r="G83" s="20"/>
      <c r="H83" s="11"/>
      <c r="I83" s="20"/>
      <c r="J83" s="21"/>
      <c r="K83" s="11"/>
      <c r="L83" s="12"/>
      <c r="M83" s="11"/>
      <c r="O83" s="15" t="str">
        <f aca="false">IF(A83="","",IFERROR(G83*INDEX(Precios!$D$5:$D$120,MATCH(F83,Precios!$A$5:$A$120,0)),0)+IF(H83="",0,IFERROR(I83*INDEX(Precios!$D$5:$D$120,MATCH(H83,Precios!$A$5:$A$120,0)),0)))</f>
        <v/>
      </c>
      <c r="P83" s="15" t="str">
        <f aca="false">IF(A83="","",N(J83)*Parametros!$B$27)</f>
        <v/>
      </c>
      <c r="Q83" s="15" t="str">
        <f aca="false">IF(A83="","",IFERROR(INDEX(Confeccion!$B$5:$B$100,MATCH(K83,Confeccion!$A$5:$A$100,0)),0))</f>
        <v/>
      </c>
      <c r="R83" s="15" t="str">
        <f aca="false">IF(A83="","",N(L83))</f>
        <v/>
      </c>
      <c r="S83" s="14" t="str">
        <f aca="false">IF(A83="","",IF(AND(F83&lt;&gt;"",ISNUMBER(G83),ISNUMBER(IFERROR(INDEX(Precios!$D$5:$D$120,MATCH(F83,Precios!$A$5:$A$120,0)),"x")),OR(H83="",ISNUMBER(IFERROR(INDEX(Precios!$D$5:$D$120,MATCH(H83,Precios!$A$5:$A$120,0)),"x"))),J83&lt;&gt;"",K83&lt;&gt;"",Q83&gt;0),SUM(O83:R83),""))</f>
        <v/>
      </c>
      <c r="T83" s="18" t="str">
        <f aca="false">IF(A83="","",IF(S83&lt;&gt;"",IF(AND(N(J83)&gt;0,Parametros!$B$27=0),"Lista (sin costo de impresión)","Lista"),IF(F83="","Tela. ","")&amp;IF(NOT(ISNUMBER(G83)),"Kg de tela. ","")&amp;IF(AND(F83&lt;&gt;"",NOT(ISNUMBER(IFERROR(INDEX(Precios!$D$5:$D$120,MATCH(F83,Precios!$A$5:$A$120,0)),"x")))),"Tela sin precio. ","")&amp;IF(J83="","Metros impresos. ","")&amp;IF(K83="","Confección. ",IF(Q83=0,"Confección sin valor. ",""))))</f>
        <v/>
      </c>
    </row>
    <row r="84" customFormat="false" ht="15" hidden="false" customHeight="false" outlineLevel="0" collapsed="false">
      <c r="A84" s="11"/>
      <c r="B84" s="11"/>
      <c r="C84" s="11"/>
      <c r="D84" s="11"/>
      <c r="E84" s="11"/>
      <c r="F84" s="11"/>
      <c r="G84" s="20"/>
      <c r="H84" s="11"/>
      <c r="I84" s="20"/>
      <c r="J84" s="21"/>
      <c r="K84" s="11"/>
      <c r="L84" s="12"/>
      <c r="M84" s="11"/>
      <c r="O84" s="15" t="str">
        <f aca="false">IF(A84="","",IFERROR(G84*INDEX(Precios!$D$5:$D$120,MATCH(F84,Precios!$A$5:$A$120,0)),0)+IF(H84="",0,IFERROR(I84*INDEX(Precios!$D$5:$D$120,MATCH(H84,Precios!$A$5:$A$120,0)),0)))</f>
        <v/>
      </c>
      <c r="P84" s="15" t="str">
        <f aca="false">IF(A84="","",N(J84)*Parametros!$B$27)</f>
        <v/>
      </c>
      <c r="Q84" s="15" t="str">
        <f aca="false">IF(A84="","",IFERROR(INDEX(Confeccion!$B$5:$B$100,MATCH(K84,Confeccion!$A$5:$A$100,0)),0))</f>
        <v/>
      </c>
      <c r="R84" s="15" t="str">
        <f aca="false">IF(A84="","",N(L84))</f>
        <v/>
      </c>
      <c r="S84" s="14" t="str">
        <f aca="false">IF(A84="","",IF(AND(F84&lt;&gt;"",ISNUMBER(G84),ISNUMBER(IFERROR(INDEX(Precios!$D$5:$D$120,MATCH(F84,Precios!$A$5:$A$120,0)),"x")),OR(H84="",ISNUMBER(IFERROR(INDEX(Precios!$D$5:$D$120,MATCH(H84,Precios!$A$5:$A$120,0)),"x"))),J84&lt;&gt;"",K84&lt;&gt;"",Q84&gt;0),SUM(O84:R84),""))</f>
        <v/>
      </c>
      <c r="T84" s="18" t="str">
        <f aca="false">IF(A84="","",IF(S84&lt;&gt;"",IF(AND(N(J84)&gt;0,Parametros!$B$27=0),"Lista (sin costo de impresión)","Lista"),IF(F84="","Tela. ","")&amp;IF(NOT(ISNUMBER(G84)),"Kg de tela. ","")&amp;IF(AND(F84&lt;&gt;"",NOT(ISNUMBER(IFERROR(INDEX(Precios!$D$5:$D$120,MATCH(F84,Precios!$A$5:$A$120,0)),"x")))),"Tela sin precio. ","")&amp;IF(J84="","Metros impresos. ","")&amp;IF(K84="","Confección. ",IF(Q84=0,"Confección sin valor. ",""))))</f>
        <v/>
      </c>
    </row>
  </sheetData>
  <autoFilter ref="A4:T84"/>
  <conditionalFormatting sqref="T5:T84">
    <cfRule type="expression" priority="2" aboveAverage="0" equalAverage="0" bottom="0" percent="0" rank="0" text="" dxfId="13">
      <formula>LEFT(T5,5)="Lista"</formula>
    </cfRule>
  </conditionalFormatting>
  <dataValidations count="4">
    <dataValidation allowBlank="true" errorStyle="stop" operator="between" showDropDown="false" showErrorMessage="false" showInputMessage="false" sqref="F5:F84" type="list">
      <formula1>Precios!$A$5:$A$120</formula1>
      <formula2>0</formula2>
    </dataValidation>
    <dataValidation allowBlank="true" errorStyle="stop" operator="between" showDropDown="false" showErrorMessage="false" showInputMessage="false" sqref="H5:H84" type="list">
      <formula1>Precios!$A$5:$A$120</formula1>
      <formula2>0</formula2>
    </dataValidation>
    <dataValidation allowBlank="true" errorStyle="stop" operator="between" showDropDown="false" showErrorMessage="false" showInputMessage="false" sqref="K5:K84" type="list">
      <formula1>Confeccion!$A$5:$A$100</formula1>
      <formula2>0</formula2>
    </dataValidation>
    <dataValidation allowBlank="true" errorStyle="stop" operator="between" showDropDown="false" showErrorMessage="false" showInputMessage="false" sqref="M5:M84" type="list">
      <formula1>"Por confirmar,Confirmado"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8"/>
    <col collapsed="false" customWidth="true" hidden="false" outlineLevel="0" max="2" min="2" style="0" width="16"/>
    <col collapsed="false" customWidth="true" hidden="false" outlineLevel="0" max="3" min="3" style="0" width="70"/>
  </cols>
  <sheetData>
    <row r="1" customFormat="false" ht="17.35" hidden="false" customHeight="false" outlineLevel="0" collapsed="false">
      <c r="A1" s="1" t="s">
        <v>353</v>
      </c>
    </row>
    <row r="2" customFormat="false" ht="15" hidden="false" customHeight="false" outlineLevel="0" collapsed="false">
      <c r="A2" s="2" t="s">
        <v>354</v>
      </c>
    </row>
    <row r="4" customFormat="false" ht="15" hidden="false" customHeight="false" outlineLevel="0" collapsed="false">
      <c r="A4" s="24" t="s">
        <v>355</v>
      </c>
      <c r="B4" s="23"/>
      <c r="C4" s="23"/>
    </row>
    <row r="5" customFormat="false" ht="15" hidden="false" customHeight="false" outlineLevel="0" collapsed="false">
      <c r="A5" s="10" t="s">
        <v>356</v>
      </c>
      <c r="B5" s="15" t="n">
        <f aca="false">Gastos_Ventas!F41</f>
        <v>12421897</v>
      </c>
      <c r="C5" s="13" t="s">
        <v>357</v>
      </c>
    </row>
    <row r="6" customFormat="false" ht="15" hidden="false" customHeight="false" outlineLevel="0" collapsed="false">
      <c r="A6" s="10" t="s">
        <v>358</v>
      </c>
      <c r="B6" s="15" t="n">
        <f aca="false">Gastos_Ventas!F42</f>
        <v>4459061</v>
      </c>
      <c r="C6" s="13" t="s">
        <v>357</v>
      </c>
    </row>
    <row r="7" customFormat="false" ht="15" hidden="false" customHeight="false" outlineLevel="0" collapsed="false">
      <c r="A7" s="10" t="s">
        <v>359</v>
      </c>
      <c r="B7" s="15" t="n">
        <f aca="false">Gastos_Ventas!F45</f>
        <v>35194839.6666667</v>
      </c>
      <c r="C7" s="13" t="s">
        <v>357</v>
      </c>
    </row>
    <row r="8" customFormat="false" ht="15" hidden="false" customHeight="false" outlineLevel="0" collapsed="false">
      <c r="A8" s="10" t="s">
        <v>360</v>
      </c>
      <c r="B8" s="25" t="n">
        <f aca="false">IFERROR(B5/B7,0)</f>
        <v>0.352946543233294</v>
      </c>
      <c r="C8" s="13" t="s">
        <v>361</v>
      </c>
    </row>
    <row r="9" customFormat="false" ht="15" hidden="false" customHeight="false" outlineLevel="0" collapsed="false">
      <c r="A9" s="10" t="s">
        <v>362</v>
      </c>
      <c r="B9" s="25" t="n">
        <f aca="false">IFERROR(B6/B7,0)</f>
        <v>0.126696443064726</v>
      </c>
      <c r="C9" s="13" t="s">
        <v>363</v>
      </c>
    </row>
    <row r="10" customFormat="false" ht="15" hidden="false" customHeight="false" outlineLevel="0" collapsed="false">
      <c r="A10" s="10" t="s">
        <v>364</v>
      </c>
      <c r="B10" s="26"/>
      <c r="C10" s="13" t="s">
        <v>365</v>
      </c>
    </row>
    <row r="11" customFormat="false" ht="15" hidden="false" customHeight="false" outlineLevel="0" collapsed="false">
      <c r="A11" s="10" t="s">
        <v>366</v>
      </c>
      <c r="B11" s="26"/>
      <c r="C11" s="13" t="s">
        <v>367</v>
      </c>
    </row>
    <row r="12" customFormat="false" ht="15" hidden="false" customHeight="false" outlineLevel="0" collapsed="false">
      <c r="A12" s="19" t="s">
        <v>368</v>
      </c>
      <c r="B12" s="16" t="n">
        <f aca="false">IF(ISNUMBER(B10),B10,B8)</f>
        <v>0.352946543233294</v>
      </c>
      <c r="C12" s="13" t="s">
        <v>369</v>
      </c>
    </row>
    <row r="13" customFormat="false" ht="15" hidden="false" customHeight="false" outlineLevel="0" collapsed="false">
      <c r="A13" s="19" t="s">
        <v>370</v>
      </c>
      <c r="B13" s="16" t="n">
        <f aca="false">IF(ISNUMBER(B11),B11,B9)</f>
        <v>0.126696443064726</v>
      </c>
      <c r="C13" s="13" t="s">
        <v>369</v>
      </c>
    </row>
    <row r="14" customFormat="false" ht="15" hidden="false" customHeight="false" outlineLevel="0" collapsed="false">
      <c r="A14" s="27" t="s">
        <v>371</v>
      </c>
      <c r="B14" s="28" t="n">
        <f aca="false">B12+B13</f>
        <v>0.47964298629802</v>
      </c>
      <c r="C14" s="13" t="s">
        <v>372</v>
      </c>
    </row>
    <row r="15" customFormat="false" ht="15" hidden="false" customHeight="false" outlineLevel="0" collapsed="false">
      <c r="A15" s="10" t="s">
        <v>373</v>
      </c>
      <c r="B15" s="11" t="s">
        <v>374</v>
      </c>
      <c r="C15" s="13" t="s">
        <v>375</v>
      </c>
    </row>
    <row r="17" customFormat="false" ht="15" hidden="false" customHeight="false" outlineLevel="0" collapsed="false">
      <c r="A17" s="24" t="s">
        <v>376</v>
      </c>
      <c r="B17" s="23"/>
      <c r="C17" s="23"/>
    </row>
    <row r="18" customFormat="false" ht="15" hidden="false" customHeight="false" outlineLevel="0" collapsed="false">
      <c r="A18" s="10" t="s">
        <v>377</v>
      </c>
      <c r="B18" s="26" t="n">
        <v>0.1</v>
      </c>
      <c r="C18" s="13" t="s">
        <v>378</v>
      </c>
    </row>
    <row r="20" customFormat="false" ht="15" hidden="false" customHeight="false" outlineLevel="0" collapsed="false">
      <c r="A20" s="24" t="s">
        <v>379</v>
      </c>
      <c r="B20" s="23"/>
      <c r="C20" s="23"/>
    </row>
    <row r="21" customFormat="false" ht="15" hidden="false" customHeight="false" outlineLevel="0" collapsed="false">
      <c r="A21" s="10" t="s">
        <v>380</v>
      </c>
      <c r="B21" s="12" t="n">
        <v>50420</v>
      </c>
      <c r="C21" s="13" t="s">
        <v>381</v>
      </c>
    </row>
    <row r="22" customFormat="false" ht="15" hidden="false" customHeight="false" outlineLevel="0" collapsed="false">
      <c r="A22" s="10" t="s">
        <v>382</v>
      </c>
      <c r="B22" s="29"/>
      <c r="C22" s="13" t="s">
        <v>383</v>
      </c>
    </row>
    <row r="23" customFormat="false" ht="15" hidden="false" customHeight="false" outlineLevel="0" collapsed="false">
      <c r="A23" s="10" t="s">
        <v>384</v>
      </c>
      <c r="B23" s="12" t="n">
        <v>72119</v>
      </c>
      <c r="C23" s="13" t="s">
        <v>385</v>
      </c>
    </row>
    <row r="24" customFormat="false" ht="15" hidden="false" customHeight="false" outlineLevel="0" collapsed="false">
      <c r="A24" s="10" t="s">
        <v>386</v>
      </c>
      <c r="B24" s="30"/>
      <c r="C24" s="13" t="s">
        <v>387</v>
      </c>
    </row>
    <row r="25" customFormat="false" ht="15" hidden="false" customHeight="false" outlineLevel="0" collapsed="false">
      <c r="A25" s="10" t="s">
        <v>388</v>
      </c>
      <c r="B25" s="15" t="n">
        <f aca="false">IFERROR(B21/B22,0)</f>
        <v>0</v>
      </c>
      <c r="C25" s="13" t="s">
        <v>389</v>
      </c>
    </row>
    <row r="26" customFormat="false" ht="15" hidden="false" customHeight="false" outlineLevel="0" collapsed="false">
      <c r="A26" s="10" t="s">
        <v>390</v>
      </c>
      <c r="B26" s="15" t="n">
        <f aca="false">B24*B23/1000</f>
        <v>0</v>
      </c>
      <c r="C26" s="13" t="s">
        <v>389</v>
      </c>
    </row>
    <row r="27" customFormat="false" ht="15" hidden="false" customHeight="false" outlineLevel="0" collapsed="false">
      <c r="A27" s="27" t="s">
        <v>391</v>
      </c>
      <c r="B27" s="31" t="n">
        <f aca="false">B25+B26</f>
        <v>0</v>
      </c>
      <c r="C27" s="13" t="s">
        <v>392</v>
      </c>
    </row>
    <row r="29" customFormat="false" ht="15" hidden="false" customHeight="false" outlineLevel="0" collapsed="false">
      <c r="A29" s="24" t="s">
        <v>393</v>
      </c>
      <c r="B29" s="23"/>
      <c r="C29" s="23"/>
    </row>
    <row r="30" customFormat="false" ht="54.75" hidden="false" customHeight="true" outlineLevel="0" collapsed="false">
      <c r="A30" s="32" t="s">
        <v>394</v>
      </c>
      <c r="B30" s="32"/>
      <c r="C30" s="32"/>
    </row>
  </sheetData>
  <mergeCells count="1">
    <mergeCell ref="A30:C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2"/>
    <col collapsed="false" customWidth="true" hidden="false" outlineLevel="0" max="5" min="3" style="0" width="14"/>
    <col collapsed="false" customWidth="true" hidden="false" outlineLevel="0" max="6" min="6" style="0" width="17"/>
    <col collapsed="false" customWidth="true" hidden="false" outlineLevel="0" max="7" min="7" style="0" width="55"/>
  </cols>
  <sheetData>
    <row r="1" customFormat="false" ht="17.35" hidden="false" customHeight="false" outlineLevel="0" collapsed="false">
      <c r="A1" s="1" t="s">
        <v>395</v>
      </c>
    </row>
    <row r="2" customFormat="false" ht="15" hidden="false" customHeight="false" outlineLevel="0" collapsed="false">
      <c r="A2" s="2" t="s">
        <v>396</v>
      </c>
    </row>
    <row r="4" customFormat="false" ht="15" hidden="false" customHeight="false" outlineLevel="0" collapsed="false">
      <c r="A4" s="9" t="s">
        <v>397</v>
      </c>
      <c r="B4" s="9" t="s">
        <v>398</v>
      </c>
      <c r="C4" s="33" t="s">
        <v>399</v>
      </c>
      <c r="D4" s="33" t="s">
        <v>400</v>
      </c>
      <c r="E4" s="33" t="s">
        <v>401</v>
      </c>
      <c r="F4" s="9" t="s">
        <v>402</v>
      </c>
      <c r="G4" s="9" t="s">
        <v>403</v>
      </c>
    </row>
    <row r="5" customFormat="false" ht="15" hidden="false" customHeight="false" outlineLevel="0" collapsed="false">
      <c r="A5" s="10" t="s">
        <v>404</v>
      </c>
      <c r="B5" s="11" t="s">
        <v>405</v>
      </c>
      <c r="C5" s="12" t="n">
        <v>2400000</v>
      </c>
      <c r="D5" s="12" t="n">
        <v>2400000</v>
      </c>
      <c r="E5" s="12" t="n">
        <v>2400000</v>
      </c>
      <c r="F5" s="15" t="n">
        <f aca="false">AVERAGE(C5:E5)</f>
        <v>2400000</v>
      </c>
      <c r="G5" s="13" t="s">
        <v>406</v>
      </c>
    </row>
    <row r="6" customFormat="false" ht="15" hidden="false" customHeight="false" outlineLevel="0" collapsed="false">
      <c r="A6" s="10" t="s">
        <v>407</v>
      </c>
      <c r="B6" s="11" t="s">
        <v>405</v>
      </c>
      <c r="C6" s="12" t="n">
        <v>833000</v>
      </c>
      <c r="D6" s="12" t="n">
        <v>833000</v>
      </c>
      <c r="E6" s="12" t="n">
        <v>833000</v>
      </c>
      <c r="F6" s="15" t="n">
        <f aca="false">AVERAGE(C6:E6)</f>
        <v>833000</v>
      </c>
      <c r="G6" s="13" t="s">
        <v>406</v>
      </c>
    </row>
    <row r="7" customFormat="false" ht="15" hidden="false" customHeight="false" outlineLevel="0" collapsed="false">
      <c r="A7" s="10" t="s">
        <v>408</v>
      </c>
      <c r="B7" s="11" t="s">
        <v>405</v>
      </c>
      <c r="C7" s="12" t="n">
        <v>1666000</v>
      </c>
      <c r="D7" s="12" t="n">
        <v>1666000</v>
      </c>
      <c r="E7" s="12" t="n">
        <v>1666000</v>
      </c>
      <c r="F7" s="15" t="n">
        <f aca="false">AVERAGE(C7:E7)</f>
        <v>1666000</v>
      </c>
      <c r="G7" s="13" t="s">
        <v>406</v>
      </c>
    </row>
    <row r="8" customFormat="false" ht="15" hidden="false" customHeight="false" outlineLevel="0" collapsed="false">
      <c r="A8" s="10" t="s">
        <v>409</v>
      </c>
      <c r="B8" s="11" t="s">
        <v>405</v>
      </c>
      <c r="C8" s="12" t="n">
        <v>1105374</v>
      </c>
      <c r="D8" s="12" t="n">
        <v>1105374</v>
      </c>
      <c r="E8" s="12" t="n">
        <v>1105374</v>
      </c>
      <c r="F8" s="15" t="n">
        <f aca="false">AVERAGE(C8:E8)</f>
        <v>1105374</v>
      </c>
      <c r="G8" s="13" t="s">
        <v>406</v>
      </c>
    </row>
    <row r="9" customFormat="false" ht="15" hidden="false" customHeight="false" outlineLevel="0" collapsed="false">
      <c r="A9" s="10" t="s">
        <v>410</v>
      </c>
      <c r="B9" s="11" t="s">
        <v>405</v>
      </c>
      <c r="C9" s="12" t="n">
        <v>720000</v>
      </c>
      <c r="D9" s="12" t="n">
        <v>720000</v>
      </c>
      <c r="E9" s="12" t="n">
        <v>720000</v>
      </c>
      <c r="F9" s="15" t="n">
        <f aca="false">AVERAGE(C9:E9)</f>
        <v>720000</v>
      </c>
      <c r="G9" s="13" t="s">
        <v>406</v>
      </c>
    </row>
    <row r="10" customFormat="false" ht="15" hidden="false" customHeight="false" outlineLevel="0" collapsed="false">
      <c r="A10" s="10" t="s">
        <v>411</v>
      </c>
      <c r="B10" s="11" t="s">
        <v>405</v>
      </c>
      <c r="C10" s="12" t="n">
        <v>638049</v>
      </c>
      <c r="D10" s="12" t="n">
        <v>638049</v>
      </c>
      <c r="E10" s="12" t="n">
        <v>638049</v>
      </c>
      <c r="F10" s="15" t="n">
        <f aca="false">AVERAGE(C10:E10)</f>
        <v>638049</v>
      </c>
      <c r="G10" s="13"/>
    </row>
    <row r="11" customFormat="false" ht="15" hidden="false" customHeight="false" outlineLevel="0" collapsed="false">
      <c r="A11" s="10" t="s">
        <v>412</v>
      </c>
      <c r="B11" s="11" t="s">
        <v>405</v>
      </c>
      <c r="C11" s="12" t="n">
        <v>10630</v>
      </c>
      <c r="D11" s="12" t="n">
        <v>10630</v>
      </c>
      <c r="E11" s="12" t="n">
        <v>10630</v>
      </c>
      <c r="F11" s="15" t="n">
        <f aca="false">AVERAGE(C11:E11)</f>
        <v>10630</v>
      </c>
      <c r="G11" s="13"/>
    </row>
    <row r="12" customFormat="false" ht="15" hidden="false" customHeight="false" outlineLevel="0" collapsed="false">
      <c r="A12" s="10" t="s">
        <v>413</v>
      </c>
      <c r="B12" s="11" t="s">
        <v>405</v>
      </c>
      <c r="C12" s="12" t="n">
        <v>95000</v>
      </c>
      <c r="D12" s="12" t="n">
        <v>95000</v>
      </c>
      <c r="E12" s="12" t="n">
        <v>95000</v>
      </c>
      <c r="F12" s="15" t="n">
        <f aca="false">AVERAGE(C12:E12)</f>
        <v>95000</v>
      </c>
      <c r="G12" s="13"/>
    </row>
    <row r="13" customFormat="false" ht="15" hidden="false" customHeight="false" outlineLevel="0" collapsed="false">
      <c r="A13" s="10" t="s">
        <v>414</v>
      </c>
      <c r="B13" s="11" t="s">
        <v>405</v>
      </c>
      <c r="C13" s="12" t="n">
        <v>2163844</v>
      </c>
      <c r="D13" s="12" t="n">
        <v>2163844</v>
      </c>
      <c r="E13" s="12" t="n">
        <v>2163844</v>
      </c>
      <c r="F13" s="15" t="n">
        <f aca="false">AVERAGE(C13:E13)</f>
        <v>2163844</v>
      </c>
      <c r="G13" s="13"/>
    </row>
    <row r="14" customFormat="false" ht="15" hidden="false" customHeight="false" outlineLevel="0" collapsed="false">
      <c r="A14" s="10" t="s">
        <v>415</v>
      </c>
      <c r="B14" s="11" t="s">
        <v>405</v>
      </c>
      <c r="C14" s="12" t="n">
        <v>49000</v>
      </c>
      <c r="D14" s="12" t="n">
        <v>49000</v>
      </c>
      <c r="E14" s="12" t="n">
        <v>49000</v>
      </c>
      <c r="F14" s="15" t="n">
        <f aca="false">AVERAGE(C14:E14)</f>
        <v>49000</v>
      </c>
      <c r="G14" s="13"/>
    </row>
    <row r="15" customFormat="false" ht="15" hidden="false" customHeight="false" outlineLevel="0" collapsed="false">
      <c r="A15" s="10" t="s">
        <v>416</v>
      </c>
      <c r="B15" s="11" t="s">
        <v>405</v>
      </c>
      <c r="C15" s="12" t="n">
        <v>300000</v>
      </c>
      <c r="D15" s="12" t="n">
        <v>300000</v>
      </c>
      <c r="E15" s="12" t="n">
        <v>300000</v>
      </c>
      <c r="F15" s="15" t="n">
        <f aca="false">AVERAGE(C15:E15)</f>
        <v>300000</v>
      </c>
      <c r="G15" s="13"/>
    </row>
    <row r="16" customFormat="false" ht="15" hidden="false" customHeight="false" outlineLevel="0" collapsed="false">
      <c r="A16" s="10" t="s">
        <v>417</v>
      </c>
      <c r="B16" s="11" t="s">
        <v>405</v>
      </c>
      <c r="C16" s="12" t="n">
        <v>50000</v>
      </c>
      <c r="D16" s="12" t="n">
        <v>50000</v>
      </c>
      <c r="E16" s="12" t="n">
        <v>50000</v>
      </c>
      <c r="F16" s="15" t="n">
        <f aca="false">AVERAGE(C16:E16)</f>
        <v>50000</v>
      </c>
      <c r="G16" s="13"/>
    </row>
    <row r="17" customFormat="false" ht="15" hidden="false" customHeight="false" outlineLevel="0" collapsed="false">
      <c r="A17" s="10" t="s">
        <v>418</v>
      </c>
      <c r="B17" s="11" t="s">
        <v>405</v>
      </c>
      <c r="C17" s="12" t="n">
        <v>100000</v>
      </c>
      <c r="D17" s="12" t="n">
        <v>100000</v>
      </c>
      <c r="E17" s="12" t="n">
        <v>100000</v>
      </c>
      <c r="F17" s="15" t="n">
        <f aca="false">AVERAGE(C17:E17)</f>
        <v>100000</v>
      </c>
      <c r="G17" s="13"/>
    </row>
    <row r="18" customFormat="false" ht="15" hidden="false" customHeight="false" outlineLevel="0" collapsed="false">
      <c r="A18" s="10" t="s">
        <v>419</v>
      </c>
      <c r="B18" s="11" t="s">
        <v>405</v>
      </c>
      <c r="C18" s="12" t="n">
        <v>100000</v>
      </c>
      <c r="D18" s="12" t="n">
        <v>100000</v>
      </c>
      <c r="E18" s="12" t="n">
        <v>100000</v>
      </c>
      <c r="F18" s="15" t="n">
        <f aca="false">AVERAGE(C18:E18)</f>
        <v>100000</v>
      </c>
      <c r="G18" s="13"/>
    </row>
    <row r="19" customFormat="false" ht="15" hidden="false" customHeight="false" outlineLevel="0" collapsed="false">
      <c r="A19" s="10" t="s">
        <v>420</v>
      </c>
      <c r="B19" s="11" t="s">
        <v>405</v>
      </c>
      <c r="C19" s="12" t="n">
        <v>300000</v>
      </c>
      <c r="D19" s="12" t="n">
        <v>300000</v>
      </c>
      <c r="E19" s="12" t="n">
        <v>300000</v>
      </c>
      <c r="F19" s="15" t="n">
        <f aca="false">AVERAGE(C19:E19)</f>
        <v>300000</v>
      </c>
      <c r="G19" s="13"/>
    </row>
    <row r="20" customFormat="false" ht="15" hidden="false" customHeight="false" outlineLevel="0" collapsed="false">
      <c r="A20" s="10" t="s">
        <v>421</v>
      </c>
      <c r="B20" s="11" t="s">
        <v>405</v>
      </c>
      <c r="C20" s="12" t="n">
        <v>1071000</v>
      </c>
      <c r="D20" s="12" t="n">
        <v>1071000</v>
      </c>
      <c r="E20" s="12" t="n">
        <v>1071000</v>
      </c>
      <c r="F20" s="15" t="n">
        <f aca="false">AVERAGE(C20:E20)</f>
        <v>1071000</v>
      </c>
      <c r="G20" s="13" t="s">
        <v>406</v>
      </c>
    </row>
    <row r="21" customFormat="false" ht="15" hidden="false" customHeight="false" outlineLevel="0" collapsed="false">
      <c r="A21" s="10" t="s">
        <v>422</v>
      </c>
      <c r="B21" s="11" t="s">
        <v>405</v>
      </c>
      <c r="C21" s="12" t="n">
        <v>400000</v>
      </c>
      <c r="D21" s="12" t="n">
        <v>400000</v>
      </c>
      <c r="E21" s="12" t="n">
        <v>400000</v>
      </c>
      <c r="F21" s="15" t="n">
        <f aca="false">AVERAGE(C21:E21)</f>
        <v>400000</v>
      </c>
      <c r="G21" s="13" t="s">
        <v>406</v>
      </c>
    </row>
    <row r="22" customFormat="false" ht="15" hidden="false" customHeight="false" outlineLevel="0" collapsed="false">
      <c r="A22" s="10" t="s">
        <v>423</v>
      </c>
      <c r="B22" s="11" t="s">
        <v>405</v>
      </c>
      <c r="C22" s="12" t="n">
        <v>120000</v>
      </c>
      <c r="D22" s="12" t="n">
        <v>120000</v>
      </c>
      <c r="E22" s="12" t="n">
        <v>120000</v>
      </c>
      <c r="F22" s="15" t="n">
        <f aca="false">AVERAGE(C22:E22)</f>
        <v>120000</v>
      </c>
      <c r="G22" s="13" t="s">
        <v>406</v>
      </c>
    </row>
    <row r="23" customFormat="false" ht="15" hidden="false" customHeight="false" outlineLevel="0" collapsed="false">
      <c r="A23" s="10" t="s">
        <v>424</v>
      </c>
      <c r="B23" s="11" t="s">
        <v>405</v>
      </c>
      <c r="C23" s="12" t="n">
        <v>300000</v>
      </c>
      <c r="D23" s="12" t="n">
        <v>300000</v>
      </c>
      <c r="E23" s="12" t="n">
        <v>300000</v>
      </c>
      <c r="F23" s="15" t="n">
        <f aca="false">AVERAGE(C23:E23)</f>
        <v>300000</v>
      </c>
      <c r="G23" s="13" t="s">
        <v>406</v>
      </c>
    </row>
    <row r="24" customFormat="false" ht="15" hidden="false" customHeight="false" outlineLevel="0" collapsed="false">
      <c r="A24" s="10" t="s">
        <v>425</v>
      </c>
      <c r="B24" s="11" t="s">
        <v>426</v>
      </c>
      <c r="C24" s="12" t="n">
        <v>0</v>
      </c>
      <c r="D24" s="12" t="n">
        <v>0</v>
      </c>
      <c r="E24" s="12" t="n">
        <v>0</v>
      </c>
      <c r="F24" s="15" t="n">
        <f aca="false">AVERAGE(C24:E24)</f>
        <v>0</v>
      </c>
      <c r="G24" s="13" t="s">
        <v>406</v>
      </c>
    </row>
    <row r="25" customFormat="false" ht="15" hidden="false" customHeight="false" outlineLevel="0" collapsed="false">
      <c r="A25" s="10" t="s">
        <v>427</v>
      </c>
      <c r="B25" s="11" t="s">
        <v>426</v>
      </c>
      <c r="C25" s="12" t="n">
        <v>0</v>
      </c>
      <c r="D25" s="12" t="n">
        <v>0</v>
      </c>
      <c r="E25" s="12" t="n">
        <v>0</v>
      </c>
      <c r="F25" s="15" t="n">
        <f aca="false">AVERAGE(C25:E25)</f>
        <v>0</v>
      </c>
      <c r="G25" s="13" t="s">
        <v>406</v>
      </c>
    </row>
    <row r="26" customFormat="false" ht="15" hidden="false" customHeight="false" outlineLevel="0" collapsed="false">
      <c r="A26" s="10" t="s">
        <v>428</v>
      </c>
      <c r="B26" s="11" t="s">
        <v>426</v>
      </c>
      <c r="C26" s="12" t="n">
        <v>1680000</v>
      </c>
      <c r="D26" s="12" t="n">
        <v>1680000</v>
      </c>
      <c r="E26" s="12" t="n">
        <v>1680000</v>
      </c>
      <c r="F26" s="15" t="n">
        <f aca="false">AVERAGE(C26:E26)</f>
        <v>1680000</v>
      </c>
      <c r="G26" s="13" t="s">
        <v>406</v>
      </c>
    </row>
    <row r="27" customFormat="false" ht="15" hidden="false" customHeight="false" outlineLevel="0" collapsed="false">
      <c r="A27" s="10" t="s">
        <v>429</v>
      </c>
      <c r="B27" s="11" t="s">
        <v>426</v>
      </c>
      <c r="C27" s="12" t="n">
        <v>680000</v>
      </c>
      <c r="D27" s="12" t="n">
        <v>680000</v>
      </c>
      <c r="E27" s="12" t="n">
        <v>680000</v>
      </c>
      <c r="F27" s="15" t="n">
        <f aca="false">AVERAGE(C27:E27)</f>
        <v>680000</v>
      </c>
      <c r="G27" s="13" t="s">
        <v>406</v>
      </c>
    </row>
    <row r="28" customFormat="false" ht="15" hidden="false" customHeight="false" outlineLevel="0" collapsed="false">
      <c r="A28" s="10" t="s">
        <v>430</v>
      </c>
      <c r="B28" s="11" t="s">
        <v>426</v>
      </c>
      <c r="C28" s="12" t="n">
        <v>397000</v>
      </c>
      <c r="D28" s="12" t="n">
        <v>397000</v>
      </c>
      <c r="E28" s="12" t="n">
        <v>397000</v>
      </c>
      <c r="F28" s="15" t="n">
        <f aca="false">AVERAGE(C28:E28)</f>
        <v>397000</v>
      </c>
      <c r="G28" s="13" t="s">
        <v>406</v>
      </c>
    </row>
    <row r="29" customFormat="false" ht="15" hidden="false" customHeight="false" outlineLevel="0" collapsed="false">
      <c r="A29" s="10" t="s">
        <v>431</v>
      </c>
      <c r="B29" s="11" t="s">
        <v>426</v>
      </c>
      <c r="C29" s="12" t="n">
        <v>447861</v>
      </c>
      <c r="D29" s="12" t="n">
        <v>447861</v>
      </c>
      <c r="E29" s="12" t="n">
        <v>447861</v>
      </c>
      <c r="F29" s="15" t="n">
        <f aca="false">AVERAGE(C29:E29)</f>
        <v>447861</v>
      </c>
      <c r="G29" s="13"/>
    </row>
    <row r="30" customFormat="false" ht="15" hidden="false" customHeight="false" outlineLevel="0" collapsed="false">
      <c r="A30" s="10" t="s">
        <v>432</v>
      </c>
      <c r="B30" s="11" t="s">
        <v>426</v>
      </c>
      <c r="C30" s="12" t="n">
        <v>450000</v>
      </c>
      <c r="D30" s="12" t="n">
        <v>450000</v>
      </c>
      <c r="E30" s="12" t="n">
        <v>450000</v>
      </c>
      <c r="F30" s="15" t="n">
        <f aca="false">AVERAGE(C30:E30)</f>
        <v>450000</v>
      </c>
      <c r="G30" s="13"/>
    </row>
    <row r="31" customFormat="false" ht="15" hidden="false" customHeight="false" outlineLevel="0" collapsed="false">
      <c r="A31" s="10" t="s">
        <v>433</v>
      </c>
      <c r="B31" s="11" t="s">
        <v>426</v>
      </c>
      <c r="C31" s="12" t="n">
        <v>214200</v>
      </c>
      <c r="D31" s="12" t="n">
        <v>214200</v>
      </c>
      <c r="E31" s="12" t="n">
        <v>214200</v>
      </c>
      <c r="F31" s="15" t="n">
        <f aca="false">AVERAGE(C31:E31)</f>
        <v>214200</v>
      </c>
      <c r="G31" s="13"/>
    </row>
    <row r="32" customFormat="false" ht="15" hidden="false" customHeight="false" outlineLevel="0" collapsed="false">
      <c r="A32" s="10" t="s">
        <v>434</v>
      </c>
      <c r="B32" s="11" t="s">
        <v>426</v>
      </c>
      <c r="C32" s="12" t="n">
        <v>450000</v>
      </c>
      <c r="D32" s="12" t="n">
        <v>450000</v>
      </c>
      <c r="E32" s="12" t="n">
        <v>450000</v>
      </c>
      <c r="F32" s="15" t="n">
        <f aca="false">AVERAGE(C32:E32)</f>
        <v>450000</v>
      </c>
      <c r="G32" s="13"/>
    </row>
    <row r="33" customFormat="false" ht="15" hidden="false" customHeight="false" outlineLevel="0" collapsed="false">
      <c r="A33" s="10" t="s">
        <v>435</v>
      </c>
      <c r="B33" s="11" t="s">
        <v>426</v>
      </c>
      <c r="C33" s="12" t="n">
        <v>60000</v>
      </c>
      <c r="D33" s="12" t="n">
        <v>60000</v>
      </c>
      <c r="E33" s="12" t="n">
        <v>60000</v>
      </c>
      <c r="F33" s="15" t="n">
        <f aca="false">AVERAGE(C33:E33)</f>
        <v>60000</v>
      </c>
      <c r="G33" s="13"/>
    </row>
    <row r="34" customFormat="false" ht="15" hidden="false" customHeight="false" outlineLevel="0" collapsed="false">
      <c r="A34" s="10" t="s">
        <v>436</v>
      </c>
      <c r="B34" s="11" t="s">
        <v>426</v>
      </c>
      <c r="C34" s="12" t="n">
        <v>80000</v>
      </c>
      <c r="D34" s="12" t="n">
        <v>80000</v>
      </c>
      <c r="E34" s="12" t="n">
        <v>80000</v>
      </c>
      <c r="F34" s="15" t="n">
        <f aca="false">AVERAGE(C34:E34)</f>
        <v>80000</v>
      </c>
      <c r="G34" s="13"/>
    </row>
    <row r="35" customFormat="false" ht="15" hidden="false" customHeight="false" outlineLevel="0" collapsed="false">
      <c r="A35" s="34"/>
      <c r="B35" s="11"/>
      <c r="C35" s="12"/>
      <c r="D35" s="12"/>
      <c r="E35" s="12"/>
      <c r="F35" s="15" t="n">
        <f aca="false">IF(COUNT(C35:E35)=0,0,AVERAGE(C35:E35))</f>
        <v>0</v>
      </c>
      <c r="G35" s="13" t="s">
        <v>437</v>
      </c>
    </row>
    <row r="36" customFormat="false" ht="15" hidden="false" customHeight="false" outlineLevel="0" collapsed="false">
      <c r="A36" s="34"/>
      <c r="B36" s="11"/>
      <c r="C36" s="12"/>
      <c r="D36" s="12"/>
      <c r="E36" s="12"/>
      <c r="F36" s="15" t="n">
        <f aca="false">IF(COUNT(C36:E36)=0,0,AVERAGE(C36:E36))</f>
        <v>0</v>
      </c>
    </row>
    <row r="37" customFormat="false" ht="15" hidden="false" customHeight="false" outlineLevel="0" collapsed="false">
      <c r="A37" s="34"/>
      <c r="B37" s="11"/>
      <c r="C37" s="12"/>
      <c r="D37" s="12"/>
      <c r="E37" s="12"/>
      <c r="F37" s="15" t="n">
        <f aca="false">IF(COUNT(C37:E37)=0,0,AVERAGE(C37:E37))</f>
        <v>0</v>
      </c>
    </row>
    <row r="38" customFormat="false" ht="15" hidden="false" customHeight="false" outlineLevel="0" collapsed="false">
      <c r="A38" s="34"/>
      <c r="B38" s="11"/>
      <c r="C38" s="12"/>
      <c r="D38" s="12"/>
      <c r="E38" s="12"/>
      <c r="F38" s="15" t="n">
        <f aca="false">IF(COUNT(C38:E38)=0,0,AVERAGE(C38:E38))</f>
        <v>0</v>
      </c>
    </row>
    <row r="39" customFormat="false" ht="15" hidden="false" customHeight="false" outlineLevel="0" collapsed="false">
      <c r="A39" s="34"/>
      <c r="B39" s="11"/>
      <c r="C39" s="12"/>
      <c r="D39" s="12"/>
      <c r="E39" s="12"/>
      <c r="F39" s="15" t="n">
        <f aca="false">IF(COUNT(C39:E39)=0,0,AVERAGE(C39:E39))</f>
        <v>0</v>
      </c>
    </row>
    <row r="41" customFormat="false" ht="15" hidden="false" customHeight="false" outlineLevel="0" collapsed="false">
      <c r="A41" s="35" t="s">
        <v>438</v>
      </c>
      <c r="C41" s="14" t="n">
        <f aca="false">SUMIF($B$5:$B$39,"Fábrica",C$5:C$39)</f>
        <v>12421897</v>
      </c>
      <c r="D41" s="14" t="n">
        <f aca="false">SUMIF($B$5:$B$39,"Fábrica",D$5:D$39)</f>
        <v>12421897</v>
      </c>
      <c r="E41" s="14" t="n">
        <f aca="false">SUMIF($B$5:$B$39,"Fábrica",E$5:E$39)</f>
        <v>12421897</v>
      </c>
      <c r="F41" s="14" t="n">
        <f aca="false">SUMIF($B$5:$B$39,"Fábrica",F$5:F$39)</f>
        <v>12421897</v>
      </c>
    </row>
    <row r="42" customFormat="false" ht="15" hidden="false" customHeight="false" outlineLevel="0" collapsed="false">
      <c r="A42" s="35" t="s">
        <v>439</v>
      </c>
      <c r="C42" s="14" t="n">
        <f aca="false">SUMIF($B$5:$B$39,"Comercial",C$5:C$39)</f>
        <v>4459061</v>
      </c>
      <c r="D42" s="14" t="n">
        <f aca="false">SUMIF($B$5:$B$39,"Comercial",D$5:D$39)</f>
        <v>4459061</v>
      </c>
      <c r="E42" s="14" t="n">
        <f aca="false">SUMIF($B$5:$B$39,"Comercial",E$5:E$39)</f>
        <v>4459061</v>
      </c>
      <c r="F42" s="14" t="n">
        <f aca="false">SUMIF($B$5:$B$39,"Comercial",F$5:F$39)</f>
        <v>4459061</v>
      </c>
    </row>
    <row r="43" customFormat="false" ht="15" hidden="false" customHeight="false" outlineLevel="0" collapsed="false">
      <c r="A43" s="35" t="s">
        <v>440</v>
      </c>
      <c r="C43" s="14" t="n">
        <f aca="false">C41+C42</f>
        <v>16880958</v>
      </c>
      <c r="D43" s="14" t="n">
        <f aca="false">D41+D42</f>
        <v>16880958</v>
      </c>
      <c r="E43" s="14" t="n">
        <f aca="false">E41+E42</f>
        <v>16880958</v>
      </c>
      <c r="F43" s="14" t="n">
        <f aca="false">F41+F42</f>
        <v>16880958</v>
      </c>
    </row>
    <row r="45" customFormat="false" ht="22.35" hidden="false" customHeight="false" outlineLevel="0" collapsed="false">
      <c r="A45" s="35" t="s">
        <v>441</v>
      </c>
      <c r="C45" s="12" t="n">
        <v>32768213</v>
      </c>
      <c r="D45" s="12" t="n">
        <v>38874120</v>
      </c>
      <c r="E45" s="12" t="n">
        <v>33942186</v>
      </c>
      <c r="F45" s="14" t="n">
        <f aca="false">AVERAGE(C45:E45)</f>
        <v>35194839.6666667</v>
      </c>
      <c r="G45" s="13" t="s">
        <v>442</v>
      </c>
    </row>
    <row r="47" customFormat="false" ht="15" hidden="false" customHeight="true" outlineLevel="0" collapsed="false">
      <c r="A47" s="32" t="s">
        <v>443</v>
      </c>
      <c r="B47" s="32"/>
      <c r="C47" s="32"/>
      <c r="D47" s="32"/>
      <c r="E47" s="32"/>
      <c r="F47" s="32"/>
      <c r="G47" s="32"/>
    </row>
    <row r="48" customFormat="false" ht="15" hidden="false" customHeight="true" outlineLevel="0" collapsed="false">
      <c r="A48" s="32" t="s">
        <v>444</v>
      </c>
      <c r="B48" s="32"/>
      <c r="C48" s="32"/>
      <c r="D48" s="32"/>
      <c r="E48" s="32"/>
      <c r="F48" s="32"/>
      <c r="G48" s="32"/>
    </row>
  </sheetData>
  <mergeCells count="2">
    <mergeCell ref="A47:G47"/>
    <mergeCell ref="A48:G48"/>
  </mergeCells>
  <dataValidations count="1">
    <dataValidation allowBlank="true" errorStyle="stop" operator="between" showDropDown="false" showErrorMessage="false" showInputMessage="false" sqref="B5:B39" type="list">
      <formula1>"Fábrica,Comercial"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6"/>
    <col collapsed="false" customWidth="true" hidden="false" outlineLevel="0" max="2" min="2" style="0" width="10"/>
    <col collapsed="false" customWidth="true" hidden="false" outlineLevel="0" max="3" min="3" style="0" width="9"/>
    <col collapsed="false" customWidth="true" hidden="false" outlineLevel="0" max="5" min="4" style="0" width="15"/>
    <col collapsed="false" customWidth="true" hidden="false" outlineLevel="0" max="6" min="6" style="0" width="50"/>
  </cols>
  <sheetData>
    <row r="1" customFormat="false" ht="17.35" hidden="false" customHeight="false" outlineLevel="0" collapsed="false">
      <c r="A1" s="1" t="s">
        <v>445</v>
      </c>
    </row>
    <row r="2" customFormat="false" ht="15" hidden="false" customHeight="false" outlineLevel="0" collapsed="false">
      <c r="A2" s="2" t="s">
        <v>446</v>
      </c>
    </row>
    <row r="4" customFormat="false" ht="15" hidden="false" customHeight="false" outlineLevel="0" collapsed="false">
      <c r="A4" s="9" t="s">
        <v>447</v>
      </c>
      <c r="B4" s="9" t="s">
        <v>25</v>
      </c>
      <c r="C4" s="9" t="s">
        <v>448</v>
      </c>
      <c r="D4" s="9" t="s">
        <v>449</v>
      </c>
      <c r="E4" s="9" t="s">
        <v>30</v>
      </c>
      <c r="F4" s="9" t="s">
        <v>403</v>
      </c>
    </row>
    <row r="5" customFormat="false" ht="15" hidden="false" customHeight="false" outlineLevel="0" collapsed="false">
      <c r="A5" s="10" t="s">
        <v>261</v>
      </c>
      <c r="B5" s="10" t="s">
        <v>450</v>
      </c>
      <c r="C5" s="10" t="s">
        <v>451</v>
      </c>
      <c r="D5" s="12" t="n">
        <v>3531</v>
      </c>
      <c r="E5" s="11" t="s">
        <v>45</v>
      </c>
      <c r="F5" s="13"/>
    </row>
    <row r="6" customFormat="false" ht="15" hidden="false" customHeight="false" outlineLevel="0" collapsed="false">
      <c r="A6" s="10" t="s">
        <v>452</v>
      </c>
      <c r="B6" s="10" t="s">
        <v>450</v>
      </c>
      <c r="C6" s="10" t="s">
        <v>451</v>
      </c>
      <c r="D6" s="12" t="n">
        <v>5600</v>
      </c>
      <c r="E6" s="11" t="s">
        <v>45</v>
      </c>
      <c r="F6" s="13"/>
    </row>
    <row r="7" customFormat="false" ht="15" hidden="false" customHeight="false" outlineLevel="0" collapsed="false">
      <c r="A7" s="10" t="s">
        <v>246</v>
      </c>
      <c r="B7" s="10" t="s">
        <v>450</v>
      </c>
      <c r="C7" s="10" t="s">
        <v>451</v>
      </c>
      <c r="D7" s="12" t="n">
        <v>5600</v>
      </c>
      <c r="E7" s="11" t="s">
        <v>45</v>
      </c>
      <c r="F7" s="13"/>
    </row>
    <row r="8" customFormat="false" ht="15" hidden="false" customHeight="false" outlineLevel="0" collapsed="false">
      <c r="A8" s="10" t="s">
        <v>453</v>
      </c>
      <c r="B8" s="10" t="s">
        <v>450</v>
      </c>
      <c r="C8" s="10" t="s">
        <v>451</v>
      </c>
      <c r="D8" s="12" t="n">
        <v>7500</v>
      </c>
      <c r="E8" s="11" t="s">
        <v>45</v>
      </c>
      <c r="F8" s="13"/>
    </row>
    <row r="9" customFormat="false" ht="15" hidden="false" customHeight="false" outlineLevel="0" collapsed="false">
      <c r="A9" s="10" t="s">
        <v>247</v>
      </c>
      <c r="B9" s="10" t="s">
        <v>450</v>
      </c>
      <c r="C9" s="10" t="s">
        <v>451</v>
      </c>
      <c r="D9" s="12" t="n">
        <v>7700</v>
      </c>
      <c r="E9" s="11" t="s">
        <v>45</v>
      </c>
      <c r="F9" s="13"/>
    </row>
    <row r="10" customFormat="false" ht="15" hidden="false" customHeight="false" outlineLevel="0" collapsed="false">
      <c r="A10" s="10" t="s">
        <v>454</v>
      </c>
      <c r="B10" s="10" t="s">
        <v>450</v>
      </c>
      <c r="C10" s="10" t="s">
        <v>451</v>
      </c>
      <c r="D10" s="12" t="n">
        <v>8000</v>
      </c>
      <c r="E10" s="11" t="s">
        <v>45</v>
      </c>
      <c r="F10" s="13"/>
    </row>
    <row r="11" customFormat="false" ht="15" hidden="false" customHeight="false" outlineLevel="0" collapsed="false">
      <c r="A11" s="10" t="s">
        <v>455</v>
      </c>
      <c r="B11" s="10" t="s">
        <v>450</v>
      </c>
      <c r="C11" s="10" t="s">
        <v>451</v>
      </c>
      <c r="D11" s="12" t="n">
        <v>7800</v>
      </c>
      <c r="E11" s="11" t="s">
        <v>45</v>
      </c>
      <c r="F11" s="13"/>
    </row>
    <row r="12" customFormat="false" ht="15" hidden="false" customHeight="false" outlineLevel="0" collapsed="false">
      <c r="A12" s="10" t="s">
        <v>456</v>
      </c>
      <c r="B12" s="10" t="s">
        <v>450</v>
      </c>
      <c r="C12" s="10" t="s">
        <v>451</v>
      </c>
      <c r="D12" s="12" t="n">
        <v>6900</v>
      </c>
      <c r="E12" s="11" t="s">
        <v>45</v>
      </c>
      <c r="F12" s="13"/>
    </row>
    <row r="13" customFormat="false" ht="15" hidden="false" customHeight="false" outlineLevel="0" collapsed="false">
      <c r="A13" s="10" t="s">
        <v>457</v>
      </c>
      <c r="B13" s="10" t="s">
        <v>450</v>
      </c>
      <c r="C13" s="10" t="s">
        <v>451</v>
      </c>
      <c r="D13" s="12" t="n">
        <v>7200</v>
      </c>
      <c r="E13" s="11" t="s">
        <v>45</v>
      </c>
      <c r="F13" s="13"/>
    </row>
    <row r="14" customFormat="false" ht="15" hidden="false" customHeight="false" outlineLevel="0" collapsed="false">
      <c r="A14" s="10" t="s">
        <v>458</v>
      </c>
      <c r="B14" s="10" t="s">
        <v>450</v>
      </c>
      <c r="C14" s="10" t="s">
        <v>451</v>
      </c>
      <c r="D14" s="12" t="n">
        <v>7900</v>
      </c>
      <c r="E14" s="11" t="s">
        <v>45</v>
      </c>
      <c r="F14" s="13"/>
    </row>
    <row r="15" customFormat="false" ht="15" hidden="false" customHeight="false" outlineLevel="0" collapsed="false">
      <c r="A15" s="10" t="s">
        <v>459</v>
      </c>
      <c r="B15" s="10" t="s">
        <v>450</v>
      </c>
      <c r="C15" s="10" t="s">
        <v>451</v>
      </c>
      <c r="D15" s="12" t="n">
        <v>6800</v>
      </c>
      <c r="E15" s="11" t="s">
        <v>45</v>
      </c>
      <c r="F15" s="13"/>
    </row>
    <row r="16" customFormat="false" ht="15" hidden="false" customHeight="false" outlineLevel="0" collapsed="false">
      <c r="A16" s="10" t="s">
        <v>460</v>
      </c>
      <c r="B16" s="10" t="s">
        <v>450</v>
      </c>
      <c r="C16" s="10" t="s">
        <v>451</v>
      </c>
      <c r="D16" s="12" t="n">
        <v>5600</v>
      </c>
      <c r="E16" s="11" t="s">
        <v>45</v>
      </c>
      <c r="F16" s="13"/>
    </row>
    <row r="17" customFormat="false" ht="15" hidden="false" customHeight="false" outlineLevel="0" collapsed="false">
      <c r="A17" s="10" t="s">
        <v>461</v>
      </c>
      <c r="B17" s="10" t="s">
        <v>450</v>
      </c>
      <c r="C17" s="10" t="s">
        <v>451</v>
      </c>
      <c r="D17" s="12" t="n">
        <v>5800</v>
      </c>
      <c r="E17" s="11" t="s">
        <v>45</v>
      </c>
      <c r="F17" s="13"/>
    </row>
    <row r="18" customFormat="false" ht="15" hidden="false" customHeight="false" outlineLevel="0" collapsed="false">
      <c r="A18" s="10" t="s">
        <v>462</v>
      </c>
      <c r="B18" s="10" t="s">
        <v>450</v>
      </c>
      <c r="C18" s="10" t="s">
        <v>451</v>
      </c>
      <c r="D18" s="12" t="n">
        <v>7800</v>
      </c>
      <c r="E18" s="11" t="s">
        <v>45</v>
      </c>
      <c r="F18" s="13"/>
    </row>
    <row r="19" customFormat="false" ht="15" hidden="false" customHeight="false" outlineLevel="0" collapsed="false">
      <c r="A19" s="10" t="s">
        <v>463</v>
      </c>
      <c r="B19" s="10" t="s">
        <v>450</v>
      </c>
      <c r="C19" s="10" t="s">
        <v>451</v>
      </c>
      <c r="D19" s="12" t="n">
        <v>5600</v>
      </c>
      <c r="E19" s="11" t="s">
        <v>45</v>
      </c>
      <c r="F19" s="13"/>
    </row>
    <row r="20" customFormat="false" ht="15" hidden="false" customHeight="false" outlineLevel="0" collapsed="false">
      <c r="A20" s="10" t="s">
        <v>464</v>
      </c>
      <c r="B20" s="10" t="s">
        <v>450</v>
      </c>
      <c r="C20" s="10" t="s">
        <v>451</v>
      </c>
      <c r="D20" s="12" t="n">
        <v>5600</v>
      </c>
      <c r="E20" s="11" t="s">
        <v>45</v>
      </c>
      <c r="F20" s="13"/>
    </row>
    <row r="21" customFormat="false" ht="15" hidden="false" customHeight="false" outlineLevel="0" collapsed="false">
      <c r="A21" s="10" t="s">
        <v>465</v>
      </c>
      <c r="B21" s="10" t="s">
        <v>450</v>
      </c>
      <c r="C21" s="10" t="s">
        <v>451</v>
      </c>
      <c r="D21" s="12" t="n">
        <v>6200</v>
      </c>
      <c r="E21" s="11" t="s">
        <v>45</v>
      </c>
      <c r="F21" s="13"/>
    </row>
    <row r="22" customFormat="false" ht="15" hidden="false" customHeight="false" outlineLevel="0" collapsed="false">
      <c r="A22" s="10" t="s">
        <v>466</v>
      </c>
      <c r="B22" s="10" t="s">
        <v>450</v>
      </c>
      <c r="C22" s="10" t="s">
        <v>451</v>
      </c>
      <c r="D22" s="12" t="n">
        <v>2630</v>
      </c>
      <c r="E22" s="11" t="s">
        <v>45</v>
      </c>
      <c r="F22" s="13"/>
    </row>
    <row r="23" customFormat="false" ht="15" hidden="false" customHeight="false" outlineLevel="0" collapsed="false">
      <c r="A23" s="10" t="s">
        <v>339</v>
      </c>
      <c r="B23" s="10" t="s">
        <v>450</v>
      </c>
      <c r="C23" s="10" t="s">
        <v>451</v>
      </c>
      <c r="D23" s="12" t="n">
        <v>2750</v>
      </c>
      <c r="E23" s="11" t="s">
        <v>45</v>
      </c>
      <c r="F23" s="13"/>
    </row>
    <row r="24" customFormat="false" ht="15" hidden="false" customHeight="false" outlineLevel="0" collapsed="false">
      <c r="A24" s="10" t="s">
        <v>467</v>
      </c>
      <c r="B24" s="10" t="s">
        <v>450</v>
      </c>
      <c r="C24" s="10" t="s">
        <v>451</v>
      </c>
      <c r="D24" s="12" t="n">
        <v>2790</v>
      </c>
      <c r="E24" s="11" t="s">
        <v>45</v>
      </c>
      <c r="F24" s="13"/>
    </row>
    <row r="25" customFormat="false" ht="15" hidden="false" customHeight="false" outlineLevel="0" collapsed="false">
      <c r="A25" s="10" t="s">
        <v>468</v>
      </c>
      <c r="B25" s="10" t="s">
        <v>450</v>
      </c>
      <c r="C25" s="10" t="s">
        <v>451</v>
      </c>
      <c r="D25" s="12" t="n">
        <v>2390</v>
      </c>
      <c r="E25" s="11" t="s">
        <v>45</v>
      </c>
      <c r="F25" s="13"/>
    </row>
    <row r="26" customFormat="false" ht="15" hidden="false" customHeight="false" outlineLevel="0" collapsed="false">
      <c r="A26" s="10" t="s">
        <v>469</v>
      </c>
      <c r="B26" s="10" t="s">
        <v>450</v>
      </c>
      <c r="C26" s="10" t="s">
        <v>451</v>
      </c>
      <c r="D26" s="12" t="n">
        <v>2380</v>
      </c>
      <c r="E26" s="11" t="s">
        <v>45</v>
      </c>
      <c r="F26" s="13"/>
    </row>
    <row r="27" customFormat="false" ht="15" hidden="false" customHeight="false" outlineLevel="0" collapsed="false">
      <c r="A27" s="10" t="s">
        <v>470</v>
      </c>
      <c r="B27" s="10" t="s">
        <v>450</v>
      </c>
      <c r="C27" s="10" t="s">
        <v>451</v>
      </c>
      <c r="D27" s="12" t="n">
        <v>5900</v>
      </c>
      <c r="E27" s="11" t="s">
        <v>45</v>
      </c>
      <c r="F27" s="13"/>
    </row>
    <row r="28" customFormat="false" ht="15" hidden="false" customHeight="false" outlineLevel="0" collapsed="false">
      <c r="A28" s="10" t="s">
        <v>471</v>
      </c>
      <c r="B28" s="10" t="s">
        <v>450</v>
      </c>
      <c r="C28" s="10" t="s">
        <v>451</v>
      </c>
      <c r="D28" s="12" t="n">
        <v>4300</v>
      </c>
      <c r="E28" s="11" t="s">
        <v>45</v>
      </c>
      <c r="F28" s="13"/>
    </row>
    <row r="29" customFormat="false" ht="15" hidden="false" customHeight="false" outlineLevel="0" collapsed="false">
      <c r="A29" s="10" t="s">
        <v>289</v>
      </c>
      <c r="B29" s="10" t="s">
        <v>450</v>
      </c>
      <c r="C29" s="10" t="s">
        <v>451</v>
      </c>
      <c r="D29" s="12" t="n">
        <v>6996</v>
      </c>
      <c r="E29" s="11" t="s">
        <v>45</v>
      </c>
      <c r="F29" s="13"/>
    </row>
    <row r="30" customFormat="false" ht="15" hidden="false" customHeight="false" outlineLevel="0" collapsed="false">
      <c r="A30" s="10" t="s">
        <v>472</v>
      </c>
      <c r="B30" s="10" t="s">
        <v>450</v>
      </c>
      <c r="C30" s="10" t="s">
        <v>451</v>
      </c>
      <c r="D30" s="12" t="n">
        <v>2302</v>
      </c>
      <c r="E30" s="11" t="s">
        <v>45</v>
      </c>
      <c r="F30" s="13"/>
    </row>
    <row r="31" customFormat="false" ht="15" hidden="false" customHeight="false" outlineLevel="0" collapsed="false">
      <c r="A31" s="10" t="s">
        <v>344</v>
      </c>
      <c r="B31" s="10" t="s">
        <v>450</v>
      </c>
      <c r="C31" s="10" t="s">
        <v>451</v>
      </c>
      <c r="D31" s="12" t="n">
        <v>4244</v>
      </c>
      <c r="E31" s="11" t="s">
        <v>45</v>
      </c>
      <c r="F31" s="13"/>
    </row>
    <row r="32" customFormat="false" ht="15" hidden="false" customHeight="false" outlineLevel="0" collapsed="false">
      <c r="A32" s="10" t="s">
        <v>473</v>
      </c>
      <c r="B32" s="10" t="s">
        <v>450</v>
      </c>
      <c r="C32" s="10" t="s">
        <v>451</v>
      </c>
      <c r="D32" s="12" t="n">
        <v>4408</v>
      </c>
      <c r="E32" s="11" t="s">
        <v>45</v>
      </c>
      <c r="F32" s="13"/>
    </row>
    <row r="33" customFormat="false" ht="15" hidden="false" customHeight="false" outlineLevel="0" collapsed="false">
      <c r="A33" s="10" t="s">
        <v>474</v>
      </c>
      <c r="B33" s="10" t="s">
        <v>450</v>
      </c>
      <c r="C33" s="10" t="s">
        <v>451</v>
      </c>
      <c r="D33" s="12" t="n">
        <v>4408</v>
      </c>
      <c r="E33" s="11" t="s">
        <v>45</v>
      </c>
      <c r="F33" s="13"/>
    </row>
    <row r="34" customFormat="false" ht="15" hidden="false" customHeight="false" outlineLevel="0" collapsed="false">
      <c r="A34" s="10" t="s">
        <v>350</v>
      </c>
      <c r="B34" s="10" t="s">
        <v>450</v>
      </c>
      <c r="C34" s="10" t="s">
        <v>451</v>
      </c>
      <c r="D34" s="12"/>
      <c r="E34" s="11" t="s">
        <v>475</v>
      </c>
      <c r="F34" s="13"/>
    </row>
    <row r="35" customFormat="false" ht="15" hidden="false" customHeight="false" outlineLevel="0" collapsed="false">
      <c r="A35" s="10" t="s">
        <v>476</v>
      </c>
      <c r="B35" s="10" t="s">
        <v>450</v>
      </c>
      <c r="C35" s="10" t="s">
        <v>451</v>
      </c>
      <c r="D35" s="12" t="n">
        <v>6400</v>
      </c>
      <c r="E35" s="11" t="s">
        <v>45</v>
      </c>
      <c r="F35" s="13" t="s">
        <v>477</v>
      </c>
    </row>
    <row r="36" customFormat="false" ht="15" hidden="false" customHeight="false" outlineLevel="0" collapsed="false">
      <c r="A36" s="10" t="s">
        <v>478</v>
      </c>
      <c r="B36" s="10" t="s">
        <v>450</v>
      </c>
      <c r="C36" s="10" t="s">
        <v>451</v>
      </c>
      <c r="D36" s="12" t="n">
        <v>2975</v>
      </c>
      <c r="E36" s="11" t="s">
        <v>45</v>
      </c>
      <c r="F36" s="13" t="s">
        <v>477</v>
      </c>
    </row>
    <row r="37" customFormat="false" ht="15" hidden="false" customHeight="false" outlineLevel="0" collapsed="false">
      <c r="A37" s="10" t="s">
        <v>479</v>
      </c>
      <c r="B37" s="10" t="s">
        <v>450</v>
      </c>
      <c r="C37" s="10" t="s">
        <v>451</v>
      </c>
      <c r="D37" s="12" t="n">
        <v>8590</v>
      </c>
      <c r="E37" s="11" t="s">
        <v>45</v>
      </c>
      <c r="F37" s="13" t="s">
        <v>477</v>
      </c>
    </row>
    <row r="38" customFormat="false" ht="15" hidden="false" customHeight="false" outlineLevel="0" collapsed="false">
      <c r="A38" s="10" t="s">
        <v>480</v>
      </c>
      <c r="B38" s="10" t="s">
        <v>481</v>
      </c>
      <c r="C38" s="10" t="s">
        <v>482</v>
      </c>
      <c r="D38" s="12" t="n">
        <v>350</v>
      </c>
      <c r="E38" s="11" t="s">
        <v>45</v>
      </c>
      <c r="F38" s="13" t="s">
        <v>483</v>
      </c>
    </row>
    <row r="39" customFormat="false" ht="15" hidden="false" customHeight="false" outlineLevel="0" collapsed="false">
      <c r="A39" s="10" t="s">
        <v>484</v>
      </c>
      <c r="B39" s="10" t="s">
        <v>481</v>
      </c>
      <c r="C39" s="10" t="s">
        <v>482</v>
      </c>
      <c r="D39" s="12" t="n">
        <v>8500</v>
      </c>
      <c r="E39" s="11" t="s">
        <v>45</v>
      </c>
      <c r="F39" s="13" t="s">
        <v>485</v>
      </c>
    </row>
    <row r="40" customFormat="false" ht="15" hidden="false" customHeight="false" outlineLevel="0" collapsed="false">
      <c r="A40" s="10" t="s">
        <v>486</v>
      </c>
      <c r="B40" s="10" t="s">
        <v>481</v>
      </c>
      <c r="C40" s="10" t="s">
        <v>482</v>
      </c>
      <c r="D40" s="12" t="n">
        <v>150</v>
      </c>
      <c r="E40" s="11" t="s">
        <v>45</v>
      </c>
      <c r="F40" s="13" t="s">
        <v>483</v>
      </c>
    </row>
    <row r="41" customFormat="false" ht="15" hidden="false" customHeight="false" outlineLevel="0" collapsed="false">
      <c r="A41" s="10" t="s">
        <v>487</v>
      </c>
      <c r="B41" s="10" t="s">
        <v>481</v>
      </c>
      <c r="C41" s="10" t="s">
        <v>482</v>
      </c>
      <c r="D41" s="12" t="n">
        <v>80</v>
      </c>
      <c r="E41" s="11" t="s">
        <v>45</v>
      </c>
      <c r="F41" s="13" t="s">
        <v>483</v>
      </c>
    </row>
    <row r="42" customFormat="false" ht="15" hidden="false" customHeight="false" outlineLevel="0" collapsed="false">
      <c r="A42" s="10" t="s">
        <v>488</v>
      </c>
      <c r="B42" s="10" t="s">
        <v>481</v>
      </c>
      <c r="C42" s="10" t="s">
        <v>482</v>
      </c>
      <c r="D42" s="12" t="n">
        <v>65</v>
      </c>
      <c r="E42" s="11" t="s">
        <v>45</v>
      </c>
      <c r="F42" s="13"/>
    </row>
    <row r="43" customFormat="false" ht="15" hidden="false" customHeight="false" outlineLevel="0" collapsed="false">
      <c r="A43" s="10" t="s">
        <v>489</v>
      </c>
      <c r="B43" s="10" t="s">
        <v>481</v>
      </c>
      <c r="C43" s="10" t="s">
        <v>482</v>
      </c>
      <c r="D43" s="12" t="n">
        <v>600</v>
      </c>
      <c r="E43" s="11" t="s">
        <v>45</v>
      </c>
      <c r="F43" s="13" t="s">
        <v>483</v>
      </c>
    </row>
    <row r="44" customFormat="false" ht="15" hidden="false" customHeight="false" outlineLevel="0" collapsed="false">
      <c r="A44" s="10" t="s">
        <v>490</v>
      </c>
      <c r="B44" s="10" t="s">
        <v>481</v>
      </c>
      <c r="C44" s="10" t="s">
        <v>482</v>
      </c>
      <c r="D44" s="12" t="n">
        <v>200</v>
      </c>
      <c r="E44" s="11" t="s">
        <v>45</v>
      </c>
      <c r="F44" s="13" t="s">
        <v>483</v>
      </c>
    </row>
    <row r="45" customFormat="false" ht="15" hidden="false" customHeight="false" outlineLevel="0" collapsed="false">
      <c r="A45" s="10" t="s">
        <v>491</v>
      </c>
      <c r="B45" s="10" t="s">
        <v>481</v>
      </c>
      <c r="C45" s="10" t="s">
        <v>482</v>
      </c>
      <c r="D45" s="12" t="n">
        <v>5454</v>
      </c>
      <c r="E45" s="11" t="s">
        <v>45</v>
      </c>
      <c r="F45" s="13"/>
    </row>
    <row r="46" customFormat="false" ht="15" hidden="false" customHeight="false" outlineLevel="0" collapsed="false">
      <c r="A46" s="10" t="s">
        <v>492</v>
      </c>
      <c r="B46" s="10" t="s">
        <v>481</v>
      </c>
      <c r="C46" s="10" t="s">
        <v>482</v>
      </c>
      <c r="D46" s="12" t="n">
        <v>900</v>
      </c>
      <c r="E46" s="11" t="s">
        <v>45</v>
      </c>
      <c r="F46" s="13" t="s">
        <v>483</v>
      </c>
    </row>
    <row r="47" customFormat="false" ht="15" hidden="false" customHeight="false" outlineLevel="0" collapsed="false">
      <c r="A47" s="10" t="s">
        <v>493</v>
      </c>
      <c r="B47" s="10" t="s">
        <v>481</v>
      </c>
      <c r="C47" s="10" t="s">
        <v>482</v>
      </c>
      <c r="D47" s="12" t="n">
        <v>400</v>
      </c>
      <c r="E47" s="11" t="s">
        <v>45</v>
      </c>
      <c r="F47" s="13" t="s">
        <v>483</v>
      </c>
    </row>
    <row r="48" customFormat="false" ht="15" hidden="false" customHeight="false" outlineLevel="0" collapsed="false">
      <c r="A48" s="34"/>
      <c r="B48" s="34"/>
      <c r="C48" s="34"/>
      <c r="D48" s="12"/>
      <c r="E48" s="11"/>
    </row>
    <row r="49" customFormat="false" ht="15" hidden="false" customHeight="false" outlineLevel="0" collapsed="false">
      <c r="A49" s="34"/>
      <c r="B49" s="34"/>
      <c r="C49" s="34"/>
      <c r="D49" s="12"/>
      <c r="E49" s="11"/>
    </row>
    <row r="50" customFormat="false" ht="15" hidden="false" customHeight="false" outlineLevel="0" collapsed="false">
      <c r="A50" s="34"/>
      <c r="B50" s="34"/>
      <c r="C50" s="34"/>
      <c r="D50" s="12"/>
      <c r="E50" s="11"/>
    </row>
    <row r="51" customFormat="false" ht="15" hidden="false" customHeight="false" outlineLevel="0" collapsed="false">
      <c r="A51" s="34"/>
      <c r="B51" s="34"/>
      <c r="C51" s="34"/>
      <c r="D51" s="12"/>
      <c r="E51" s="11"/>
    </row>
    <row r="52" customFormat="false" ht="15" hidden="false" customHeight="false" outlineLevel="0" collapsed="false">
      <c r="A52" s="34"/>
      <c r="B52" s="34"/>
      <c r="C52" s="34"/>
      <c r="D52" s="12"/>
      <c r="E52" s="11"/>
    </row>
    <row r="53" customFormat="false" ht="15" hidden="false" customHeight="false" outlineLevel="0" collapsed="false">
      <c r="A53" s="34"/>
      <c r="B53" s="34"/>
      <c r="C53" s="34"/>
      <c r="D53" s="12"/>
      <c r="E53" s="11"/>
    </row>
    <row r="54" customFormat="false" ht="15" hidden="false" customHeight="false" outlineLevel="0" collapsed="false">
      <c r="A54" s="34"/>
      <c r="B54" s="34"/>
      <c r="C54" s="34"/>
      <c r="D54" s="12"/>
      <c r="E54" s="11"/>
    </row>
    <row r="55" customFormat="false" ht="15" hidden="false" customHeight="false" outlineLevel="0" collapsed="false">
      <c r="A55" s="34"/>
      <c r="B55" s="34"/>
      <c r="C55" s="34"/>
      <c r="D55" s="12"/>
      <c r="E55" s="11"/>
    </row>
    <row r="56" customFormat="false" ht="15" hidden="false" customHeight="false" outlineLevel="0" collapsed="false">
      <c r="A56" s="34"/>
      <c r="B56" s="34"/>
      <c r="C56" s="34"/>
      <c r="D56" s="12"/>
      <c r="E56" s="11"/>
    </row>
    <row r="57" customFormat="false" ht="15" hidden="false" customHeight="false" outlineLevel="0" collapsed="false">
      <c r="A57" s="34"/>
      <c r="B57" s="34"/>
      <c r="C57" s="34"/>
      <c r="D57" s="12"/>
      <c r="E57" s="11"/>
    </row>
    <row r="58" customFormat="false" ht="15" hidden="false" customHeight="false" outlineLevel="0" collapsed="false">
      <c r="A58" s="34"/>
      <c r="B58" s="34"/>
      <c r="C58" s="34"/>
      <c r="D58" s="12"/>
      <c r="E58" s="11"/>
    </row>
    <row r="59" customFormat="false" ht="15" hidden="false" customHeight="false" outlineLevel="0" collapsed="false">
      <c r="A59" s="34"/>
      <c r="B59" s="34"/>
      <c r="C59" s="34"/>
      <c r="D59" s="12"/>
      <c r="E59" s="11"/>
    </row>
    <row r="60" customFormat="false" ht="15" hidden="false" customHeight="false" outlineLevel="0" collapsed="false">
      <c r="A60" s="34"/>
      <c r="B60" s="34"/>
      <c r="C60" s="34"/>
      <c r="D60" s="12"/>
      <c r="E60" s="11"/>
    </row>
    <row r="61" customFormat="false" ht="15" hidden="false" customHeight="false" outlineLevel="0" collapsed="false">
      <c r="A61" s="34"/>
      <c r="B61" s="34"/>
      <c r="C61" s="34"/>
      <c r="D61" s="12"/>
      <c r="E61" s="11"/>
    </row>
    <row r="62" customFormat="false" ht="15" hidden="false" customHeight="false" outlineLevel="0" collapsed="false">
      <c r="A62" s="34"/>
      <c r="B62" s="34"/>
      <c r="C62" s="34"/>
      <c r="D62" s="12"/>
      <c r="E62" s="11"/>
    </row>
    <row r="63" customFormat="false" ht="15" hidden="false" customHeight="false" outlineLevel="0" collapsed="false">
      <c r="A63" s="34"/>
      <c r="B63" s="34"/>
      <c r="C63" s="34"/>
      <c r="D63" s="12"/>
      <c r="E63" s="11"/>
    </row>
    <row r="64" customFormat="false" ht="15" hidden="false" customHeight="false" outlineLevel="0" collapsed="false">
      <c r="A64" s="34"/>
      <c r="B64" s="34"/>
      <c r="C64" s="34"/>
      <c r="D64" s="12"/>
      <c r="E64" s="11"/>
    </row>
    <row r="65" customFormat="false" ht="15" hidden="false" customHeight="false" outlineLevel="0" collapsed="false">
      <c r="A65" s="34"/>
      <c r="B65" s="34"/>
      <c r="C65" s="34"/>
      <c r="D65" s="12"/>
      <c r="E65" s="11"/>
    </row>
    <row r="66" customFormat="false" ht="15" hidden="false" customHeight="false" outlineLevel="0" collapsed="false">
      <c r="A66" s="34"/>
      <c r="B66" s="34"/>
      <c r="C66" s="34"/>
      <c r="D66" s="12"/>
      <c r="E66" s="11"/>
    </row>
    <row r="67" customFormat="false" ht="15" hidden="false" customHeight="false" outlineLevel="0" collapsed="false">
      <c r="A67" s="34"/>
      <c r="B67" s="34"/>
      <c r="C67" s="34"/>
      <c r="D67" s="12"/>
      <c r="E67" s="11"/>
    </row>
    <row r="68" customFormat="false" ht="15" hidden="false" customHeight="false" outlineLevel="0" collapsed="false">
      <c r="A68" s="34"/>
      <c r="B68" s="34"/>
      <c r="C68" s="34"/>
      <c r="D68" s="12"/>
      <c r="E68" s="11"/>
    </row>
    <row r="69" customFormat="false" ht="15" hidden="false" customHeight="false" outlineLevel="0" collapsed="false">
      <c r="A69" s="34"/>
      <c r="B69" s="34"/>
      <c r="C69" s="34"/>
      <c r="D69" s="12"/>
      <c r="E69" s="11"/>
    </row>
    <row r="70" customFormat="false" ht="15" hidden="false" customHeight="false" outlineLevel="0" collapsed="false">
      <c r="A70" s="34"/>
      <c r="B70" s="34"/>
      <c r="C70" s="34"/>
      <c r="D70" s="12"/>
      <c r="E70" s="11"/>
    </row>
    <row r="71" customFormat="false" ht="15" hidden="false" customHeight="false" outlineLevel="0" collapsed="false">
      <c r="A71" s="34"/>
      <c r="B71" s="34"/>
      <c r="C71" s="34"/>
      <c r="D71" s="12"/>
      <c r="E71" s="11"/>
    </row>
    <row r="72" customFormat="false" ht="15" hidden="false" customHeight="false" outlineLevel="0" collapsed="false">
      <c r="A72" s="34"/>
      <c r="B72" s="34"/>
      <c r="C72" s="34"/>
      <c r="D72" s="12"/>
      <c r="E72" s="11"/>
    </row>
    <row r="73" customFormat="false" ht="15" hidden="false" customHeight="false" outlineLevel="0" collapsed="false">
      <c r="A73" s="34"/>
      <c r="B73" s="34"/>
      <c r="C73" s="34"/>
      <c r="D73" s="12"/>
      <c r="E73" s="11"/>
    </row>
    <row r="74" customFormat="false" ht="15" hidden="false" customHeight="false" outlineLevel="0" collapsed="false">
      <c r="A74" s="34"/>
      <c r="B74" s="34"/>
      <c r="C74" s="34"/>
      <c r="D74" s="12"/>
      <c r="E74" s="11"/>
    </row>
    <row r="75" customFormat="false" ht="15" hidden="false" customHeight="false" outlineLevel="0" collapsed="false">
      <c r="A75" s="34"/>
      <c r="B75" s="34"/>
      <c r="C75" s="34"/>
      <c r="D75" s="12"/>
      <c r="E75" s="11"/>
    </row>
    <row r="76" customFormat="false" ht="15" hidden="false" customHeight="false" outlineLevel="0" collapsed="false">
      <c r="A76" s="34"/>
      <c r="B76" s="34"/>
      <c r="C76" s="34"/>
      <c r="D76" s="12"/>
      <c r="E76" s="11"/>
    </row>
    <row r="77" customFormat="false" ht="15" hidden="false" customHeight="false" outlineLevel="0" collapsed="false">
      <c r="A77" s="34"/>
      <c r="B77" s="34"/>
      <c r="C77" s="34"/>
      <c r="D77" s="12"/>
      <c r="E77" s="11"/>
    </row>
    <row r="78" customFormat="false" ht="15" hidden="false" customHeight="false" outlineLevel="0" collapsed="false">
      <c r="A78" s="34"/>
      <c r="B78" s="34"/>
      <c r="C78" s="34"/>
      <c r="D78" s="12"/>
      <c r="E78" s="11"/>
    </row>
    <row r="79" customFormat="false" ht="15" hidden="false" customHeight="false" outlineLevel="0" collapsed="false">
      <c r="A79" s="34"/>
      <c r="B79" s="34"/>
      <c r="C79" s="34"/>
      <c r="D79" s="12"/>
      <c r="E79" s="11"/>
    </row>
    <row r="80" customFormat="false" ht="15" hidden="false" customHeight="false" outlineLevel="0" collapsed="false">
      <c r="A80" s="34"/>
      <c r="B80" s="34"/>
      <c r="C80" s="34"/>
      <c r="D80" s="12"/>
      <c r="E80" s="11"/>
    </row>
    <row r="81" customFormat="false" ht="15" hidden="false" customHeight="false" outlineLevel="0" collapsed="false">
      <c r="A81" s="34"/>
      <c r="B81" s="34"/>
      <c r="C81" s="34"/>
      <c r="D81" s="12"/>
      <c r="E81" s="11"/>
    </row>
    <row r="82" customFormat="false" ht="15" hidden="false" customHeight="false" outlineLevel="0" collapsed="false">
      <c r="A82" s="34"/>
      <c r="B82" s="34"/>
      <c r="C82" s="34"/>
      <c r="D82" s="12"/>
      <c r="E82" s="11"/>
    </row>
    <row r="83" customFormat="false" ht="15" hidden="false" customHeight="false" outlineLevel="0" collapsed="false">
      <c r="A83" s="34"/>
      <c r="B83" s="34"/>
      <c r="C83" s="34"/>
      <c r="D83" s="12"/>
      <c r="E83" s="11"/>
    </row>
    <row r="84" customFormat="false" ht="15" hidden="false" customHeight="false" outlineLevel="0" collapsed="false">
      <c r="A84" s="34"/>
      <c r="B84" s="34"/>
      <c r="C84" s="34"/>
      <c r="D84" s="12"/>
      <c r="E84" s="11"/>
    </row>
    <row r="85" customFormat="false" ht="15" hidden="false" customHeight="false" outlineLevel="0" collapsed="false">
      <c r="A85" s="34"/>
      <c r="B85" s="34"/>
      <c r="C85" s="34"/>
      <c r="D85" s="12"/>
      <c r="E85" s="11"/>
    </row>
    <row r="86" customFormat="false" ht="15" hidden="false" customHeight="false" outlineLevel="0" collapsed="false">
      <c r="A86" s="34"/>
      <c r="B86" s="34"/>
      <c r="C86" s="34"/>
      <c r="D86" s="12"/>
      <c r="E86" s="11"/>
    </row>
    <row r="87" customFormat="false" ht="15" hidden="false" customHeight="false" outlineLevel="0" collapsed="false">
      <c r="A87" s="34"/>
      <c r="B87" s="34"/>
      <c r="C87" s="34"/>
      <c r="D87" s="12"/>
      <c r="E87" s="11"/>
    </row>
    <row r="88" customFormat="false" ht="15" hidden="false" customHeight="false" outlineLevel="0" collapsed="false">
      <c r="A88" s="34"/>
      <c r="B88" s="34"/>
      <c r="C88" s="34"/>
      <c r="D88" s="12"/>
      <c r="E88" s="11"/>
    </row>
    <row r="89" customFormat="false" ht="15" hidden="false" customHeight="false" outlineLevel="0" collapsed="false">
      <c r="A89" s="34"/>
      <c r="B89" s="34"/>
      <c r="C89" s="34"/>
      <c r="D89" s="12"/>
      <c r="E89" s="11"/>
    </row>
    <row r="90" customFormat="false" ht="15" hidden="false" customHeight="false" outlineLevel="0" collapsed="false">
      <c r="A90" s="34"/>
      <c r="B90" s="34"/>
      <c r="C90" s="34"/>
      <c r="D90" s="12"/>
      <c r="E90" s="11"/>
    </row>
    <row r="91" customFormat="false" ht="15" hidden="false" customHeight="false" outlineLevel="0" collapsed="false">
      <c r="A91" s="34"/>
      <c r="B91" s="34"/>
      <c r="C91" s="34"/>
      <c r="D91" s="12"/>
      <c r="E91" s="11"/>
    </row>
    <row r="92" customFormat="false" ht="15" hidden="false" customHeight="false" outlineLevel="0" collapsed="false">
      <c r="A92" s="34"/>
      <c r="B92" s="34"/>
      <c r="C92" s="34"/>
      <c r="D92" s="12"/>
      <c r="E92" s="11"/>
    </row>
    <row r="93" customFormat="false" ht="15" hidden="false" customHeight="false" outlineLevel="0" collapsed="false">
      <c r="A93" s="34"/>
      <c r="B93" s="34"/>
      <c r="C93" s="34"/>
      <c r="D93" s="12"/>
      <c r="E93" s="11"/>
    </row>
    <row r="94" customFormat="false" ht="15" hidden="false" customHeight="false" outlineLevel="0" collapsed="false">
      <c r="A94" s="34"/>
      <c r="B94" s="34"/>
      <c r="C94" s="34"/>
      <c r="D94" s="12"/>
      <c r="E94" s="11"/>
    </row>
    <row r="95" customFormat="false" ht="15" hidden="false" customHeight="false" outlineLevel="0" collapsed="false">
      <c r="A95" s="34"/>
      <c r="B95" s="34"/>
      <c r="C95" s="34"/>
      <c r="D95" s="12"/>
      <c r="E95" s="11"/>
    </row>
    <row r="96" customFormat="false" ht="15" hidden="false" customHeight="false" outlineLevel="0" collapsed="false">
      <c r="A96" s="34"/>
      <c r="B96" s="34"/>
      <c r="C96" s="34"/>
      <c r="D96" s="12"/>
      <c r="E96" s="11"/>
    </row>
    <row r="97" customFormat="false" ht="15" hidden="false" customHeight="false" outlineLevel="0" collapsed="false">
      <c r="A97" s="34"/>
      <c r="B97" s="34"/>
      <c r="C97" s="34"/>
      <c r="D97" s="12"/>
      <c r="E97" s="11"/>
    </row>
    <row r="98" customFormat="false" ht="15" hidden="false" customHeight="false" outlineLevel="0" collapsed="false">
      <c r="A98" s="34"/>
      <c r="B98" s="34"/>
      <c r="C98" s="34"/>
      <c r="D98" s="12"/>
      <c r="E98" s="11"/>
    </row>
    <row r="99" customFormat="false" ht="15" hidden="false" customHeight="false" outlineLevel="0" collapsed="false">
      <c r="A99" s="34"/>
      <c r="B99" s="34"/>
      <c r="C99" s="34"/>
      <c r="D99" s="12"/>
      <c r="E99" s="11"/>
    </row>
    <row r="100" customFormat="false" ht="15" hidden="false" customHeight="false" outlineLevel="0" collapsed="false">
      <c r="A100" s="34"/>
      <c r="B100" s="34"/>
      <c r="C100" s="34"/>
      <c r="D100" s="12"/>
      <c r="E100" s="11"/>
    </row>
    <row r="101" customFormat="false" ht="15" hidden="false" customHeight="false" outlineLevel="0" collapsed="false">
      <c r="A101" s="34"/>
      <c r="B101" s="34"/>
      <c r="C101" s="34"/>
      <c r="D101" s="12"/>
      <c r="E101" s="11"/>
    </row>
    <row r="102" customFormat="false" ht="15" hidden="false" customHeight="false" outlineLevel="0" collapsed="false">
      <c r="A102" s="34"/>
      <c r="B102" s="34"/>
      <c r="C102" s="34"/>
      <c r="D102" s="12"/>
      <c r="E102" s="11"/>
    </row>
    <row r="103" customFormat="false" ht="15" hidden="false" customHeight="false" outlineLevel="0" collapsed="false">
      <c r="A103" s="34"/>
      <c r="B103" s="34"/>
      <c r="C103" s="34"/>
      <c r="D103" s="12"/>
      <c r="E103" s="11"/>
    </row>
    <row r="104" customFormat="false" ht="15" hidden="false" customHeight="false" outlineLevel="0" collapsed="false">
      <c r="A104" s="34"/>
      <c r="B104" s="34"/>
      <c r="C104" s="34"/>
      <c r="D104" s="12"/>
      <c r="E104" s="11"/>
    </row>
    <row r="105" customFormat="false" ht="15" hidden="false" customHeight="false" outlineLevel="0" collapsed="false">
      <c r="A105" s="34"/>
      <c r="B105" s="34"/>
      <c r="C105" s="34"/>
      <c r="D105" s="12"/>
      <c r="E105" s="11"/>
    </row>
    <row r="106" customFormat="false" ht="15" hidden="false" customHeight="false" outlineLevel="0" collapsed="false">
      <c r="A106" s="34"/>
      <c r="B106" s="34"/>
      <c r="C106" s="34"/>
      <c r="D106" s="12"/>
      <c r="E106" s="11"/>
    </row>
    <row r="107" customFormat="false" ht="15" hidden="false" customHeight="false" outlineLevel="0" collapsed="false">
      <c r="A107" s="34"/>
      <c r="B107" s="34"/>
      <c r="C107" s="34"/>
      <c r="D107" s="12"/>
      <c r="E107" s="11"/>
    </row>
    <row r="108" customFormat="false" ht="15" hidden="false" customHeight="false" outlineLevel="0" collapsed="false">
      <c r="A108" s="34"/>
      <c r="B108" s="34"/>
      <c r="C108" s="34"/>
      <c r="D108" s="12"/>
      <c r="E108" s="11"/>
    </row>
    <row r="109" customFormat="false" ht="15" hidden="false" customHeight="false" outlineLevel="0" collapsed="false">
      <c r="A109" s="34"/>
      <c r="B109" s="34"/>
      <c r="C109" s="34"/>
      <c r="D109" s="12"/>
      <c r="E109" s="11"/>
    </row>
    <row r="110" customFormat="false" ht="15" hidden="false" customHeight="false" outlineLevel="0" collapsed="false">
      <c r="A110" s="34"/>
      <c r="B110" s="34"/>
      <c r="C110" s="34"/>
      <c r="D110" s="12"/>
      <c r="E110" s="11"/>
    </row>
    <row r="111" customFormat="false" ht="15" hidden="false" customHeight="false" outlineLevel="0" collapsed="false">
      <c r="A111" s="34"/>
      <c r="B111" s="34"/>
      <c r="C111" s="34"/>
      <c r="D111" s="12"/>
      <c r="E111" s="11"/>
    </row>
    <row r="112" customFormat="false" ht="15" hidden="false" customHeight="false" outlineLevel="0" collapsed="false">
      <c r="A112" s="34"/>
      <c r="B112" s="34"/>
      <c r="C112" s="34"/>
      <c r="D112" s="12"/>
      <c r="E112" s="11"/>
    </row>
    <row r="113" customFormat="false" ht="15" hidden="false" customHeight="false" outlineLevel="0" collapsed="false">
      <c r="A113" s="34"/>
      <c r="B113" s="34"/>
      <c r="C113" s="34"/>
      <c r="D113" s="12"/>
      <c r="E113" s="11"/>
    </row>
    <row r="114" customFormat="false" ht="15" hidden="false" customHeight="false" outlineLevel="0" collapsed="false">
      <c r="A114" s="34"/>
      <c r="B114" s="34"/>
      <c r="C114" s="34"/>
      <c r="D114" s="12"/>
      <c r="E114" s="11"/>
    </row>
    <row r="115" customFormat="false" ht="15" hidden="false" customHeight="false" outlineLevel="0" collapsed="false">
      <c r="A115" s="34"/>
      <c r="B115" s="34"/>
      <c r="C115" s="34"/>
      <c r="D115" s="12"/>
      <c r="E115" s="11"/>
    </row>
    <row r="116" customFormat="false" ht="15" hidden="false" customHeight="false" outlineLevel="0" collapsed="false">
      <c r="A116" s="34"/>
      <c r="B116" s="34"/>
      <c r="C116" s="34"/>
      <c r="D116" s="12"/>
      <c r="E116" s="11"/>
    </row>
    <row r="117" customFormat="false" ht="15" hidden="false" customHeight="false" outlineLevel="0" collapsed="false">
      <c r="A117" s="34"/>
      <c r="B117" s="34"/>
      <c r="C117" s="34"/>
      <c r="D117" s="12"/>
      <c r="E117" s="11"/>
    </row>
    <row r="118" customFormat="false" ht="15" hidden="false" customHeight="false" outlineLevel="0" collapsed="false">
      <c r="A118" s="34"/>
      <c r="B118" s="34"/>
      <c r="C118" s="34"/>
      <c r="D118" s="12"/>
      <c r="E118" s="11"/>
    </row>
    <row r="119" customFormat="false" ht="15" hidden="false" customHeight="false" outlineLevel="0" collapsed="false">
      <c r="A119" s="34"/>
      <c r="B119" s="34"/>
      <c r="C119" s="34"/>
      <c r="D119" s="12"/>
      <c r="E119" s="11"/>
    </row>
    <row r="120" customFormat="false" ht="15" hidden="false" customHeight="false" outlineLevel="0" collapsed="false">
      <c r="A120" s="34"/>
      <c r="B120" s="34"/>
      <c r="C120" s="34"/>
      <c r="D120" s="12"/>
      <c r="E120" s="11"/>
    </row>
  </sheetData>
  <dataValidations count="1">
    <dataValidation allowBlank="true" errorStyle="stop" operator="between" showDropDown="false" showErrorMessage="false" showInputMessage="false" sqref="E5:E120" type="list">
      <formula1>"Por confirmar,Confirmado,SIN PRECIO"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2"/>
    <col collapsed="false" customWidth="true" hidden="false" outlineLevel="0" max="3" min="2" style="0" width="16"/>
    <col collapsed="false" customWidth="true" hidden="false" outlineLevel="0" max="4" min="4" style="0" width="15"/>
    <col collapsed="false" customWidth="true" hidden="false" outlineLevel="0" max="5" min="5" style="0" width="46"/>
  </cols>
  <sheetData>
    <row r="1" customFormat="false" ht="17.35" hidden="false" customHeight="false" outlineLevel="0" collapsed="false">
      <c r="A1" s="1" t="s">
        <v>494</v>
      </c>
    </row>
    <row r="2" customFormat="false" ht="15" hidden="false" customHeight="false" outlineLevel="0" collapsed="false">
      <c r="A2" s="2" t="s">
        <v>495</v>
      </c>
    </row>
    <row r="4" customFormat="false" ht="23.85" hidden="false" customHeight="false" outlineLevel="0" collapsed="false">
      <c r="A4" s="9" t="s">
        <v>496</v>
      </c>
      <c r="B4" s="9" t="s">
        <v>497</v>
      </c>
      <c r="C4" s="9" t="s">
        <v>498</v>
      </c>
      <c r="D4" s="9" t="s">
        <v>30</v>
      </c>
      <c r="E4" s="9" t="s">
        <v>403</v>
      </c>
    </row>
    <row r="5" customFormat="false" ht="15" hidden="false" customHeight="false" outlineLevel="0" collapsed="false">
      <c r="A5" s="10" t="s">
        <v>335</v>
      </c>
      <c r="B5" s="12" t="n">
        <v>1700</v>
      </c>
      <c r="C5" s="36" t="n">
        <v>1500</v>
      </c>
      <c r="D5" s="11" t="s">
        <v>45</v>
      </c>
    </row>
    <row r="6" customFormat="false" ht="15" hidden="false" customHeight="false" outlineLevel="0" collapsed="false">
      <c r="A6" s="10" t="s">
        <v>238</v>
      </c>
      <c r="B6" s="12" t="n">
        <v>2000</v>
      </c>
      <c r="C6" s="36" t="n">
        <v>1800</v>
      </c>
      <c r="D6" s="11" t="s">
        <v>45</v>
      </c>
    </row>
    <row r="7" customFormat="false" ht="15" hidden="false" customHeight="false" outlineLevel="0" collapsed="false">
      <c r="A7" s="10" t="s">
        <v>499</v>
      </c>
      <c r="B7" s="12" t="n">
        <v>2200</v>
      </c>
      <c r="C7" s="36" t="n">
        <v>1900</v>
      </c>
      <c r="D7" s="11" t="s">
        <v>45</v>
      </c>
    </row>
    <row r="8" customFormat="false" ht="15" hidden="false" customHeight="false" outlineLevel="0" collapsed="false">
      <c r="A8" s="10" t="s">
        <v>288</v>
      </c>
      <c r="B8" s="12" t="n">
        <v>1900</v>
      </c>
      <c r="C8" s="36" t="n">
        <v>1700</v>
      </c>
      <c r="D8" s="11" t="s">
        <v>45</v>
      </c>
    </row>
    <row r="9" customFormat="false" ht="15" hidden="false" customHeight="false" outlineLevel="0" collapsed="false">
      <c r="A9" s="10" t="s">
        <v>309</v>
      </c>
      <c r="B9" s="12" t="n">
        <v>2000</v>
      </c>
      <c r="C9" s="36" t="n">
        <v>1800</v>
      </c>
      <c r="D9" s="11" t="s">
        <v>45</v>
      </c>
    </row>
    <row r="10" customFormat="false" ht="15" hidden="false" customHeight="false" outlineLevel="0" collapsed="false">
      <c r="A10" s="10" t="s">
        <v>331</v>
      </c>
      <c r="B10" s="12" t="n">
        <v>2200</v>
      </c>
      <c r="C10" s="36" t="n">
        <v>1700</v>
      </c>
      <c r="D10" s="11" t="s">
        <v>45</v>
      </c>
    </row>
    <row r="11" customFormat="false" ht="15" hidden="false" customHeight="false" outlineLevel="0" collapsed="false">
      <c r="A11" s="10" t="s">
        <v>316</v>
      </c>
      <c r="B11" s="12" t="n">
        <v>1900</v>
      </c>
      <c r="C11" s="36" t="n">
        <v>1700</v>
      </c>
      <c r="D11" s="11" t="s">
        <v>45</v>
      </c>
    </row>
    <row r="12" customFormat="false" ht="15" hidden="false" customHeight="false" outlineLevel="0" collapsed="false">
      <c r="A12" s="10" t="s">
        <v>324</v>
      </c>
      <c r="B12" s="12" t="n">
        <v>2400</v>
      </c>
      <c r="C12" s="36" t="n">
        <v>2000</v>
      </c>
      <c r="D12" s="11" t="s">
        <v>45</v>
      </c>
    </row>
    <row r="13" customFormat="false" ht="15" hidden="false" customHeight="false" outlineLevel="0" collapsed="false">
      <c r="A13" s="10" t="s">
        <v>302</v>
      </c>
      <c r="B13" s="12" t="n">
        <v>2400</v>
      </c>
      <c r="C13" s="36" t="n">
        <v>2200</v>
      </c>
      <c r="D13" s="11" t="s">
        <v>45</v>
      </c>
    </row>
    <row r="14" customFormat="false" ht="15" hidden="false" customHeight="false" outlineLevel="0" collapsed="false">
      <c r="A14" s="10" t="s">
        <v>500</v>
      </c>
      <c r="B14" s="12" t="n">
        <v>2200</v>
      </c>
      <c r="C14" s="36" t="n">
        <v>2000</v>
      </c>
      <c r="D14" s="11" t="s">
        <v>45</v>
      </c>
    </row>
    <row r="15" customFormat="false" ht="15" hidden="false" customHeight="false" outlineLevel="0" collapsed="false">
      <c r="A15" s="10" t="s">
        <v>501</v>
      </c>
      <c r="B15" s="12" t="n">
        <v>2600</v>
      </c>
      <c r="C15" s="36" t="n">
        <v>2300</v>
      </c>
      <c r="D15" s="11" t="s">
        <v>45</v>
      </c>
    </row>
    <row r="16" customFormat="false" ht="15" hidden="false" customHeight="false" outlineLevel="0" collapsed="false">
      <c r="A16" s="10" t="s">
        <v>340</v>
      </c>
      <c r="B16" s="12" t="n">
        <v>2200</v>
      </c>
      <c r="C16" s="36" t="n">
        <v>2300</v>
      </c>
      <c r="D16" s="11" t="s">
        <v>45</v>
      </c>
      <c r="E16" s="13" t="s">
        <v>502</v>
      </c>
    </row>
    <row r="17" customFormat="false" ht="15" hidden="false" customHeight="false" outlineLevel="0" collapsed="false">
      <c r="A17" s="10" t="s">
        <v>268</v>
      </c>
      <c r="B17" s="12" t="n">
        <v>2300</v>
      </c>
      <c r="C17" s="36" t="n">
        <v>2000</v>
      </c>
      <c r="D17" s="11" t="s">
        <v>45</v>
      </c>
    </row>
    <row r="18" customFormat="false" ht="15" hidden="false" customHeight="false" outlineLevel="0" collapsed="false">
      <c r="A18" s="10" t="s">
        <v>503</v>
      </c>
      <c r="B18" s="12" t="n">
        <v>2400</v>
      </c>
      <c r="C18" s="36" t="n">
        <v>2100</v>
      </c>
      <c r="D18" s="11" t="s">
        <v>45</v>
      </c>
    </row>
    <row r="19" customFormat="false" ht="15" hidden="false" customHeight="false" outlineLevel="0" collapsed="false">
      <c r="A19" s="10" t="s">
        <v>504</v>
      </c>
      <c r="B19" s="12" t="n">
        <v>1800</v>
      </c>
      <c r="C19" s="36" t="n">
        <v>1700</v>
      </c>
      <c r="D19" s="11" t="s">
        <v>45</v>
      </c>
    </row>
    <row r="20" customFormat="false" ht="15" hidden="false" customHeight="false" outlineLevel="0" collapsed="false">
      <c r="A20" s="10" t="s">
        <v>505</v>
      </c>
      <c r="B20" s="12" t="n">
        <v>1800</v>
      </c>
      <c r="C20" s="36" t="n">
        <v>1600</v>
      </c>
      <c r="D20" s="11" t="s">
        <v>45</v>
      </c>
    </row>
    <row r="21" customFormat="false" ht="15" hidden="false" customHeight="false" outlineLevel="0" collapsed="false">
      <c r="A21" s="10" t="s">
        <v>506</v>
      </c>
      <c r="B21" s="12" t="n">
        <v>2000</v>
      </c>
      <c r="C21" s="36" t="n">
        <v>1800</v>
      </c>
      <c r="D21" s="11" t="s">
        <v>45</v>
      </c>
    </row>
    <row r="22" customFormat="false" ht="15" hidden="false" customHeight="false" outlineLevel="0" collapsed="false">
      <c r="A22" s="10" t="s">
        <v>507</v>
      </c>
      <c r="B22" s="12" t="n">
        <v>2600</v>
      </c>
      <c r="C22" s="36" t="n">
        <v>2300</v>
      </c>
      <c r="D22" s="11" t="s">
        <v>45</v>
      </c>
    </row>
    <row r="23" customFormat="false" ht="15" hidden="false" customHeight="false" outlineLevel="0" collapsed="false">
      <c r="A23" s="10" t="s">
        <v>349</v>
      </c>
      <c r="B23" s="12" t="n">
        <v>1200</v>
      </c>
      <c r="C23" s="36" t="n">
        <v>1000</v>
      </c>
      <c r="D23" s="11" t="s">
        <v>45</v>
      </c>
    </row>
    <row r="24" customFormat="false" ht="15" hidden="false" customHeight="false" outlineLevel="0" collapsed="false">
      <c r="A24" s="10" t="s">
        <v>508</v>
      </c>
      <c r="B24" s="12" t="n">
        <v>3500</v>
      </c>
      <c r="C24" s="36" t="n">
        <v>3200</v>
      </c>
      <c r="D24" s="11" t="s">
        <v>45</v>
      </c>
    </row>
    <row r="25" customFormat="false" ht="15" hidden="false" customHeight="false" outlineLevel="0" collapsed="false">
      <c r="A25" s="10" t="s">
        <v>509</v>
      </c>
      <c r="B25" s="12" t="n">
        <v>3200</v>
      </c>
      <c r="C25" s="36" t="n">
        <v>3000</v>
      </c>
      <c r="D25" s="11" t="s">
        <v>45</v>
      </c>
    </row>
    <row r="26" customFormat="false" ht="15" hidden="false" customHeight="false" outlineLevel="0" collapsed="false">
      <c r="A26" s="10" t="s">
        <v>510</v>
      </c>
      <c r="B26" s="12" t="n">
        <v>2200</v>
      </c>
      <c r="C26" s="36" t="n">
        <v>2000</v>
      </c>
      <c r="D26" s="11" t="s">
        <v>45</v>
      </c>
    </row>
    <row r="27" customFormat="false" ht="15" hidden="false" customHeight="false" outlineLevel="0" collapsed="false">
      <c r="A27" s="10" t="s">
        <v>511</v>
      </c>
      <c r="B27" s="12" t="n">
        <v>1000</v>
      </c>
      <c r="C27" s="36" t="n">
        <v>1000</v>
      </c>
      <c r="D27" s="11" t="s">
        <v>45</v>
      </c>
    </row>
    <row r="28" customFormat="false" ht="15" hidden="false" customHeight="false" outlineLevel="0" collapsed="false">
      <c r="A28" s="10" t="s">
        <v>512</v>
      </c>
      <c r="B28" s="12" t="n">
        <v>3200</v>
      </c>
      <c r="C28" s="36" t="n">
        <v>3000</v>
      </c>
      <c r="D28" s="11" t="s">
        <v>45</v>
      </c>
    </row>
    <row r="29" customFormat="false" ht="15" hidden="false" customHeight="false" outlineLevel="0" collapsed="false">
      <c r="A29" s="10" t="s">
        <v>345</v>
      </c>
      <c r="B29" s="12" t="n">
        <v>1800</v>
      </c>
      <c r="C29" s="36" t="n">
        <v>1600</v>
      </c>
      <c r="D29" s="11" t="s">
        <v>45</v>
      </c>
    </row>
    <row r="30" customFormat="false" ht="15" hidden="false" customHeight="false" outlineLevel="0" collapsed="false">
      <c r="A30" s="10" t="s">
        <v>513</v>
      </c>
      <c r="B30" s="12" t="n">
        <v>2000</v>
      </c>
      <c r="C30" s="36" t="n">
        <v>1900</v>
      </c>
      <c r="D30" s="11" t="s">
        <v>45</v>
      </c>
    </row>
    <row r="31" customFormat="false" ht="15" hidden="false" customHeight="false" outlineLevel="0" collapsed="false">
      <c r="A31" s="10" t="s">
        <v>514</v>
      </c>
      <c r="B31" s="12" t="n">
        <v>2500</v>
      </c>
      <c r="C31" s="36" t="n">
        <v>2300</v>
      </c>
      <c r="D31" s="11" t="s">
        <v>45</v>
      </c>
    </row>
    <row r="32" customFormat="false" ht="15" hidden="false" customHeight="false" outlineLevel="0" collapsed="false">
      <c r="A32" s="10" t="s">
        <v>515</v>
      </c>
      <c r="B32" s="12" t="n">
        <v>2200</v>
      </c>
      <c r="C32" s="36" t="n">
        <v>2000</v>
      </c>
      <c r="D32" s="11" t="s">
        <v>45</v>
      </c>
    </row>
    <row r="33" customFormat="false" ht="15" hidden="false" customHeight="false" outlineLevel="0" collapsed="false">
      <c r="A33" s="10" t="s">
        <v>516</v>
      </c>
      <c r="B33" s="12" t="n">
        <v>2200</v>
      </c>
      <c r="C33" s="36" t="n">
        <v>2000</v>
      </c>
      <c r="D33" s="11" t="s">
        <v>45</v>
      </c>
    </row>
    <row r="34" customFormat="false" ht="15" hidden="false" customHeight="false" outlineLevel="0" collapsed="false">
      <c r="A34" s="10" t="s">
        <v>517</v>
      </c>
      <c r="B34" s="12" t="n">
        <v>1900</v>
      </c>
      <c r="C34" s="36" t="n">
        <v>1900</v>
      </c>
      <c r="D34" s="11" t="s">
        <v>45</v>
      </c>
    </row>
    <row r="35" customFormat="false" ht="15" hidden="false" customHeight="false" outlineLevel="0" collapsed="false">
      <c r="A35" s="10" t="s">
        <v>518</v>
      </c>
      <c r="B35" s="12" t="n">
        <v>2400</v>
      </c>
      <c r="C35" s="36" t="n">
        <v>2100</v>
      </c>
      <c r="D35" s="11" t="s">
        <v>45</v>
      </c>
    </row>
    <row r="36" customFormat="false" ht="15" hidden="false" customHeight="false" outlineLevel="0" collapsed="false">
      <c r="A36" s="10" t="s">
        <v>519</v>
      </c>
      <c r="B36" s="12" t="n">
        <v>1700</v>
      </c>
      <c r="C36" s="36" t="n">
        <v>1700</v>
      </c>
      <c r="D36" s="11" t="s">
        <v>45</v>
      </c>
    </row>
    <row r="37" customFormat="false" ht="15" hidden="false" customHeight="false" outlineLevel="0" collapsed="false">
      <c r="A37" s="10" t="s">
        <v>520</v>
      </c>
      <c r="B37" s="12" t="n">
        <v>1800</v>
      </c>
      <c r="C37" s="36" t="n">
        <v>1700</v>
      </c>
      <c r="D37" s="11" t="s">
        <v>45</v>
      </c>
    </row>
    <row r="38" customFormat="false" ht="15" hidden="false" customHeight="false" outlineLevel="0" collapsed="false">
      <c r="A38" s="10" t="s">
        <v>521</v>
      </c>
      <c r="B38" s="12" t="n">
        <v>650</v>
      </c>
      <c r="C38" s="36" t="n">
        <v>650</v>
      </c>
      <c r="D38" s="11" t="s">
        <v>45</v>
      </c>
    </row>
    <row r="39" customFormat="false" ht="15" hidden="false" customHeight="false" outlineLevel="0" collapsed="false">
      <c r="A39" s="10" t="s">
        <v>522</v>
      </c>
      <c r="B39" s="12" t="n">
        <v>2400</v>
      </c>
      <c r="C39" s="36" t="n">
        <v>2400</v>
      </c>
      <c r="D39" s="11" t="s">
        <v>45</v>
      </c>
    </row>
    <row r="40" customFormat="false" ht="15" hidden="false" customHeight="false" outlineLevel="0" collapsed="false">
      <c r="A40" s="10" t="s">
        <v>523</v>
      </c>
      <c r="B40" s="12" t="n">
        <v>1700</v>
      </c>
      <c r="C40" s="36" t="n">
        <v>1600</v>
      </c>
      <c r="D40" s="11" t="s">
        <v>45</v>
      </c>
    </row>
    <row r="41" customFormat="false" ht="15" hidden="false" customHeight="false" outlineLevel="0" collapsed="false">
      <c r="A41" s="10" t="s">
        <v>524</v>
      </c>
      <c r="B41" s="12" t="n">
        <v>2000</v>
      </c>
      <c r="C41" s="36" t="n">
        <v>2000</v>
      </c>
      <c r="D41" s="11" t="s">
        <v>45</v>
      </c>
    </row>
    <row r="42" customFormat="false" ht="15" hidden="false" customHeight="false" outlineLevel="0" collapsed="false">
      <c r="A42" s="10" t="s">
        <v>525</v>
      </c>
      <c r="B42" s="12" t="n">
        <v>8000</v>
      </c>
      <c r="C42" s="36" t="n">
        <v>8000</v>
      </c>
      <c r="D42" s="11" t="s">
        <v>45</v>
      </c>
    </row>
    <row r="43" customFormat="false" ht="15" hidden="false" customHeight="false" outlineLevel="0" collapsed="false">
      <c r="A43" s="10" t="s">
        <v>526</v>
      </c>
      <c r="B43" s="12" t="n">
        <v>2500</v>
      </c>
      <c r="C43" s="36" t="n">
        <v>2400</v>
      </c>
      <c r="D43" s="11" t="s">
        <v>45</v>
      </c>
    </row>
    <row r="44" customFormat="false" ht="15" hidden="false" customHeight="false" outlineLevel="0" collapsed="false">
      <c r="A44" s="10" t="s">
        <v>527</v>
      </c>
      <c r="B44" s="12" t="n">
        <v>5500</v>
      </c>
      <c r="C44" s="36" t="n">
        <v>5000</v>
      </c>
      <c r="D44" s="11" t="s">
        <v>45</v>
      </c>
    </row>
    <row r="45" customFormat="false" ht="15" hidden="false" customHeight="false" outlineLevel="0" collapsed="false">
      <c r="A45" s="10" t="s">
        <v>528</v>
      </c>
      <c r="B45" s="12" t="n">
        <v>6000</v>
      </c>
      <c r="C45" s="36" t="n">
        <v>6000</v>
      </c>
      <c r="D45" s="11" t="s">
        <v>45</v>
      </c>
    </row>
    <row r="46" customFormat="false" ht="15" hidden="false" customHeight="false" outlineLevel="0" collapsed="false">
      <c r="A46" s="10" t="s">
        <v>529</v>
      </c>
      <c r="B46" s="12" t="n">
        <v>5500</v>
      </c>
      <c r="C46" s="36" t="n">
        <v>5500</v>
      </c>
      <c r="D46" s="11" t="s">
        <v>45</v>
      </c>
    </row>
    <row r="47" customFormat="false" ht="15" hidden="false" customHeight="false" outlineLevel="0" collapsed="false">
      <c r="A47" s="10" t="s">
        <v>530</v>
      </c>
      <c r="B47" s="12" t="n">
        <v>3000</v>
      </c>
      <c r="C47" s="36" t="n">
        <v>2900</v>
      </c>
      <c r="D47" s="11" t="s">
        <v>45</v>
      </c>
    </row>
    <row r="48" customFormat="false" ht="15" hidden="false" customHeight="false" outlineLevel="0" collapsed="false">
      <c r="A48" s="10" t="s">
        <v>531</v>
      </c>
      <c r="B48" s="12" t="n">
        <v>3300</v>
      </c>
      <c r="C48" s="36" t="n">
        <v>3300</v>
      </c>
      <c r="D48" s="11" t="s">
        <v>45</v>
      </c>
    </row>
    <row r="49" customFormat="false" ht="15" hidden="false" customHeight="false" outlineLevel="0" collapsed="false">
      <c r="A49" s="10" t="s">
        <v>532</v>
      </c>
      <c r="B49" s="12" t="n">
        <v>1000</v>
      </c>
      <c r="C49" s="36" t="n">
        <v>1000</v>
      </c>
      <c r="D49" s="11" t="s">
        <v>45</v>
      </c>
    </row>
    <row r="50" customFormat="false" ht="15" hidden="false" customHeight="false" outlineLevel="0" collapsed="false">
      <c r="A50" s="10" t="s">
        <v>533</v>
      </c>
      <c r="B50" s="12" t="n">
        <v>500</v>
      </c>
      <c r="C50" s="36" t="n">
        <v>500</v>
      </c>
      <c r="D50" s="11" t="s">
        <v>45</v>
      </c>
    </row>
    <row r="51" customFormat="false" ht="15" hidden="false" customHeight="false" outlineLevel="0" collapsed="false">
      <c r="A51" s="34"/>
      <c r="B51" s="12"/>
      <c r="D51" s="11"/>
    </row>
    <row r="52" customFormat="false" ht="15" hidden="false" customHeight="false" outlineLevel="0" collapsed="false">
      <c r="A52" s="34"/>
      <c r="B52" s="12"/>
      <c r="D52" s="11"/>
    </row>
    <row r="53" customFormat="false" ht="15" hidden="false" customHeight="false" outlineLevel="0" collapsed="false">
      <c r="A53" s="34"/>
      <c r="B53" s="12"/>
      <c r="D53" s="11"/>
    </row>
    <row r="54" customFormat="false" ht="15" hidden="false" customHeight="false" outlineLevel="0" collapsed="false">
      <c r="A54" s="34"/>
      <c r="B54" s="12"/>
      <c r="D54" s="11"/>
    </row>
    <row r="55" customFormat="false" ht="15" hidden="false" customHeight="false" outlineLevel="0" collapsed="false">
      <c r="A55" s="34"/>
      <c r="B55" s="12"/>
      <c r="D55" s="11"/>
    </row>
    <row r="56" customFormat="false" ht="15" hidden="false" customHeight="false" outlineLevel="0" collapsed="false">
      <c r="A56" s="34"/>
      <c r="B56" s="12"/>
      <c r="D56" s="11"/>
    </row>
    <row r="57" customFormat="false" ht="15" hidden="false" customHeight="false" outlineLevel="0" collapsed="false">
      <c r="A57" s="34"/>
      <c r="B57" s="12"/>
      <c r="D57" s="11"/>
    </row>
    <row r="58" customFormat="false" ht="15" hidden="false" customHeight="false" outlineLevel="0" collapsed="false">
      <c r="A58" s="34"/>
      <c r="B58" s="12"/>
      <c r="D58" s="11"/>
    </row>
    <row r="59" customFormat="false" ht="15" hidden="false" customHeight="false" outlineLevel="0" collapsed="false">
      <c r="A59" s="34"/>
      <c r="B59" s="12"/>
      <c r="D59" s="11"/>
    </row>
    <row r="60" customFormat="false" ht="15" hidden="false" customHeight="false" outlineLevel="0" collapsed="false">
      <c r="A60" s="34"/>
      <c r="B60" s="12"/>
      <c r="D60" s="11"/>
    </row>
    <row r="61" customFormat="false" ht="15" hidden="false" customHeight="false" outlineLevel="0" collapsed="false">
      <c r="A61" s="34"/>
      <c r="B61" s="12"/>
      <c r="D61" s="11"/>
    </row>
    <row r="62" customFormat="false" ht="15" hidden="false" customHeight="false" outlineLevel="0" collapsed="false">
      <c r="A62" s="34"/>
      <c r="B62" s="12"/>
      <c r="D62" s="11"/>
    </row>
    <row r="63" customFormat="false" ht="15" hidden="false" customHeight="false" outlineLevel="0" collapsed="false">
      <c r="A63" s="34"/>
      <c r="B63" s="12"/>
      <c r="D63" s="11"/>
    </row>
    <row r="64" customFormat="false" ht="15" hidden="false" customHeight="false" outlineLevel="0" collapsed="false">
      <c r="A64" s="34"/>
      <c r="B64" s="12"/>
      <c r="D64" s="11"/>
    </row>
    <row r="65" customFormat="false" ht="15" hidden="false" customHeight="false" outlineLevel="0" collapsed="false">
      <c r="A65" s="34"/>
      <c r="B65" s="12"/>
      <c r="D65" s="11"/>
    </row>
    <row r="66" customFormat="false" ht="15" hidden="false" customHeight="false" outlineLevel="0" collapsed="false">
      <c r="A66" s="34"/>
      <c r="B66" s="12"/>
      <c r="D66" s="11"/>
    </row>
    <row r="67" customFormat="false" ht="15" hidden="false" customHeight="false" outlineLevel="0" collapsed="false">
      <c r="A67" s="34"/>
      <c r="B67" s="12"/>
      <c r="D67" s="11"/>
    </row>
    <row r="68" customFormat="false" ht="15" hidden="false" customHeight="false" outlineLevel="0" collapsed="false">
      <c r="A68" s="34"/>
      <c r="B68" s="12"/>
      <c r="D68" s="11"/>
    </row>
    <row r="69" customFormat="false" ht="15" hidden="false" customHeight="false" outlineLevel="0" collapsed="false">
      <c r="A69" s="34"/>
      <c r="B69" s="12"/>
      <c r="D69" s="11"/>
    </row>
    <row r="70" customFormat="false" ht="15" hidden="false" customHeight="false" outlineLevel="0" collapsed="false">
      <c r="A70" s="34"/>
      <c r="B70" s="12"/>
      <c r="D70" s="11"/>
    </row>
    <row r="71" customFormat="false" ht="15" hidden="false" customHeight="false" outlineLevel="0" collapsed="false">
      <c r="A71" s="34"/>
      <c r="B71" s="12"/>
      <c r="D71" s="11"/>
    </row>
    <row r="72" customFormat="false" ht="15" hidden="false" customHeight="false" outlineLevel="0" collapsed="false">
      <c r="A72" s="34"/>
      <c r="B72" s="12"/>
      <c r="D72" s="11"/>
    </row>
    <row r="73" customFormat="false" ht="15" hidden="false" customHeight="false" outlineLevel="0" collapsed="false">
      <c r="A73" s="34"/>
      <c r="B73" s="12"/>
      <c r="D73" s="11"/>
    </row>
    <row r="74" customFormat="false" ht="15" hidden="false" customHeight="false" outlineLevel="0" collapsed="false">
      <c r="A74" s="34"/>
      <c r="B74" s="12"/>
      <c r="D74" s="11"/>
    </row>
    <row r="75" customFormat="false" ht="15" hidden="false" customHeight="false" outlineLevel="0" collapsed="false">
      <c r="A75" s="34"/>
      <c r="B75" s="12"/>
      <c r="D75" s="11"/>
    </row>
    <row r="76" customFormat="false" ht="15" hidden="false" customHeight="false" outlineLevel="0" collapsed="false">
      <c r="A76" s="34"/>
      <c r="B76" s="12"/>
      <c r="D76" s="11"/>
    </row>
    <row r="77" customFormat="false" ht="15" hidden="false" customHeight="false" outlineLevel="0" collapsed="false">
      <c r="A77" s="34"/>
      <c r="B77" s="12"/>
      <c r="D77" s="11"/>
    </row>
    <row r="78" customFormat="false" ht="15" hidden="false" customHeight="false" outlineLevel="0" collapsed="false">
      <c r="A78" s="34"/>
      <c r="B78" s="12"/>
      <c r="D78" s="11"/>
    </row>
    <row r="79" customFormat="false" ht="15" hidden="false" customHeight="false" outlineLevel="0" collapsed="false">
      <c r="A79" s="34"/>
      <c r="B79" s="12"/>
      <c r="D79" s="11"/>
    </row>
    <row r="80" customFormat="false" ht="15" hidden="false" customHeight="false" outlineLevel="0" collapsed="false">
      <c r="A80" s="34"/>
      <c r="B80" s="12"/>
      <c r="D80" s="11"/>
    </row>
    <row r="81" customFormat="false" ht="15" hidden="false" customHeight="false" outlineLevel="0" collapsed="false">
      <c r="A81" s="34"/>
      <c r="B81" s="12"/>
      <c r="D81" s="11"/>
    </row>
    <row r="82" customFormat="false" ht="15" hidden="false" customHeight="false" outlineLevel="0" collapsed="false">
      <c r="A82" s="34"/>
      <c r="B82" s="12"/>
      <c r="D82" s="11"/>
    </row>
    <row r="83" customFormat="false" ht="15" hidden="false" customHeight="false" outlineLevel="0" collapsed="false">
      <c r="A83" s="34"/>
      <c r="B83" s="12"/>
      <c r="D83" s="11"/>
    </row>
    <row r="84" customFormat="false" ht="15" hidden="false" customHeight="false" outlineLevel="0" collapsed="false">
      <c r="A84" s="34"/>
      <c r="B84" s="12"/>
      <c r="D84" s="11"/>
    </row>
    <row r="85" customFormat="false" ht="15" hidden="false" customHeight="false" outlineLevel="0" collapsed="false">
      <c r="A85" s="34"/>
      <c r="B85" s="12"/>
      <c r="D85" s="11"/>
    </row>
    <row r="86" customFormat="false" ht="15" hidden="false" customHeight="false" outlineLevel="0" collapsed="false">
      <c r="A86" s="34"/>
      <c r="B86" s="12"/>
      <c r="D86" s="11"/>
    </row>
    <row r="87" customFormat="false" ht="15" hidden="false" customHeight="false" outlineLevel="0" collapsed="false">
      <c r="A87" s="34"/>
      <c r="B87" s="12"/>
      <c r="D87" s="11"/>
    </row>
    <row r="88" customFormat="false" ht="15" hidden="false" customHeight="false" outlineLevel="0" collapsed="false">
      <c r="A88" s="34"/>
      <c r="B88" s="12"/>
      <c r="D88" s="11"/>
    </row>
    <row r="89" customFormat="false" ht="15" hidden="false" customHeight="false" outlineLevel="0" collapsed="false">
      <c r="A89" s="34"/>
      <c r="B89" s="12"/>
      <c r="D89" s="11"/>
    </row>
    <row r="90" customFormat="false" ht="15" hidden="false" customHeight="false" outlineLevel="0" collapsed="false">
      <c r="A90" s="34"/>
      <c r="B90" s="12"/>
      <c r="D90" s="11"/>
    </row>
    <row r="91" customFormat="false" ht="15" hidden="false" customHeight="false" outlineLevel="0" collapsed="false">
      <c r="A91" s="34"/>
      <c r="B91" s="12"/>
      <c r="D91" s="11"/>
    </row>
    <row r="92" customFormat="false" ht="15" hidden="false" customHeight="false" outlineLevel="0" collapsed="false">
      <c r="A92" s="34"/>
      <c r="B92" s="12"/>
      <c r="D92" s="11"/>
    </row>
    <row r="93" customFormat="false" ht="15" hidden="false" customHeight="false" outlineLevel="0" collapsed="false">
      <c r="A93" s="34"/>
      <c r="B93" s="12"/>
      <c r="D93" s="11"/>
    </row>
    <row r="94" customFormat="false" ht="15" hidden="false" customHeight="false" outlineLevel="0" collapsed="false">
      <c r="A94" s="34"/>
      <c r="B94" s="12"/>
      <c r="D94" s="11"/>
    </row>
    <row r="95" customFormat="false" ht="15" hidden="false" customHeight="false" outlineLevel="0" collapsed="false">
      <c r="A95" s="34"/>
      <c r="B95" s="12"/>
      <c r="D95" s="11"/>
    </row>
    <row r="96" customFormat="false" ht="15" hidden="false" customHeight="false" outlineLevel="0" collapsed="false">
      <c r="A96" s="34"/>
      <c r="B96" s="12"/>
      <c r="D96" s="11"/>
    </row>
    <row r="97" customFormat="false" ht="15" hidden="false" customHeight="false" outlineLevel="0" collapsed="false">
      <c r="A97" s="34"/>
      <c r="B97" s="12"/>
      <c r="D97" s="11"/>
    </row>
    <row r="98" customFormat="false" ht="15" hidden="false" customHeight="false" outlineLevel="0" collapsed="false">
      <c r="A98" s="34"/>
      <c r="B98" s="12"/>
      <c r="D98" s="11"/>
    </row>
    <row r="99" customFormat="false" ht="15" hidden="false" customHeight="false" outlineLevel="0" collapsed="false">
      <c r="A99" s="34"/>
      <c r="B99" s="12"/>
      <c r="D99" s="11"/>
    </row>
    <row r="100" customFormat="false" ht="15" hidden="false" customHeight="false" outlineLevel="0" collapsed="false">
      <c r="A100" s="34"/>
      <c r="B100" s="12"/>
      <c r="D100" s="11"/>
    </row>
  </sheetData>
  <dataValidations count="1">
    <dataValidation allowBlank="true" errorStyle="stop" operator="between" showDropDown="false" showErrorMessage="false" showInputMessage="false" sqref="D5:D100" type="list">
      <formula1>"Por confirmar,Confirmado"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8"/>
    <col collapsed="false" customWidth="true" hidden="false" outlineLevel="0" max="2" min="2" style="0" width="52"/>
    <col collapsed="false" customWidth="true" hidden="false" outlineLevel="0" max="3" min="3" style="0" width="22"/>
    <col collapsed="false" customWidth="true" hidden="false" outlineLevel="0" max="4" min="4" style="0" width="12"/>
    <col collapsed="false" customWidth="true" hidden="false" outlineLevel="0" max="5" min="5" style="0" width="14"/>
    <col collapsed="false" customWidth="true" hidden="false" outlineLevel="0" max="6" min="6" style="0" width="16"/>
  </cols>
  <sheetData>
    <row r="1" customFormat="false" ht="17.35" hidden="false" customHeight="false" outlineLevel="0" collapsed="false">
      <c r="A1" s="1" t="s">
        <v>534</v>
      </c>
    </row>
    <row r="2" customFormat="false" ht="15" hidden="false" customHeight="false" outlineLevel="0" collapsed="false">
      <c r="A2" s="2" t="s">
        <v>535</v>
      </c>
    </row>
    <row r="3" customFormat="false" ht="15" hidden="false" customHeight="false" outlineLevel="0" collapsed="false">
      <c r="A3" s="5" t="str">
        <f aca="false">"Con costo completo: "&amp;COUNTIF(F6:F200,"Completa")&amp;" de "&amp;COUNTA(A6:A200)&amp;" productos  ·  cubren el "&amp;TEXT(SUMIF(F6:F200,"Completa",D6:D200)/SUM(D6:D200),"0%")&amp;" de las unidades vendidas"</f>
        <v>Con costo completo: 7 de 131 productos  ·  cubren el 8% de las unidades vendidas</v>
      </c>
    </row>
    <row r="5" customFormat="false" ht="23.85" hidden="false" customHeight="false" outlineLevel="0" collapsed="false">
      <c r="A5" s="9" t="s">
        <v>23</v>
      </c>
      <c r="B5" s="9" t="s">
        <v>24</v>
      </c>
      <c r="C5" s="9" t="s">
        <v>25</v>
      </c>
      <c r="D5" s="9" t="s">
        <v>536</v>
      </c>
      <c r="E5" s="9" t="s">
        <v>537</v>
      </c>
      <c r="F5" s="9" t="s">
        <v>30</v>
      </c>
    </row>
    <row r="6" customFormat="false" ht="15" hidden="false" customHeight="false" outlineLevel="0" collapsed="false">
      <c r="A6" s="10" t="s">
        <v>538</v>
      </c>
      <c r="B6" s="10" t="s">
        <v>539</v>
      </c>
      <c r="C6" s="10" t="s">
        <v>540</v>
      </c>
      <c r="D6" s="37" t="n">
        <v>496</v>
      </c>
      <c r="E6" s="36" t="n">
        <v>26379</v>
      </c>
      <c r="F6" s="38" t="str">
        <f aca="false">IF(COUNTIF(Productos!$A$6:$A$110,A6)=0,IF(C6="KIT/DÚO","Kit (después)","No está"),IF(COUNTIFS(Productos!$A$6:$A$110,A6,Productos!$J$6:$J$110,"&gt;0")&gt;0,"Completa","Faltan datos"))</f>
        <v>Kit (después)</v>
      </c>
    </row>
    <row r="7" customFormat="false" ht="15" hidden="false" customHeight="false" outlineLevel="0" collapsed="false">
      <c r="A7" s="10" t="s">
        <v>541</v>
      </c>
      <c r="B7" s="10" t="s">
        <v>542</v>
      </c>
      <c r="C7" s="10" t="s">
        <v>543</v>
      </c>
      <c r="D7" s="37" t="n">
        <v>387</v>
      </c>
      <c r="E7" s="36" t="n">
        <v>2094</v>
      </c>
      <c r="F7" s="38" t="str">
        <f aca="false">IF(COUNTIF(Productos!$A$6:$A$110,A7)=0,IF(C7="KIT/DÚO","Kit (después)","No está"),IF(COUNTIFS(Productos!$A$6:$A$110,A7,Productos!$J$6:$J$110,"&gt;0")&gt;0,"Completa","Faltan datos"))</f>
        <v>No está</v>
      </c>
    </row>
    <row r="8" customFormat="false" ht="15" hidden="false" customHeight="false" outlineLevel="0" collapsed="false">
      <c r="A8" s="10" t="s">
        <v>544</v>
      </c>
      <c r="B8" s="10" t="s">
        <v>545</v>
      </c>
      <c r="C8" s="10" t="s">
        <v>540</v>
      </c>
      <c r="D8" s="37" t="n">
        <v>214</v>
      </c>
      <c r="E8" s="36" t="n">
        <v>29580</v>
      </c>
      <c r="F8" s="38" t="str">
        <f aca="false">IF(COUNTIF(Productos!$A$6:$A$110,A8)=0,IF(C8="KIT/DÚO","Kit (después)","No está"),IF(COUNTIFS(Productos!$A$6:$A$110,A8,Productos!$J$6:$J$110,"&gt;0")&gt;0,"Completa","Faltan datos"))</f>
        <v>Kit (después)</v>
      </c>
    </row>
    <row r="9" customFormat="false" ht="15" hidden="false" customHeight="false" outlineLevel="0" collapsed="false">
      <c r="A9" s="10" t="s">
        <v>546</v>
      </c>
      <c r="B9" s="10" t="s">
        <v>547</v>
      </c>
      <c r="C9" s="10" t="s">
        <v>543</v>
      </c>
      <c r="D9" s="37" t="n">
        <v>214</v>
      </c>
      <c r="E9" s="36" t="n">
        <v>2941</v>
      </c>
      <c r="F9" s="38" t="str">
        <f aca="false">IF(COUNTIF(Productos!$A$6:$A$110,A9)=0,IF(C9="KIT/DÚO","Kit (después)","No está"),IF(COUNTIFS(Productos!$A$6:$A$110,A9,Productos!$J$6:$J$110,"&gt;0")&gt;0,"Completa","Faltan datos"))</f>
        <v>No está</v>
      </c>
    </row>
    <row r="10" customFormat="false" ht="15" hidden="false" customHeight="false" outlineLevel="0" collapsed="false">
      <c r="A10" s="10" t="s">
        <v>548</v>
      </c>
      <c r="B10" s="10" t="s">
        <v>549</v>
      </c>
      <c r="C10" s="10" t="s">
        <v>550</v>
      </c>
      <c r="D10" s="37" t="n">
        <v>209</v>
      </c>
      <c r="E10" s="36" t="n">
        <v>9734</v>
      </c>
      <c r="F10" s="38" t="str">
        <f aca="false">IF(COUNTIF(Productos!$A$6:$A$110,A10)=0,IF(C10="KIT/DÚO","Kit (después)","No está"),IF(COUNTIFS(Productos!$A$6:$A$110,A10,Productos!$J$6:$J$110,"&gt;0")&gt;0,"Completa","Faltan datos"))</f>
        <v>No está</v>
      </c>
    </row>
    <row r="11" customFormat="false" ht="15" hidden="false" customHeight="false" outlineLevel="0" collapsed="false">
      <c r="A11" s="10" t="s">
        <v>551</v>
      </c>
      <c r="B11" s="10" t="s">
        <v>552</v>
      </c>
      <c r="C11" s="10" t="s">
        <v>543</v>
      </c>
      <c r="D11" s="37" t="n">
        <v>207</v>
      </c>
      <c r="E11" s="36" t="n">
        <v>2941</v>
      </c>
      <c r="F11" s="38" t="str">
        <f aca="false">IF(COUNTIF(Productos!$A$6:$A$110,A11)=0,IF(C11="KIT/DÚO","Kit (después)","No está"),IF(COUNTIFS(Productos!$A$6:$A$110,A11,Productos!$J$6:$J$110,"&gt;0")&gt;0,"Completa","Faltan datos"))</f>
        <v>No está</v>
      </c>
    </row>
    <row r="12" customFormat="false" ht="15" hidden="false" customHeight="false" outlineLevel="0" collapsed="false">
      <c r="A12" s="10" t="s">
        <v>41</v>
      </c>
      <c r="B12" s="10" t="s">
        <v>42</v>
      </c>
      <c r="C12" s="10" t="s">
        <v>553</v>
      </c>
      <c r="D12" s="37" t="n">
        <v>198</v>
      </c>
      <c r="E12" s="36" t="n">
        <v>15994</v>
      </c>
      <c r="F12" s="38" t="str">
        <f aca="false">IF(COUNTIF(Productos!$A$6:$A$110,A12)=0,IF(C12="KIT/DÚO","Kit (después)","No está"),IF(COUNTIFS(Productos!$A$6:$A$110,A12,Productos!$J$6:$J$110,"&gt;0")&gt;0,"Completa","Faltan datos"))</f>
        <v>Faltan datos</v>
      </c>
    </row>
    <row r="13" customFormat="false" ht="15" hidden="false" customHeight="false" outlineLevel="0" collapsed="false">
      <c r="A13" s="10" t="s">
        <v>47</v>
      </c>
      <c r="B13" s="10" t="s">
        <v>48</v>
      </c>
      <c r="C13" s="10" t="s">
        <v>553</v>
      </c>
      <c r="D13" s="37" t="n">
        <v>190</v>
      </c>
      <c r="E13" s="36" t="n">
        <v>16073</v>
      </c>
      <c r="F13" s="38" t="str">
        <f aca="false">IF(COUNTIF(Productos!$A$6:$A$110,A13)=0,IF(C13="KIT/DÚO","Kit (después)","No está"),IF(COUNTIFS(Productos!$A$6:$A$110,A13,Productos!$J$6:$J$110,"&gt;0")&gt;0,"Completa","Faltan datos"))</f>
        <v>Faltan datos</v>
      </c>
    </row>
    <row r="14" customFormat="false" ht="15" hidden="false" customHeight="false" outlineLevel="0" collapsed="false">
      <c r="A14" s="10" t="s">
        <v>554</v>
      </c>
      <c r="B14" s="10" t="s">
        <v>555</v>
      </c>
      <c r="C14" s="10" t="s">
        <v>543</v>
      </c>
      <c r="D14" s="37" t="n">
        <v>161</v>
      </c>
      <c r="E14" s="36" t="n">
        <v>2521</v>
      </c>
      <c r="F14" s="38" t="str">
        <f aca="false">IF(COUNTIF(Productos!$A$6:$A$110,A14)=0,IF(C14="KIT/DÚO","Kit (después)","No está"),IF(COUNTIFS(Productos!$A$6:$A$110,A14,Productos!$J$6:$J$110,"&gt;0")&gt;0,"Completa","Faltan datos"))</f>
        <v>No está</v>
      </c>
    </row>
    <row r="15" customFormat="false" ht="15" hidden="false" customHeight="false" outlineLevel="0" collapsed="false">
      <c r="A15" s="10" t="s">
        <v>50</v>
      </c>
      <c r="B15" s="10" t="s">
        <v>51</v>
      </c>
      <c r="C15" s="10" t="s">
        <v>553</v>
      </c>
      <c r="D15" s="37" t="n">
        <v>160</v>
      </c>
      <c r="E15" s="36" t="n">
        <v>18403</v>
      </c>
      <c r="F15" s="38" t="str">
        <f aca="false">IF(COUNTIF(Productos!$A$6:$A$110,A15)=0,IF(C15="KIT/DÚO","Kit (después)","No está"),IF(COUNTIFS(Productos!$A$6:$A$110,A15,Productos!$J$6:$J$110,"&gt;0")&gt;0,"Completa","Faltan datos"))</f>
        <v>Completa</v>
      </c>
    </row>
    <row r="16" customFormat="false" ht="15" hidden="false" customHeight="false" outlineLevel="0" collapsed="false">
      <c r="A16" s="10" t="s">
        <v>556</v>
      </c>
      <c r="B16" s="10" t="s">
        <v>557</v>
      </c>
      <c r="C16" s="10" t="s">
        <v>540</v>
      </c>
      <c r="D16" s="37" t="n">
        <v>148</v>
      </c>
      <c r="E16" s="36" t="n">
        <v>38898</v>
      </c>
      <c r="F16" s="38" t="str">
        <f aca="false">IF(COUNTIF(Productos!$A$6:$A$110,A16)=0,IF(C16="KIT/DÚO","Kit (después)","No está"),IF(COUNTIFS(Productos!$A$6:$A$110,A16,Productos!$J$6:$J$110,"&gt;0")&gt;0,"Completa","Faltan datos"))</f>
        <v>Kit (después)</v>
      </c>
    </row>
    <row r="17" customFormat="false" ht="15" hidden="false" customHeight="false" outlineLevel="0" collapsed="false">
      <c r="A17" s="10" t="s">
        <v>54</v>
      </c>
      <c r="B17" s="10" t="s">
        <v>55</v>
      </c>
      <c r="C17" s="10" t="s">
        <v>553</v>
      </c>
      <c r="D17" s="37" t="n">
        <v>139</v>
      </c>
      <c r="E17" s="36" t="n">
        <v>17563</v>
      </c>
      <c r="F17" s="38" t="str">
        <f aca="false">IF(COUNTIF(Productos!$A$6:$A$110,A17)=0,IF(C17="KIT/DÚO","Kit (después)","No está"),IF(COUNTIFS(Productos!$A$6:$A$110,A17,Productos!$J$6:$J$110,"&gt;0")&gt;0,"Completa","Faltan datos"))</f>
        <v>Faltan datos</v>
      </c>
    </row>
    <row r="18" customFormat="false" ht="15" hidden="false" customHeight="false" outlineLevel="0" collapsed="false">
      <c r="A18" s="10" t="s">
        <v>558</v>
      </c>
      <c r="B18" s="10" t="s">
        <v>559</v>
      </c>
      <c r="C18" s="10" t="s">
        <v>543</v>
      </c>
      <c r="D18" s="37" t="n">
        <v>130</v>
      </c>
      <c r="E18" s="36" t="n">
        <v>840</v>
      </c>
      <c r="F18" s="38" t="str">
        <f aca="false">IF(COUNTIF(Productos!$A$6:$A$110,A18)=0,IF(C18="KIT/DÚO","Kit (después)","No está"),IF(COUNTIFS(Productos!$A$6:$A$110,A18,Productos!$J$6:$J$110,"&gt;0")&gt;0,"Completa","Faltan datos"))</f>
        <v>No está</v>
      </c>
    </row>
    <row r="19" customFormat="false" ht="15" hidden="false" customHeight="false" outlineLevel="0" collapsed="false">
      <c r="A19" s="10" t="s">
        <v>560</v>
      </c>
      <c r="B19" s="10" t="s">
        <v>561</v>
      </c>
      <c r="C19" s="10" t="s">
        <v>543</v>
      </c>
      <c r="D19" s="37" t="n">
        <v>126</v>
      </c>
      <c r="E19" s="36" t="n">
        <v>4202</v>
      </c>
      <c r="F19" s="38" t="str">
        <f aca="false">IF(COUNTIF(Productos!$A$6:$A$110,A19)=0,IF(C19="KIT/DÚO","Kit (después)","No está"),IF(COUNTIFS(Productos!$A$6:$A$110,A19,Productos!$J$6:$J$110,"&gt;0")&gt;0,"Completa","Faltan datos"))</f>
        <v>No está</v>
      </c>
    </row>
    <row r="20" customFormat="false" ht="15" hidden="false" customHeight="false" outlineLevel="0" collapsed="false">
      <c r="A20" s="10" t="s">
        <v>57</v>
      </c>
      <c r="B20" s="10" t="s">
        <v>58</v>
      </c>
      <c r="C20" s="10" t="s">
        <v>553</v>
      </c>
      <c r="D20" s="37" t="n">
        <v>109</v>
      </c>
      <c r="E20" s="36" t="n">
        <v>18403</v>
      </c>
      <c r="F20" s="38" t="str">
        <f aca="false">IF(COUNTIF(Productos!$A$6:$A$110,A20)=0,IF(C20="KIT/DÚO","Kit (después)","No está"),IF(COUNTIFS(Productos!$A$6:$A$110,A20,Productos!$J$6:$J$110,"&gt;0")&gt;0,"Completa","Faltan datos"))</f>
        <v>Completa</v>
      </c>
    </row>
    <row r="21" customFormat="false" ht="15" hidden="false" customHeight="false" outlineLevel="0" collapsed="false">
      <c r="A21" s="10" t="s">
        <v>60</v>
      </c>
      <c r="B21" s="10" t="s">
        <v>61</v>
      </c>
      <c r="C21" s="10" t="s">
        <v>553</v>
      </c>
      <c r="D21" s="37" t="n">
        <v>109</v>
      </c>
      <c r="E21" s="36" t="n">
        <v>16589</v>
      </c>
      <c r="F21" s="38" t="str">
        <f aca="false">IF(COUNTIF(Productos!$A$6:$A$110,A21)=0,IF(C21="KIT/DÚO","Kit (después)","No está"),IF(COUNTIFS(Productos!$A$6:$A$110,A21,Productos!$J$6:$J$110,"&gt;0")&gt;0,"Completa","Faltan datos"))</f>
        <v>Faltan datos</v>
      </c>
    </row>
    <row r="22" customFormat="false" ht="15" hidden="false" customHeight="false" outlineLevel="0" collapsed="false">
      <c r="A22" s="10" t="s">
        <v>64</v>
      </c>
      <c r="B22" s="10" t="s">
        <v>65</v>
      </c>
      <c r="C22" s="10" t="s">
        <v>562</v>
      </c>
      <c r="D22" s="37" t="n">
        <v>109</v>
      </c>
      <c r="E22" s="36" t="n">
        <v>17004</v>
      </c>
      <c r="F22" s="38" t="str">
        <f aca="false">IF(COUNTIF(Productos!$A$6:$A$110,A22)=0,IF(C22="KIT/DÚO","Kit (después)","No está"),IF(COUNTIFS(Productos!$A$6:$A$110,A22,Productos!$J$6:$J$110,"&gt;0")&gt;0,"Completa","Faltan datos"))</f>
        <v>Faltan datos</v>
      </c>
    </row>
    <row r="23" customFormat="false" ht="15" hidden="false" customHeight="false" outlineLevel="0" collapsed="false">
      <c r="A23" s="10" t="s">
        <v>563</v>
      </c>
      <c r="B23" s="10" t="s">
        <v>564</v>
      </c>
      <c r="C23" s="10" t="s">
        <v>540</v>
      </c>
      <c r="D23" s="37" t="n">
        <v>105</v>
      </c>
      <c r="E23" s="36" t="n">
        <v>23697</v>
      </c>
      <c r="F23" s="38" t="str">
        <f aca="false">IF(COUNTIF(Productos!$A$6:$A$110,A23)=0,IF(C23="KIT/DÚO","Kit (después)","No está"),IF(COUNTIFS(Productos!$A$6:$A$110,A23,Productos!$J$6:$J$110,"&gt;0")&gt;0,"Completa","Faltan datos"))</f>
        <v>Kit (después)</v>
      </c>
    </row>
    <row r="24" customFormat="false" ht="15" hidden="false" customHeight="false" outlineLevel="0" collapsed="false">
      <c r="A24" s="10" t="s">
        <v>67</v>
      </c>
      <c r="B24" s="10" t="s">
        <v>68</v>
      </c>
      <c r="C24" s="10" t="s">
        <v>553</v>
      </c>
      <c r="D24" s="37" t="n">
        <v>100</v>
      </c>
      <c r="E24" s="36" t="n">
        <v>25714</v>
      </c>
      <c r="F24" s="38" t="str">
        <f aca="false">IF(COUNTIF(Productos!$A$6:$A$110,A24)=0,IF(C24="KIT/DÚO","Kit (después)","No está"),IF(COUNTIFS(Productos!$A$6:$A$110,A24,Productos!$J$6:$J$110,"&gt;0")&gt;0,"Completa","Faltan datos"))</f>
        <v>Faltan datos</v>
      </c>
    </row>
    <row r="25" customFormat="false" ht="15" hidden="false" customHeight="false" outlineLevel="0" collapsed="false">
      <c r="A25" s="10" t="s">
        <v>69</v>
      </c>
      <c r="B25" s="10" t="s">
        <v>70</v>
      </c>
      <c r="C25" s="10" t="s">
        <v>562</v>
      </c>
      <c r="D25" s="37" t="n">
        <v>99</v>
      </c>
      <c r="E25" s="36" t="n">
        <v>18729</v>
      </c>
      <c r="F25" s="38" t="str">
        <f aca="false">IF(COUNTIF(Productos!$A$6:$A$110,A25)=0,IF(C25="KIT/DÚO","Kit (después)","No está"),IF(COUNTIFS(Productos!$A$6:$A$110,A25,Productos!$J$6:$J$110,"&gt;0")&gt;0,"Completa","Faltan datos"))</f>
        <v>Faltan datos</v>
      </c>
    </row>
    <row r="26" customFormat="false" ht="15" hidden="false" customHeight="false" outlineLevel="0" collapsed="false">
      <c r="A26" s="10" t="s">
        <v>71</v>
      </c>
      <c r="B26" s="10" t="s">
        <v>72</v>
      </c>
      <c r="C26" s="10" t="s">
        <v>553</v>
      </c>
      <c r="D26" s="37" t="n">
        <v>96</v>
      </c>
      <c r="E26" s="36" t="n">
        <v>15588</v>
      </c>
      <c r="F26" s="38" t="str">
        <f aca="false">IF(COUNTIF(Productos!$A$6:$A$110,A26)=0,IF(C26="KIT/DÚO","Kit (después)","No está"),IF(COUNTIFS(Productos!$A$6:$A$110,A26,Productos!$J$6:$J$110,"&gt;0")&gt;0,"Completa","Faltan datos"))</f>
        <v>Faltan datos</v>
      </c>
    </row>
    <row r="27" customFormat="false" ht="15" hidden="false" customHeight="false" outlineLevel="0" collapsed="false">
      <c r="A27" s="10" t="s">
        <v>73</v>
      </c>
      <c r="B27" s="10" t="s">
        <v>74</v>
      </c>
      <c r="C27" s="10" t="s">
        <v>553</v>
      </c>
      <c r="D27" s="37" t="n">
        <v>93</v>
      </c>
      <c r="E27" s="36" t="n">
        <v>21765</v>
      </c>
      <c r="F27" s="38" t="str">
        <f aca="false">IF(COUNTIF(Productos!$A$6:$A$110,A27)=0,IF(C27="KIT/DÚO","Kit (después)","No está"),IF(COUNTIFS(Productos!$A$6:$A$110,A27,Productos!$J$6:$J$110,"&gt;0")&gt;0,"Completa","Faltan datos"))</f>
        <v>Faltan datos</v>
      </c>
    </row>
    <row r="28" customFormat="false" ht="15" hidden="false" customHeight="false" outlineLevel="0" collapsed="false">
      <c r="A28" s="10" t="s">
        <v>565</v>
      </c>
      <c r="B28" s="10" t="s">
        <v>566</v>
      </c>
      <c r="C28" s="10" t="s">
        <v>540</v>
      </c>
      <c r="D28" s="37" t="n">
        <v>91</v>
      </c>
      <c r="E28" s="36" t="n">
        <v>26263</v>
      </c>
      <c r="F28" s="38" t="str">
        <f aca="false">IF(COUNTIF(Productos!$A$6:$A$110,A28)=0,IF(C28="KIT/DÚO","Kit (después)","No está"),IF(COUNTIFS(Productos!$A$6:$A$110,A28,Productos!$J$6:$J$110,"&gt;0")&gt;0,"Completa","Faltan datos"))</f>
        <v>Kit (después)</v>
      </c>
    </row>
    <row r="29" customFormat="false" ht="15" hidden="false" customHeight="false" outlineLevel="0" collapsed="false">
      <c r="A29" s="10" t="s">
        <v>75</v>
      </c>
      <c r="B29" s="10" t="s">
        <v>76</v>
      </c>
      <c r="C29" s="10" t="s">
        <v>562</v>
      </c>
      <c r="D29" s="37" t="n">
        <v>76</v>
      </c>
      <c r="E29" s="36" t="n">
        <v>44010</v>
      </c>
      <c r="F29" s="38" t="str">
        <f aca="false">IF(COUNTIF(Productos!$A$6:$A$110,A29)=0,IF(C29="KIT/DÚO","Kit (después)","No está"),IF(COUNTIFS(Productos!$A$6:$A$110,A29,Productos!$J$6:$J$110,"&gt;0")&gt;0,"Completa","Faltan datos"))</f>
        <v>Faltan datos</v>
      </c>
    </row>
    <row r="30" customFormat="false" ht="15" hidden="false" customHeight="false" outlineLevel="0" collapsed="false">
      <c r="A30" s="10" t="s">
        <v>567</v>
      </c>
      <c r="B30" s="10" t="s">
        <v>568</v>
      </c>
      <c r="C30" s="10" t="s">
        <v>543</v>
      </c>
      <c r="D30" s="37" t="n">
        <v>72</v>
      </c>
      <c r="E30" s="36" t="n">
        <v>2521</v>
      </c>
      <c r="F30" s="38" t="str">
        <f aca="false">IF(COUNTIF(Productos!$A$6:$A$110,A30)=0,IF(C30="KIT/DÚO","Kit (después)","No está"),IF(COUNTIFS(Productos!$A$6:$A$110,A30,Productos!$J$6:$J$110,"&gt;0")&gt;0,"Completa","Faltan datos"))</f>
        <v>No está</v>
      </c>
    </row>
    <row r="31" customFormat="false" ht="15" hidden="false" customHeight="false" outlineLevel="0" collapsed="false">
      <c r="A31" s="10" t="s">
        <v>569</v>
      </c>
      <c r="B31" s="10" t="s">
        <v>570</v>
      </c>
      <c r="C31" s="10" t="s">
        <v>543</v>
      </c>
      <c r="D31" s="37" t="n">
        <v>67</v>
      </c>
      <c r="E31" s="36" t="n">
        <v>2101</v>
      </c>
      <c r="F31" s="38" t="str">
        <f aca="false">IF(COUNTIF(Productos!$A$6:$A$110,A31)=0,IF(C31="KIT/DÚO","Kit (después)","No está"),IF(COUNTIFS(Productos!$A$6:$A$110,A31,Productos!$J$6:$J$110,"&gt;0")&gt;0,"Completa","Faltan datos"))</f>
        <v>No está</v>
      </c>
    </row>
    <row r="32" customFormat="false" ht="15" hidden="false" customHeight="false" outlineLevel="0" collapsed="false">
      <c r="A32" s="10" t="s">
        <v>77</v>
      </c>
      <c r="B32" s="10" t="s">
        <v>78</v>
      </c>
      <c r="C32" s="10" t="s">
        <v>553</v>
      </c>
      <c r="D32" s="37" t="n">
        <v>66</v>
      </c>
      <c r="E32" s="36" t="n">
        <v>21554</v>
      </c>
      <c r="F32" s="38" t="str">
        <f aca="false">IF(COUNTIF(Productos!$A$6:$A$110,A32)=0,IF(C32="KIT/DÚO","Kit (después)","No está"),IF(COUNTIFS(Productos!$A$6:$A$110,A32,Productos!$J$6:$J$110,"&gt;0")&gt;0,"Completa","Faltan datos"))</f>
        <v>Faltan datos</v>
      </c>
    </row>
    <row r="33" customFormat="false" ht="15" hidden="false" customHeight="false" outlineLevel="0" collapsed="false">
      <c r="A33" s="10" t="s">
        <v>79</v>
      </c>
      <c r="B33" s="10" t="s">
        <v>80</v>
      </c>
      <c r="C33" s="10" t="s">
        <v>553</v>
      </c>
      <c r="D33" s="37" t="n">
        <v>65</v>
      </c>
      <c r="E33" s="36" t="n">
        <v>19244</v>
      </c>
      <c r="F33" s="38" t="str">
        <f aca="false">IF(COUNTIF(Productos!$A$6:$A$110,A33)=0,IF(C33="KIT/DÚO","Kit (después)","No está"),IF(COUNTIFS(Productos!$A$6:$A$110,A33,Productos!$J$6:$J$110,"&gt;0")&gt;0,"Completa","Faltan datos"))</f>
        <v>Completa</v>
      </c>
    </row>
    <row r="34" customFormat="false" ht="15" hidden="false" customHeight="false" outlineLevel="0" collapsed="false">
      <c r="A34" s="10" t="s">
        <v>571</v>
      </c>
      <c r="B34" s="10" t="s">
        <v>572</v>
      </c>
      <c r="C34" s="10" t="s">
        <v>543</v>
      </c>
      <c r="D34" s="37" t="n">
        <v>65</v>
      </c>
      <c r="E34" s="36" t="n">
        <v>1681</v>
      </c>
      <c r="F34" s="38" t="str">
        <f aca="false">IF(COUNTIF(Productos!$A$6:$A$110,A34)=0,IF(C34="KIT/DÚO","Kit (después)","No está"),IF(COUNTIFS(Productos!$A$6:$A$110,A34,Productos!$J$6:$J$110,"&gt;0")&gt;0,"Completa","Faltan datos"))</f>
        <v>No está</v>
      </c>
    </row>
    <row r="35" customFormat="false" ht="15" hidden="false" customHeight="false" outlineLevel="0" collapsed="false">
      <c r="A35" s="10" t="s">
        <v>82</v>
      </c>
      <c r="B35" s="10" t="s">
        <v>83</v>
      </c>
      <c r="C35" s="10" t="s">
        <v>562</v>
      </c>
      <c r="D35" s="37" t="n">
        <v>62</v>
      </c>
      <c r="E35" s="36" t="n">
        <v>36050</v>
      </c>
      <c r="F35" s="38" t="str">
        <f aca="false">IF(COUNTIF(Productos!$A$6:$A$110,A35)=0,IF(C35="KIT/DÚO","Kit (después)","No está"),IF(COUNTIFS(Productos!$A$6:$A$110,A35,Productos!$J$6:$J$110,"&gt;0")&gt;0,"Completa","Faltan datos"))</f>
        <v>Faltan datos</v>
      </c>
    </row>
    <row r="36" customFormat="false" ht="15" hidden="false" customHeight="false" outlineLevel="0" collapsed="false">
      <c r="A36" s="10" t="s">
        <v>84</v>
      </c>
      <c r="B36" s="10" t="s">
        <v>85</v>
      </c>
      <c r="C36" s="10" t="s">
        <v>553</v>
      </c>
      <c r="D36" s="37" t="n">
        <v>61</v>
      </c>
      <c r="E36" s="36" t="n">
        <v>12507</v>
      </c>
      <c r="F36" s="38" t="str">
        <f aca="false">IF(COUNTIF(Productos!$A$6:$A$110,A36)=0,IF(C36="KIT/DÚO","Kit (después)","No está"),IF(COUNTIFS(Productos!$A$6:$A$110,A36,Productos!$J$6:$J$110,"&gt;0")&gt;0,"Completa","Faltan datos"))</f>
        <v>Completa</v>
      </c>
    </row>
    <row r="37" customFormat="false" ht="15" hidden="false" customHeight="false" outlineLevel="0" collapsed="false">
      <c r="A37" s="10" t="s">
        <v>573</v>
      </c>
      <c r="B37" s="10" t="s">
        <v>574</v>
      </c>
      <c r="C37" s="10" t="s">
        <v>540</v>
      </c>
      <c r="D37" s="37" t="n">
        <v>61</v>
      </c>
      <c r="E37" s="36" t="n">
        <v>17935</v>
      </c>
      <c r="F37" s="38" t="str">
        <f aca="false">IF(COUNTIF(Productos!$A$6:$A$110,A37)=0,IF(C37="KIT/DÚO","Kit (después)","No está"),IF(COUNTIFS(Productos!$A$6:$A$110,A37,Productos!$J$6:$J$110,"&gt;0")&gt;0,"Completa","Faltan datos"))</f>
        <v>Kit (después)</v>
      </c>
    </row>
    <row r="38" customFormat="false" ht="15" hidden="false" customHeight="false" outlineLevel="0" collapsed="false">
      <c r="A38" s="10" t="s">
        <v>87</v>
      </c>
      <c r="B38" s="10" t="s">
        <v>88</v>
      </c>
      <c r="C38" s="10" t="s">
        <v>562</v>
      </c>
      <c r="D38" s="37" t="n">
        <v>60</v>
      </c>
      <c r="E38" s="36" t="n">
        <v>41933</v>
      </c>
      <c r="F38" s="38" t="str">
        <f aca="false">IF(COUNTIF(Productos!$A$6:$A$110,A38)=0,IF(C38="KIT/DÚO","Kit (después)","No está"),IF(COUNTIFS(Productos!$A$6:$A$110,A38,Productos!$J$6:$J$110,"&gt;0")&gt;0,"Completa","Faltan datos"))</f>
        <v>Faltan datos</v>
      </c>
    </row>
    <row r="39" customFormat="false" ht="15" hidden="false" customHeight="false" outlineLevel="0" collapsed="false">
      <c r="A39" s="10" t="s">
        <v>89</v>
      </c>
      <c r="B39" s="10" t="s">
        <v>90</v>
      </c>
      <c r="C39" s="10" t="s">
        <v>553</v>
      </c>
      <c r="D39" s="37" t="n">
        <v>55</v>
      </c>
      <c r="E39" s="36" t="n">
        <v>8059</v>
      </c>
      <c r="F39" s="38" t="str">
        <f aca="false">IF(COUNTIF(Productos!$A$6:$A$110,A39)=0,IF(C39="KIT/DÚO","Kit (después)","No está"),IF(COUNTIFS(Productos!$A$6:$A$110,A39,Productos!$J$6:$J$110,"&gt;0")&gt;0,"Completa","Faltan datos"))</f>
        <v>Completa</v>
      </c>
    </row>
    <row r="40" customFormat="false" ht="15" hidden="false" customHeight="false" outlineLevel="0" collapsed="false">
      <c r="A40" s="10" t="s">
        <v>575</v>
      </c>
      <c r="B40" s="10" t="s">
        <v>576</v>
      </c>
      <c r="C40" s="10" t="s">
        <v>543</v>
      </c>
      <c r="D40" s="37" t="n">
        <v>53</v>
      </c>
      <c r="E40" s="36" t="n">
        <v>4640</v>
      </c>
      <c r="F40" s="38" t="str">
        <f aca="false">IF(COUNTIF(Productos!$A$6:$A$110,A40)=0,IF(C40="KIT/DÚO","Kit (después)","No está"),IF(COUNTIFS(Productos!$A$6:$A$110,A40,Productos!$J$6:$J$110,"&gt;0")&gt;0,"Completa","Faltan datos"))</f>
        <v>No está</v>
      </c>
    </row>
    <row r="41" customFormat="false" ht="15" hidden="false" customHeight="false" outlineLevel="0" collapsed="false">
      <c r="A41" s="10" t="s">
        <v>93</v>
      </c>
      <c r="B41" s="10" t="s">
        <v>94</v>
      </c>
      <c r="C41" s="10" t="s">
        <v>553</v>
      </c>
      <c r="D41" s="37" t="n">
        <v>50</v>
      </c>
      <c r="E41" s="36" t="n">
        <v>19244</v>
      </c>
      <c r="F41" s="38" t="str">
        <f aca="false">IF(COUNTIF(Productos!$A$6:$A$110,A41)=0,IF(C41="KIT/DÚO","Kit (después)","No está"),IF(COUNTIFS(Productos!$A$6:$A$110,A41,Productos!$J$6:$J$110,"&gt;0")&gt;0,"Completa","Faltan datos"))</f>
        <v>Faltan datos</v>
      </c>
    </row>
    <row r="42" customFormat="false" ht="15" hidden="false" customHeight="false" outlineLevel="0" collapsed="false">
      <c r="A42" s="10" t="s">
        <v>577</v>
      </c>
      <c r="B42" s="10" t="s">
        <v>578</v>
      </c>
      <c r="C42" s="10" t="s">
        <v>540</v>
      </c>
      <c r="D42" s="37" t="n">
        <v>50</v>
      </c>
      <c r="E42" s="36" t="n">
        <v>33529</v>
      </c>
      <c r="F42" s="38" t="str">
        <f aca="false">IF(COUNTIF(Productos!$A$6:$A$110,A42)=0,IF(C42="KIT/DÚO","Kit (después)","No está"),IF(COUNTIFS(Productos!$A$6:$A$110,A42,Productos!$J$6:$J$110,"&gt;0")&gt;0,"Completa","Faltan datos"))</f>
        <v>Kit (después)</v>
      </c>
    </row>
    <row r="43" customFormat="false" ht="15" hidden="false" customHeight="false" outlineLevel="0" collapsed="false">
      <c r="A43" s="10" t="s">
        <v>95</v>
      </c>
      <c r="B43" s="10" t="s">
        <v>96</v>
      </c>
      <c r="C43" s="10" t="s">
        <v>553</v>
      </c>
      <c r="D43" s="37" t="n">
        <v>48</v>
      </c>
      <c r="E43" s="36" t="n">
        <v>8319</v>
      </c>
      <c r="F43" s="38" t="str">
        <f aca="false">IF(COUNTIF(Productos!$A$6:$A$110,A43)=0,IF(C43="KIT/DÚO","Kit (después)","No está"),IF(COUNTIFS(Productos!$A$6:$A$110,A43,Productos!$J$6:$J$110,"&gt;0")&gt;0,"Completa","Faltan datos"))</f>
        <v>Faltan datos</v>
      </c>
    </row>
    <row r="44" customFormat="false" ht="15" hidden="false" customHeight="false" outlineLevel="0" collapsed="false">
      <c r="A44" s="10" t="s">
        <v>97</v>
      </c>
      <c r="B44" s="10" t="s">
        <v>98</v>
      </c>
      <c r="C44" s="10" t="s">
        <v>553</v>
      </c>
      <c r="D44" s="37" t="n">
        <v>48</v>
      </c>
      <c r="E44" s="36" t="n">
        <v>16723</v>
      </c>
      <c r="F44" s="38" t="str">
        <f aca="false">IF(COUNTIF(Productos!$A$6:$A$110,A44)=0,IF(C44="KIT/DÚO","Kit (después)","No está"),IF(COUNTIFS(Productos!$A$6:$A$110,A44,Productos!$J$6:$J$110,"&gt;0")&gt;0,"Completa","Faltan datos"))</f>
        <v>Faltan datos</v>
      </c>
    </row>
    <row r="45" customFormat="false" ht="15" hidden="false" customHeight="false" outlineLevel="0" collapsed="false">
      <c r="A45" s="10" t="s">
        <v>99</v>
      </c>
      <c r="B45" s="10" t="s">
        <v>100</v>
      </c>
      <c r="C45" s="10" t="s">
        <v>562</v>
      </c>
      <c r="D45" s="37" t="n">
        <v>47</v>
      </c>
      <c r="E45" s="36" t="n">
        <v>26134</v>
      </c>
      <c r="F45" s="38" t="str">
        <f aca="false">IF(COUNTIF(Productos!$A$6:$A$110,A45)=0,IF(C45="KIT/DÚO","Kit (después)","No está"),IF(COUNTIFS(Productos!$A$6:$A$110,A45,Productos!$J$6:$J$110,"&gt;0")&gt;0,"Completa","Faltan datos"))</f>
        <v>Faltan datos</v>
      </c>
    </row>
    <row r="46" customFormat="false" ht="15" hidden="false" customHeight="false" outlineLevel="0" collapsed="false">
      <c r="A46" s="10" t="s">
        <v>579</v>
      </c>
      <c r="B46" s="10" t="s">
        <v>580</v>
      </c>
      <c r="C46" s="10" t="s">
        <v>540</v>
      </c>
      <c r="D46" s="37" t="n">
        <v>47</v>
      </c>
      <c r="E46" s="36" t="n">
        <v>30084</v>
      </c>
      <c r="F46" s="38" t="str">
        <f aca="false">IF(COUNTIF(Productos!$A$6:$A$110,A46)=0,IF(C46="KIT/DÚO","Kit (después)","No está"),IF(COUNTIFS(Productos!$A$6:$A$110,A46,Productos!$J$6:$J$110,"&gt;0")&gt;0,"Completa","Faltan datos"))</f>
        <v>Kit (después)</v>
      </c>
    </row>
    <row r="47" customFormat="false" ht="15" hidden="false" customHeight="false" outlineLevel="0" collapsed="false">
      <c r="A47" s="10" t="s">
        <v>101</v>
      </c>
      <c r="B47" s="10" t="s">
        <v>102</v>
      </c>
      <c r="C47" s="10" t="s">
        <v>553</v>
      </c>
      <c r="D47" s="37" t="n">
        <v>44</v>
      </c>
      <c r="E47" s="36" t="n">
        <v>27605</v>
      </c>
      <c r="F47" s="38" t="str">
        <f aca="false">IF(COUNTIF(Productos!$A$6:$A$110,A47)=0,IF(C47="KIT/DÚO","Kit (después)","No está"),IF(COUNTIFS(Productos!$A$6:$A$110,A47,Productos!$J$6:$J$110,"&gt;0")&gt;0,"Completa","Faltan datos"))</f>
        <v>Faltan datos</v>
      </c>
    </row>
    <row r="48" customFormat="false" ht="15" hidden="false" customHeight="false" outlineLevel="0" collapsed="false">
      <c r="A48" s="10" t="s">
        <v>103</v>
      </c>
      <c r="B48" s="10" t="s">
        <v>104</v>
      </c>
      <c r="C48" s="10" t="s">
        <v>562</v>
      </c>
      <c r="D48" s="37" t="n">
        <v>40</v>
      </c>
      <c r="E48" s="36" t="n">
        <v>32689</v>
      </c>
      <c r="F48" s="38" t="str">
        <f aca="false">IF(COUNTIF(Productos!$A$6:$A$110,A48)=0,IF(C48="KIT/DÚO","Kit (después)","No está"),IF(COUNTIFS(Productos!$A$6:$A$110,A48,Productos!$J$6:$J$110,"&gt;0")&gt;0,"Completa","Faltan datos"))</f>
        <v>Faltan datos</v>
      </c>
    </row>
    <row r="49" customFormat="false" ht="15" hidden="false" customHeight="false" outlineLevel="0" collapsed="false">
      <c r="A49" s="10" t="s">
        <v>105</v>
      </c>
      <c r="B49" s="10" t="s">
        <v>106</v>
      </c>
      <c r="C49" s="10" t="s">
        <v>553</v>
      </c>
      <c r="D49" s="37" t="n">
        <v>37</v>
      </c>
      <c r="E49" s="36" t="n">
        <v>17563</v>
      </c>
      <c r="F49" s="38" t="str">
        <f aca="false">IF(COUNTIF(Productos!$A$6:$A$110,A49)=0,IF(C49="KIT/DÚO","Kit (después)","No está"),IF(COUNTIFS(Productos!$A$6:$A$110,A49,Productos!$J$6:$J$110,"&gt;0")&gt;0,"Completa","Faltan datos"))</f>
        <v>Faltan datos</v>
      </c>
    </row>
    <row r="50" customFormat="false" ht="15" hidden="false" customHeight="false" outlineLevel="0" collapsed="false">
      <c r="A50" s="10" t="s">
        <v>107</v>
      </c>
      <c r="B50" s="10" t="s">
        <v>108</v>
      </c>
      <c r="C50" s="10" t="s">
        <v>562</v>
      </c>
      <c r="D50" s="37" t="n">
        <v>37</v>
      </c>
      <c r="E50" s="36" t="n">
        <v>54022</v>
      </c>
      <c r="F50" s="38" t="str">
        <f aca="false">IF(COUNTIF(Productos!$A$6:$A$110,A50)=0,IF(C50="KIT/DÚO","Kit (después)","No está"),IF(COUNTIFS(Productos!$A$6:$A$110,A50,Productos!$J$6:$J$110,"&gt;0")&gt;0,"Completa","Faltan datos"))</f>
        <v>Faltan datos</v>
      </c>
    </row>
    <row r="51" customFormat="false" ht="15" hidden="false" customHeight="false" outlineLevel="0" collapsed="false">
      <c r="A51" s="10" t="s">
        <v>109</v>
      </c>
      <c r="B51" s="10" t="s">
        <v>110</v>
      </c>
      <c r="C51" s="10" t="s">
        <v>553</v>
      </c>
      <c r="D51" s="37" t="n">
        <v>35</v>
      </c>
      <c r="E51" s="36" t="n">
        <v>14202</v>
      </c>
      <c r="F51" s="38" t="str">
        <f aca="false">IF(COUNTIF(Productos!$A$6:$A$110,A51)=0,IF(C51="KIT/DÚO","Kit (después)","No está"),IF(COUNTIFS(Productos!$A$6:$A$110,A51,Productos!$J$6:$J$110,"&gt;0")&gt;0,"Completa","Faltan datos"))</f>
        <v>Completa</v>
      </c>
    </row>
    <row r="52" customFormat="false" ht="15" hidden="false" customHeight="false" outlineLevel="0" collapsed="false">
      <c r="A52" s="10" t="s">
        <v>112</v>
      </c>
      <c r="B52" s="10" t="s">
        <v>113</v>
      </c>
      <c r="C52" s="10" t="s">
        <v>562</v>
      </c>
      <c r="D52" s="37" t="n">
        <v>35</v>
      </c>
      <c r="E52" s="36" t="n">
        <v>27647</v>
      </c>
      <c r="F52" s="38" t="str">
        <f aca="false">IF(COUNTIF(Productos!$A$6:$A$110,A52)=0,IF(C52="KIT/DÚO","Kit (después)","No está"),IF(COUNTIFS(Productos!$A$6:$A$110,A52,Productos!$J$6:$J$110,"&gt;0")&gt;0,"Completa","Faltan datos"))</f>
        <v>Faltan datos</v>
      </c>
    </row>
    <row r="53" customFormat="false" ht="15" hidden="false" customHeight="false" outlineLevel="0" collapsed="false">
      <c r="A53" s="10" t="s">
        <v>581</v>
      </c>
      <c r="B53" s="10" t="s">
        <v>582</v>
      </c>
      <c r="C53" s="10" t="s">
        <v>540</v>
      </c>
      <c r="D53" s="37" t="n">
        <v>35</v>
      </c>
      <c r="E53" s="36" t="n">
        <v>30168</v>
      </c>
      <c r="F53" s="38" t="str">
        <f aca="false">IF(COUNTIF(Productos!$A$6:$A$110,A53)=0,IF(C53="KIT/DÚO","Kit (después)","No está"),IF(COUNTIFS(Productos!$A$6:$A$110,A53,Productos!$J$6:$J$110,"&gt;0")&gt;0,"Completa","Faltan datos"))</f>
        <v>Kit (después)</v>
      </c>
    </row>
    <row r="54" customFormat="false" ht="15" hidden="false" customHeight="false" outlineLevel="0" collapsed="false">
      <c r="A54" s="10" t="s">
        <v>114</v>
      </c>
      <c r="B54" s="10" t="s">
        <v>115</v>
      </c>
      <c r="C54" s="10" t="s">
        <v>553</v>
      </c>
      <c r="D54" s="37" t="n">
        <v>34</v>
      </c>
      <c r="E54" s="36" t="n">
        <v>19664</v>
      </c>
      <c r="F54" s="38" t="str">
        <f aca="false">IF(COUNTIF(Productos!$A$6:$A$110,A54)=0,IF(C54="KIT/DÚO","Kit (después)","No está"),IF(COUNTIFS(Productos!$A$6:$A$110,A54,Productos!$J$6:$J$110,"&gt;0")&gt;0,"Completa","Faltan datos"))</f>
        <v>Faltan datos</v>
      </c>
    </row>
    <row r="55" customFormat="false" ht="15" hidden="false" customHeight="false" outlineLevel="0" collapsed="false">
      <c r="A55" s="10" t="s">
        <v>116</v>
      </c>
      <c r="B55" s="10" t="s">
        <v>117</v>
      </c>
      <c r="C55" s="10" t="s">
        <v>553</v>
      </c>
      <c r="D55" s="37" t="n">
        <v>34</v>
      </c>
      <c r="E55" s="36" t="n">
        <v>17563</v>
      </c>
      <c r="F55" s="38" t="str">
        <f aca="false">IF(COUNTIF(Productos!$A$6:$A$110,A55)=0,IF(C55="KIT/DÚO","Kit (después)","No está"),IF(COUNTIFS(Productos!$A$6:$A$110,A55,Productos!$J$6:$J$110,"&gt;0")&gt;0,"Completa","Faltan datos"))</f>
        <v>Faltan datos</v>
      </c>
    </row>
    <row r="56" customFormat="false" ht="15" hidden="false" customHeight="false" outlineLevel="0" collapsed="false">
      <c r="A56" s="10" t="s">
        <v>583</v>
      </c>
      <c r="B56" s="10" t="s">
        <v>584</v>
      </c>
      <c r="C56" s="10" t="s">
        <v>540</v>
      </c>
      <c r="D56" s="37" t="n">
        <v>33</v>
      </c>
      <c r="E56" s="36" t="n">
        <v>26555</v>
      </c>
      <c r="F56" s="38" t="str">
        <f aca="false">IF(COUNTIF(Productos!$A$6:$A$110,A56)=0,IF(C56="KIT/DÚO","Kit (después)","No está"),IF(COUNTIFS(Productos!$A$6:$A$110,A56,Productos!$J$6:$J$110,"&gt;0")&gt;0,"Completa","Faltan datos"))</f>
        <v>Kit (después)</v>
      </c>
    </row>
    <row r="57" customFormat="false" ht="15" hidden="false" customHeight="false" outlineLevel="0" collapsed="false">
      <c r="A57" s="10" t="s">
        <v>585</v>
      </c>
      <c r="B57" s="10" t="s">
        <v>586</v>
      </c>
      <c r="C57" s="10" t="s">
        <v>543</v>
      </c>
      <c r="D57" s="37" t="n">
        <v>32</v>
      </c>
      <c r="E57" s="36" t="n">
        <v>1681</v>
      </c>
      <c r="F57" s="38" t="str">
        <f aca="false">IF(COUNTIF(Productos!$A$6:$A$110,A57)=0,IF(C57="KIT/DÚO","Kit (después)","No está"),IF(COUNTIFS(Productos!$A$6:$A$110,A57,Productos!$J$6:$J$110,"&gt;0")&gt;0,"Completa","Faltan datos"))</f>
        <v>No está</v>
      </c>
    </row>
    <row r="58" customFormat="false" ht="15" hidden="false" customHeight="false" outlineLevel="0" collapsed="false">
      <c r="A58" s="10" t="s">
        <v>119</v>
      </c>
      <c r="B58" s="10" t="s">
        <v>120</v>
      </c>
      <c r="C58" s="10" t="s">
        <v>553</v>
      </c>
      <c r="D58" s="37" t="n">
        <v>31</v>
      </c>
      <c r="E58" s="36" t="n">
        <v>12521</v>
      </c>
      <c r="F58" s="38" t="str">
        <f aca="false">IF(COUNTIF(Productos!$A$6:$A$110,A58)=0,IF(C58="KIT/DÚO","Kit (después)","No está"),IF(COUNTIFS(Productos!$A$6:$A$110,A58,Productos!$J$6:$J$110,"&gt;0")&gt;0,"Completa","Faltan datos"))</f>
        <v>Faltan datos</v>
      </c>
    </row>
    <row r="59" customFormat="false" ht="15" hidden="false" customHeight="false" outlineLevel="0" collapsed="false">
      <c r="A59" s="10" t="s">
        <v>587</v>
      </c>
      <c r="B59" s="10" t="s">
        <v>588</v>
      </c>
      <c r="C59" s="10" t="s">
        <v>540</v>
      </c>
      <c r="D59" s="37" t="n">
        <v>30</v>
      </c>
      <c r="E59" s="36" t="n">
        <v>28782</v>
      </c>
      <c r="F59" s="38" t="str">
        <f aca="false">IF(COUNTIF(Productos!$A$6:$A$110,A59)=0,IF(C59="KIT/DÚO","Kit (después)","No está"),IF(COUNTIFS(Productos!$A$6:$A$110,A59,Productos!$J$6:$J$110,"&gt;0")&gt;0,"Completa","Faltan datos"))</f>
        <v>Kit (después)</v>
      </c>
    </row>
    <row r="60" customFormat="false" ht="15" hidden="false" customHeight="false" outlineLevel="0" collapsed="false">
      <c r="A60" s="10" t="s">
        <v>121</v>
      </c>
      <c r="B60" s="10" t="s">
        <v>122</v>
      </c>
      <c r="C60" s="10" t="s">
        <v>553</v>
      </c>
      <c r="D60" s="37" t="n">
        <v>29</v>
      </c>
      <c r="E60" s="36" t="n">
        <v>21204</v>
      </c>
      <c r="F60" s="38" t="str">
        <f aca="false">IF(COUNTIF(Productos!$A$6:$A$110,A60)=0,IF(C60="KIT/DÚO","Kit (después)","No está"),IF(COUNTIFS(Productos!$A$6:$A$110,A60,Productos!$J$6:$J$110,"&gt;0")&gt;0,"Completa","Faltan datos"))</f>
        <v>Faltan datos</v>
      </c>
    </row>
    <row r="61" customFormat="false" ht="15" hidden="false" customHeight="false" outlineLevel="0" collapsed="false">
      <c r="A61" s="10" t="s">
        <v>589</v>
      </c>
      <c r="B61" s="10" t="s">
        <v>590</v>
      </c>
      <c r="C61" s="10" t="s">
        <v>540</v>
      </c>
      <c r="D61" s="37" t="n">
        <v>29</v>
      </c>
      <c r="E61" s="36" t="n">
        <v>22941</v>
      </c>
      <c r="F61" s="38" t="str">
        <f aca="false">IF(COUNTIF(Productos!$A$6:$A$110,A61)=0,IF(C61="KIT/DÚO","Kit (después)","No está"),IF(COUNTIFS(Productos!$A$6:$A$110,A61,Productos!$J$6:$J$110,"&gt;0")&gt;0,"Completa","Faltan datos"))</f>
        <v>Kit (después)</v>
      </c>
    </row>
    <row r="62" customFormat="false" ht="15" hidden="false" customHeight="false" outlineLevel="0" collapsed="false">
      <c r="A62" s="10" t="s">
        <v>123</v>
      </c>
      <c r="B62" s="10" t="s">
        <v>124</v>
      </c>
      <c r="C62" s="10" t="s">
        <v>562</v>
      </c>
      <c r="D62" s="37" t="n">
        <v>29</v>
      </c>
      <c r="E62" s="36" t="n">
        <v>22605</v>
      </c>
      <c r="F62" s="38" t="str">
        <f aca="false">IF(COUNTIF(Productos!$A$6:$A$110,A62)=0,IF(C62="KIT/DÚO","Kit (después)","No está"),IF(COUNTIFS(Productos!$A$6:$A$110,A62,Productos!$J$6:$J$110,"&gt;0")&gt;0,"Completa","Faltan datos"))</f>
        <v>Faltan datos</v>
      </c>
    </row>
    <row r="63" customFormat="false" ht="15" hidden="false" customHeight="false" outlineLevel="0" collapsed="false">
      <c r="A63" s="10" t="s">
        <v>125</v>
      </c>
      <c r="B63" s="10" t="s">
        <v>126</v>
      </c>
      <c r="C63" s="10" t="s">
        <v>553</v>
      </c>
      <c r="D63" s="37" t="n">
        <v>29</v>
      </c>
      <c r="E63" s="36" t="n">
        <v>16723</v>
      </c>
      <c r="F63" s="38" t="str">
        <f aca="false">IF(COUNTIF(Productos!$A$6:$A$110,A63)=0,IF(C63="KIT/DÚO","Kit (después)","No está"),IF(COUNTIFS(Productos!$A$6:$A$110,A63,Productos!$J$6:$J$110,"&gt;0")&gt;0,"Completa","Faltan datos"))</f>
        <v>Faltan datos</v>
      </c>
    </row>
    <row r="64" customFormat="false" ht="15" hidden="false" customHeight="false" outlineLevel="0" collapsed="false">
      <c r="A64" s="10" t="s">
        <v>591</v>
      </c>
      <c r="B64" s="10" t="s">
        <v>592</v>
      </c>
      <c r="C64" s="10" t="s">
        <v>550</v>
      </c>
      <c r="D64" s="37" t="n">
        <v>26</v>
      </c>
      <c r="E64" s="36" t="n">
        <v>6442</v>
      </c>
      <c r="F64" s="38" t="str">
        <f aca="false">IF(COUNTIF(Productos!$A$6:$A$110,A64)=0,IF(C64="KIT/DÚO","Kit (después)","No está"),IF(COUNTIFS(Productos!$A$6:$A$110,A64,Productos!$J$6:$J$110,"&gt;0")&gt;0,"Completa","Faltan datos"))</f>
        <v>No está</v>
      </c>
    </row>
    <row r="65" customFormat="false" ht="15" hidden="false" customHeight="false" outlineLevel="0" collapsed="false">
      <c r="A65" s="10" t="s">
        <v>127</v>
      </c>
      <c r="B65" s="10" t="s">
        <v>128</v>
      </c>
      <c r="C65" s="10" t="s">
        <v>553</v>
      </c>
      <c r="D65" s="37" t="n">
        <v>26</v>
      </c>
      <c r="E65" s="36" t="n">
        <v>23488</v>
      </c>
      <c r="F65" s="38" t="str">
        <f aca="false">IF(COUNTIF(Productos!$A$6:$A$110,A65)=0,IF(C65="KIT/DÚO","Kit (después)","No está"),IF(COUNTIFS(Productos!$A$6:$A$110,A65,Productos!$J$6:$J$110,"&gt;0")&gt;0,"Completa","Faltan datos"))</f>
        <v>Faltan datos</v>
      </c>
    </row>
    <row r="66" customFormat="false" ht="15" hidden="false" customHeight="false" outlineLevel="0" collapsed="false">
      <c r="A66" s="10" t="s">
        <v>593</v>
      </c>
      <c r="B66" s="10" t="s">
        <v>594</v>
      </c>
      <c r="C66" s="10" t="s">
        <v>540</v>
      </c>
      <c r="D66" s="37" t="n">
        <v>26</v>
      </c>
      <c r="E66" s="36" t="n">
        <v>29580</v>
      </c>
      <c r="F66" s="38" t="str">
        <f aca="false">IF(COUNTIF(Productos!$A$6:$A$110,A66)=0,IF(C66="KIT/DÚO","Kit (después)","No está"),IF(COUNTIFS(Productos!$A$6:$A$110,A66,Productos!$J$6:$J$110,"&gt;0")&gt;0,"Completa","Faltan datos"))</f>
        <v>Kit (después)</v>
      </c>
    </row>
    <row r="67" customFormat="false" ht="15" hidden="false" customHeight="false" outlineLevel="0" collapsed="false">
      <c r="A67" s="10" t="s">
        <v>129</v>
      </c>
      <c r="B67" s="10" t="s">
        <v>130</v>
      </c>
      <c r="C67" s="10" t="s">
        <v>553</v>
      </c>
      <c r="D67" s="37" t="n">
        <v>25</v>
      </c>
      <c r="E67" s="36" t="n">
        <v>19244</v>
      </c>
      <c r="F67" s="38" t="str">
        <f aca="false">IF(COUNTIF(Productos!$A$6:$A$110,A67)=0,IF(C67="KIT/DÚO","Kit (después)","No está"),IF(COUNTIFS(Productos!$A$6:$A$110,A67,Productos!$J$6:$J$110,"&gt;0")&gt;0,"Completa","Faltan datos"))</f>
        <v>Faltan datos</v>
      </c>
    </row>
    <row r="68" customFormat="false" ht="15" hidden="false" customHeight="false" outlineLevel="0" collapsed="false">
      <c r="A68" s="10" t="s">
        <v>595</v>
      </c>
      <c r="B68" s="10" t="s">
        <v>596</v>
      </c>
      <c r="C68" s="10" t="s">
        <v>540</v>
      </c>
      <c r="D68" s="37" t="n">
        <v>25</v>
      </c>
      <c r="E68" s="36" t="n">
        <v>29580</v>
      </c>
      <c r="F68" s="38" t="str">
        <f aca="false">IF(COUNTIF(Productos!$A$6:$A$110,A68)=0,IF(C68="KIT/DÚO","Kit (después)","No está"),IF(COUNTIFS(Productos!$A$6:$A$110,A68,Productos!$J$6:$J$110,"&gt;0")&gt;0,"Completa","Faltan datos"))</f>
        <v>Kit (después)</v>
      </c>
    </row>
    <row r="69" customFormat="false" ht="15" hidden="false" customHeight="false" outlineLevel="0" collapsed="false">
      <c r="A69" s="10" t="s">
        <v>131</v>
      </c>
      <c r="B69" s="10" t="s">
        <v>132</v>
      </c>
      <c r="C69" s="10" t="s">
        <v>562</v>
      </c>
      <c r="D69" s="37" t="n">
        <v>25</v>
      </c>
      <c r="E69" s="36" t="n">
        <v>15882</v>
      </c>
      <c r="F69" s="38" t="str">
        <f aca="false">IF(COUNTIF(Productos!$A$6:$A$110,A69)=0,IF(C69="KIT/DÚO","Kit (después)","No está"),IF(COUNTIFS(Productos!$A$6:$A$110,A69,Productos!$J$6:$J$110,"&gt;0")&gt;0,"Completa","Faltan datos"))</f>
        <v>Faltan datos</v>
      </c>
    </row>
    <row r="70" customFormat="false" ht="15" hidden="false" customHeight="false" outlineLevel="0" collapsed="false">
      <c r="A70" s="10" t="s">
        <v>133</v>
      </c>
      <c r="B70" s="10" t="s">
        <v>134</v>
      </c>
      <c r="C70" s="10" t="s">
        <v>553</v>
      </c>
      <c r="D70" s="37" t="n">
        <v>24</v>
      </c>
      <c r="E70" s="36" t="n">
        <v>18403</v>
      </c>
      <c r="F70" s="38" t="str">
        <f aca="false">IF(COUNTIF(Productos!$A$6:$A$110,A70)=0,IF(C70="KIT/DÚO","Kit (después)","No está"),IF(COUNTIFS(Productos!$A$6:$A$110,A70,Productos!$J$6:$J$110,"&gt;0")&gt;0,"Completa","Faltan datos"))</f>
        <v>Faltan datos</v>
      </c>
    </row>
    <row r="71" customFormat="false" ht="15" hidden="false" customHeight="false" outlineLevel="0" collapsed="false">
      <c r="A71" s="10" t="s">
        <v>597</v>
      </c>
      <c r="B71" s="10" t="s">
        <v>598</v>
      </c>
      <c r="C71" s="10" t="s">
        <v>540</v>
      </c>
      <c r="D71" s="37" t="n">
        <v>24</v>
      </c>
      <c r="E71" s="36" t="n">
        <v>23697</v>
      </c>
      <c r="F71" s="38" t="str">
        <f aca="false">IF(COUNTIF(Productos!$A$6:$A$110,A71)=0,IF(C71="KIT/DÚO","Kit (después)","No está"),IF(COUNTIFS(Productos!$A$6:$A$110,A71,Productos!$J$6:$J$110,"&gt;0")&gt;0,"Completa","Faltan datos"))</f>
        <v>Kit (después)</v>
      </c>
    </row>
    <row r="72" customFormat="false" ht="15" hidden="false" customHeight="false" outlineLevel="0" collapsed="false">
      <c r="A72" s="10" t="s">
        <v>137</v>
      </c>
      <c r="B72" s="10" t="s">
        <v>138</v>
      </c>
      <c r="C72" s="10" t="s">
        <v>553</v>
      </c>
      <c r="D72" s="37" t="n">
        <v>23</v>
      </c>
      <c r="E72" s="36" t="n">
        <v>19244</v>
      </c>
      <c r="F72" s="38" t="str">
        <f aca="false">IF(COUNTIF(Productos!$A$6:$A$110,A72)=0,IF(C72="KIT/DÚO","Kit (después)","No está"),IF(COUNTIFS(Productos!$A$6:$A$110,A72,Productos!$J$6:$J$110,"&gt;0")&gt;0,"Completa","Faltan datos"))</f>
        <v>Faltan datos</v>
      </c>
    </row>
    <row r="73" customFormat="false" ht="15" hidden="false" customHeight="false" outlineLevel="0" collapsed="false">
      <c r="A73" s="10" t="s">
        <v>599</v>
      </c>
      <c r="B73" s="10" t="s">
        <v>600</v>
      </c>
      <c r="C73" s="10" t="s">
        <v>550</v>
      </c>
      <c r="D73" s="37" t="n">
        <v>22</v>
      </c>
      <c r="E73" s="36" t="n">
        <v>5882</v>
      </c>
      <c r="F73" s="38" t="str">
        <f aca="false">IF(COUNTIF(Productos!$A$6:$A$110,A73)=0,IF(C73="KIT/DÚO","Kit (después)","No está"),IF(COUNTIFS(Productos!$A$6:$A$110,A73,Productos!$J$6:$J$110,"&gt;0")&gt;0,"Completa","Faltan datos"))</f>
        <v>No está</v>
      </c>
    </row>
    <row r="74" customFormat="false" ht="15" hidden="false" customHeight="false" outlineLevel="0" collapsed="false">
      <c r="A74" s="10" t="s">
        <v>141</v>
      </c>
      <c r="B74" s="10" t="s">
        <v>142</v>
      </c>
      <c r="C74" s="10" t="s">
        <v>553</v>
      </c>
      <c r="D74" s="37" t="n">
        <v>21</v>
      </c>
      <c r="E74" s="36" t="n">
        <v>17563</v>
      </c>
      <c r="F74" s="38" t="str">
        <f aca="false">IF(COUNTIF(Productos!$A$6:$A$110,A74)=0,IF(C74="KIT/DÚO","Kit (después)","No está"),IF(COUNTIFS(Productos!$A$6:$A$110,A74,Productos!$J$6:$J$110,"&gt;0")&gt;0,"Completa","Faltan datos"))</f>
        <v>Faltan datos</v>
      </c>
    </row>
    <row r="75" customFormat="false" ht="15" hidden="false" customHeight="false" outlineLevel="0" collapsed="false">
      <c r="A75" s="10" t="s">
        <v>145</v>
      </c>
      <c r="B75" s="10" t="s">
        <v>146</v>
      </c>
      <c r="C75" s="10" t="s">
        <v>553</v>
      </c>
      <c r="D75" s="37" t="n">
        <v>20</v>
      </c>
      <c r="E75" s="36" t="n">
        <v>12521</v>
      </c>
      <c r="F75" s="38" t="str">
        <f aca="false">IF(COUNTIF(Productos!$A$6:$A$110,A75)=0,IF(C75="KIT/DÚO","Kit (después)","No está"),IF(COUNTIFS(Productos!$A$6:$A$110,A75,Productos!$J$6:$J$110,"&gt;0")&gt;0,"Completa","Faltan datos"))</f>
        <v>Completa</v>
      </c>
    </row>
    <row r="76" customFormat="false" ht="15" hidden="false" customHeight="false" outlineLevel="0" collapsed="false">
      <c r="A76" s="10" t="s">
        <v>148</v>
      </c>
      <c r="B76" s="10" t="s">
        <v>149</v>
      </c>
      <c r="C76" s="10" t="s">
        <v>553</v>
      </c>
      <c r="D76" s="37" t="n">
        <v>20</v>
      </c>
      <c r="E76" s="36" t="n">
        <v>18403</v>
      </c>
      <c r="F76" s="38" t="str">
        <f aca="false">IF(COUNTIF(Productos!$A$6:$A$110,A76)=0,IF(C76="KIT/DÚO","Kit (después)","No está"),IF(COUNTIFS(Productos!$A$6:$A$110,A76,Productos!$J$6:$J$110,"&gt;0")&gt;0,"Completa","Faltan datos"))</f>
        <v>Faltan datos</v>
      </c>
    </row>
    <row r="77" customFormat="false" ht="15" hidden="false" customHeight="false" outlineLevel="0" collapsed="false">
      <c r="A77" s="10" t="s">
        <v>150</v>
      </c>
      <c r="B77" s="10" t="s">
        <v>151</v>
      </c>
      <c r="C77" s="10" t="s">
        <v>553</v>
      </c>
      <c r="D77" s="37" t="n">
        <v>20</v>
      </c>
      <c r="E77" s="36" t="n">
        <v>30000</v>
      </c>
      <c r="F77" s="38" t="str">
        <f aca="false">IF(COUNTIF(Productos!$A$6:$A$110,A77)=0,IF(C77="KIT/DÚO","Kit (después)","No está"),IF(COUNTIFS(Productos!$A$6:$A$110,A77,Productos!$J$6:$J$110,"&gt;0")&gt;0,"Completa","Faltan datos"))</f>
        <v>Faltan datos</v>
      </c>
    </row>
    <row r="78" customFormat="false" ht="15" hidden="false" customHeight="false" outlineLevel="0" collapsed="false">
      <c r="A78" s="10" t="s">
        <v>152</v>
      </c>
      <c r="B78" s="10" t="s">
        <v>153</v>
      </c>
      <c r="C78" s="10" t="s">
        <v>553</v>
      </c>
      <c r="D78" s="37" t="n">
        <v>20</v>
      </c>
      <c r="E78" s="36" t="n">
        <v>6000</v>
      </c>
      <c r="F78" s="38" t="str">
        <f aca="false">IF(COUNTIF(Productos!$A$6:$A$110,A78)=0,IF(C78="KIT/DÚO","Kit (después)","No está"),IF(COUNTIFS(Productos!$A$6:$A$110,A78,Productos!$J$6:$J$110,"&gt;0")&gt;0,"Completa","Faltan datos"))</f>
        <v>Faltan datos</v>
      </c>
    </row>
    <row r="79" customFormat="false" ht="15" hidden="false" customHeight="false" outlineLevel="0" collapsed="false">
      <c r="A79" s="10" t="s">
        <v>601</v>
      </c>
      <c r="B79" s="10" t="s">
        <v>602</v>
      </c>
      <c r="C79" s="10" t="s">
        <v>550</v>
      </c>
      <c r="D79" s="37" t="n">
        <v>20</v>
      </c>
      <c r="E79" s="36" t="n">
        <v>5500</v>
      </c>
      <c r="F79" s="38" t="str">
        <f aca="false">IF(COUNTIF(Productos!$A$6:$A$110,A79)=0,IF(C79="KIT/DÚO","Kit (después)","No está"),IF(COUNTIFS(Productos!$A$6:$A$110,A79,Productos!$J$6:$J$110,"&gt;0")&gt;0,"Completa","Faltan datos"))</f>
        <v>No está</v>
      </c>
    </row>
    <row r="80" customFormat="false" ht="15" hidden="false" customHeight="false" outlineLevel="0" collapsed="false">
      <c r="A80" s="10" t="s">
        <v>154</v>
      </c>
      <c r="B80" s="10" t="s">
        <v>155</v>
      </c>
      <c r="C80" s="10" t="s">
        <v>553</v>
      </c>
      <c r="D80" s="37" t="n">
        <v>19</v>
      </c>
      <c r="E80" s="36" t="n">
        <v>15882</v>
      </c>
      <c r="F80" s="38" t="str">
        <f aca="false">IF(COUNTIF(Productos!$A$6:$A$110,A80)=0,IF(C80="KIT/DÚO","Kit (después)","No está"),IF(COUNTIFS(Productos!$A$6:$A$110,A80,Productos!$J$6:$J$110,"&gt;0")&gt;0,"Completa","Faltan datos"))</f>
        <v>Faltan datos</v>
      </c>
    </row>
    <row r="81" customFormat="false" ht="15" hidden="false" customHeight="false" outlineLevel="0" collapsed="false">
      <c r="A81" s="10" t="s">
        <v>603</v>
      </c>
      <c r="B81" s="10" t="s">
        <v>604</v>
      </c>
      <c r="C81" s="10" t="s">
        <v>540</v>
      </c>
      <c r="D81" s="37" t="n">
        <v>19</v>
      </c>
      <c r="E81" s="36" t="n">
        <v>34370</v>
      </c>
      <c r="F81" s="38" t="str">
        <f aca="false">IF(COUNTIF(Productos!$A$6:$A$110,A81)=0,IF(C81="KIT/DÚO","Kit (después)","No está"),IF(COUNTIFS(Productos!$A$6:$A$110,A81,Productos!$J$6:$J$110,"&gt;0")&gt;0,"Completa","Faltan datos"))</f>
        <v>Kit (después)</v>
      </c>
    </row>
    <row r="82" customFormat="false" ht="15" hidden="false" customHeight="false" outlineLevel="0" collapsed="false">
      <c r="A82" s="10" t="s">
        <v>156</v>
      </c>
      <c r="B82" s="10" t="s">
        <v>157</v>
      </c>
      <c r="C82" s="10" t="s">
        <v>562</v>
      </c>
      <c r="D82" s="37" t="n">
        <v>19</v>
      </c>
      <c r="E82" s="36" t="n">
        <v>15042</v>
      </c>
      <c r="F82" s="38" t="str">
        <f aca="false">IF(COUNTIF(Productos!$A$6:$A$110,A82)=0,IF(C82="KIT/DÚO","Kit (después)","No está"),IF(COUNTIFS(Productos!$A$6:$A$110,A82,Productos!$J$6:$J$110,"&gt;0")&gt;0,"Completa","Faltan datos"))</f>
        <v>Faltan datos</v>
      </c>
    </row>
    <row r="83" customFormat="false" ht="15" hidden="false" customHeight="false" outlineLevel="0" collapsed="false">
      <c r="A83" s="10" t="s">
        <v>605</v>
      </c>
      <c r="B83" s="10" t="s">
        <v>606</v>
      </c>
      <c r="C83" s="10" t="s">
        <v>540</v>
      </c>
      <c r="D83" s="37" t="n">
        <v>19</v>
      </c>
      <c r="E83" s="36" t="n">
        <v>25126</v>
      </c>
      <c r="F83" s="38" t="str">
        <f aca="false">IF(COUNTIF(Productos!$A$6:$A$110,A83)=0,IF(C83="KIT/DÚO","Kit (después)","No está"),IF(COUNTIFS(Productos!$A$6:$A$110,A83,Productos!$J$6:$J$110,"&gt;0")&gt;0,"Completa","Faltan datos"))</f>
        <v>Kit (después)</v>
      </c>
    </row>
    <row r="84" customFormat="false" ht="15" hidden="false" customHeight="false" outlineLevel="0" collapsed="false">
      <c r="A84" s="10" t="s">
        <v>607</v>
      </c>
      <c r="B84" s="10" t="s">
        <v>608</v>
      </c>
      <c r="C84" s="10" t="s">
        <v>540</v>
      </c>
      <c r="D84" s="37" t="n">
        <v>18</v>
      </c>
      <c r="E84" s="36" t="n">
        <v>26218</v>
      </c>
      <c r="F84" s="38" t="str">
        <f aca="false">IF(COUNTIF(Productos!$A$6:$A$110,A84)=0,IF(C84="KIT/DÚO","Kit (después)","No está"),IF(COUNTIFS(Productos!$A$6:$A$110,A84,Productos!$J$6:$J$110,"&gt;0")&gt;0,"Completa","Faltan datos"))</f>
        <v>Kit (después)</v>
      </c>
    </row>
    <row r="85" customFormat="false" ht="15" hidden="false" customHeight="false" outlineLevel="0" collapsed="false">
      <c r="A85" s="10" t="s">
        <v>609</v>
      </c>
      <c r="B85" s="10" t="s">
        <v>610</v>
      </c>
      <c r="C85" s="10" t="s">
        <v>540</v>
      </c>
      <c r="D85" s="37" t="n">
        <v>17</v>
      </c>
      <c r="E85" s="36" t="n">
        <v>27059</v>
      </c>
      <c r="F85" s="38" t="str">
        <f aca="false">IF(COUNTIF(Productos!$A$6:$A$110,A85)=0,IF(C85="KIT/DÚO","Kit (después)","No está"),IF(COUNTIFS(Productos!$A$6:$A$110,A85,Productos!$J$6:$J$110,"&gt;0")&gt;0,"Completa","Faltan datos"))</f>
        <v>Kit (después)</v>
      </c>
    </row>
    <row r="86" customFormat="false" ht="15" hidden="false" customHeight="false" outlineLevel="0" collapsed="false">
      <c r="A86" s="10" t="s">
        <v>158</v>
      </c>
      <c r="B86" s="10" t="s">
        <v>159</v>
      </c>
      <c r="C86" s="10" t="s">
        <v>562</v>
      </c>
      <c r="D86" s="37" t="n">
        <v>17</v>
      </c>
      <c r="E86" s="36" t="n">
        <v>24328</v>
      </c>
      <c r="F86" s="38" t="str">
        <f aca="false">IF(COUNTIF(Productos!$A$6:$A$110,A86)=0,IF(C86="KIT/DÚO","Kit (después)","No está"),IF(COUNTIFS(Productos!$A$6:$A$110,A86,Productos!$J$6:$J$110,"&gt;0")&gt;0,"Completa","Faltan datos"))</f>
        <v>Faltan datos</v>
      </c>
    </row>
    <row r="87" customFormat="false" ht="15" hidden="false" customHeight="false" outlineLevel="0" collapsed="false">
      <c r="A87" s="10" t="s">
        <v>611</v>
      </c>
      <c r="B87" s="10" t="s">
        <v>612</v>
      </c>
      <c r="C87" s="10" t="s">
        <v>543</v>
      </c>
      <c r="D87" s="37" t="n">
        <v>16</v>
      </c>
      <c r="E87" s="36" t="n">
        <v>5042</v>
      </c>
      <c r="F87" s="38" t="str">
        <f aca="false">IF(COUNTIF(Productos!$A$6:$A$110,A87)=0,IF(C87="KIT/DÚO","Kit (después)","No está"),IF(COUNTIFS(Productos!$A$6:$A$110,A87,Productos!$J$6:$J$110,"&gt;0")&gt;0,"Completa","Faltan datos"))</f>
        <v>No está</v>
      </c>
    </row>
    <row r="88" customFormat="false" ht="15" hidden="false" customHeight="false" outlineLevel="0" collapsed="false">
      <c r="A88" s="10" t="s">
        <v>160</v>
      </c>
      <c r="B88" s="10" t="s">
        <v>161</v>
      </c>
      <c r="C88" s="10" t="s">
        <v>553</v>
      </c>
      <c r="D88" s="37" t="n">
        <v>16</v>
      </c>
      <c r="E88" s="36" t="n">
        <v>15882</v>
      </c>
      <c r="F88" s="38" t="str">
        <f aca="false">IF(COUNTIF(Productos!$A$6:$A$110,A88)=0,IF(C88="KIT/DÚO","Kit (después)","No está"),IF(COUNTIFS(Productos!$A$6:$A$110,A88,Productos!$J$6:$J$110,"&gt;0")&gt;0,"Completa","Faltan datos"))</f>
        <v>Faltan datos</v>
      </c>
    </row>
    <row r="89" customFormat="false" ht="15" hidden="false" customHeight="false" outlineLevel="0" collapsed="false">
      <c r="A89" s="10" t="s">
        <v>613</v>
      </c>
      <c r="B89" s="10" t="s">
        <v>614</v>
      </c>
      <c r="C89" s="10" t="s">
        <v>540</v>
      </c>
      <c r="D89" s="37" t="n">
        <v>15</v>
      </c>
      <c r="E89" s="36" t="n">
        <v>23697</v>
      </c>
      <c r="F89" s="38" t="str">
        <f aca="false">IF(COUNTIF(Productos!$A$6:$A$110,A89)=0,IF(C89="KIT/DÚO","Kit (después)","No está"),IF(COUNTIFS(Productos!$A$6:$A$110,A89,Productos!$J$6:$J$110,"&gt;0")&gt;0,"Completa","Faltan datos"))</f>
        <v>Kit (después)</v>
      </c>
    </row>
    <row r="90" customFormat="false" ht="15" hidden="false" customHeight="false" outlineLevel="0" collapsed="false">
      <c r="A90" s="10" t="s">
        <v>615</v>
      </c>
      <c r="B90" s="10" t="s">
        <v>616</v>
      </c>
      <c r="C90" s="10" t="s">
        <v>540</v>
      </c>
      <c r="D90" s="37" t="n">
        <v>15</v>
      </c>
      <c r="E90" s="36" t="n">
        <v>40252</v>
      </c>
      <c r="F90" s="38" t="str">
        <f aca="false">IF(COUNTIF(Productos!$A$6:$A$110,A90)=0,IF(C90="KIT/DÚO","Kit (después)","No está"),IF(COUNTIFS(Productos!$A$6:$A$110,A90,Productos!$J$6:$J$110,"&gt;0")&gt;0,"Completa","Faltan datos"))</f>
        <v>Kit (después)</v>
      </c>
    </row>
    <row r="91" customFormat="false" ht="15" hidden="false" customHeight="false" outlineLevel="0" collapsed="false">
      <c r="A91" s="10" t="s">
        <v>162</v>
      </c>
      <c r="B91" s="10" t="s">
        <v>163</v>
      </c>
      <c r="C91" s="10" t="s">
        <v>553</v>
      </c>
      <c r="D91" s="37" t="n">
        <v>15</v>
      </c>
      <c r="E91" s="36" t="n">
        <v>17563</v>
      </c>
      <c r="F91" s="38" t="str">
        <f aca="false">IF(COUNTIF(Productos!$A$6:$A$110,A91)=0,IF(C91="KIT/DÚO","Kit (después)","No está"),IF(COUNTIFS(Productos!$A$6:$A$110,A91,Productos!$J$6:$J$110,"&gt;0")&gt;0,"Completa","Faltan datos"))</f>
        <v>Faltan datos</v>
      </c>
    </row>
    <row r="92" customFormat="false" ht="15" hidden="false" customHeight="false" outlineLevel="0" collapsed="false">
      <c r="A92" s="10" t="s">
        <v>164</v>
      </c>
      <c r="B92" s="10" t="s">
        <v>165</v>
      </c>
      <c r="C92" s="10" t="s">
        <v>553</v>
      </c>
      <c r="D92" s="37" t="n">
        <v>15</v>
      </c>
      <c r="E92" s="36" t="n">
        <v>14202</v>
      </c>
      <c r="F92" s="38" t="str">
        <f aca="false">IF(COUNTIF(Productos!$A$6:$A$110,A92)=0,IF(C92="KIT/DÚO","Kit (después)","No está"),IF(COUNTIFS(Productos!$A$6:$A$110,A92,Productos!$J$6:$J$110,"&gt;0")&gt;0,"Completa","Faltan datos"))</f>
        <v>Faltan datos</v>
      </c>
    </row>
    <row r="93" customFormat="false" ht="15" hidden="false" customHeight="false" outlineLevel="0" collapsed="false">
      <c r="A93" s="10" t="s">
        <v>166</v>
      </c>
      <c r="B93" s="10" t="s">
        <v>167</v>
      </c>
      <c r="C93" s="10" t="s">
        <v>553</v>
      </c>
      <c r="D93" s="37" t="n">
        <v>14</v>
      </c>
      <c r="E93" s="36" t="n">
        <v>11681</v>
      </c>
      <c r="F93" s="38" t="str">
        <f aca="false">IF(COUNTIF(Productos!$A$6:$A$110,A93)=0,IF(C93="KIT/DÚO","Kit (después)","No está"),IF(COUNTIFS(Productos!$A$6:$A$110,A93,Productos!$J$6:$J$110,"&gt;0")&gt;0,"Completa","Faltan datos"))</f>
        <v>Faltan datos</v>
      </c>
    </row>
    <row r="94" customFormat="false" ht="15" hidden="false" customHeight="false" outlineLevel="0" collapsed="false">
      <c r="A94" s="10" t="s">
        <v>168</v>
      </c>
      <c r="B94" s="10" t="s">
        <v>169</v>
      </c>
      <c r="C94" s="10" t="s">
        <v>562</v>
      </c>
      <c r="D94" s="37" t="n">
        <v>14</v>
      </c>
      <c r="E94" s="36" t="n">
        <v>31092</v>
      </c>
      <c r="F94" s="38" t="str">
        <f aca="false">IF(COUNTIF(Productos!$A$6:$A$110,A94)=0,IF(C94="KIT/DÚO","Kit (después)","No está"),IF(COUNTIFS(Productos!$A$6:$A$110,A94,Productos!$J$6:$J$110,"&gt;0")&gt;0,"Completa","Faltan datos"))</f>
        <v>Faltan datos</v>
      </c>
    </row>
    <row r="95" customFormat="false" ht="15" hidden="false" customHeight="false" outlineLevel="0" collapsed="false">
      <c r="A95" s="10" t="s">
        <v>170</v>
      </c>
      <c r="B95" s="10" t="s">
        <v>171</v>
      </c>
      <c r="C95" s="10" t="s">
        <v>562</v>
      </c>
      <c r="D95" s="37" t="n">
        <v>13</v>
      </c>
      <c r="E95" s="36" t="n">
        <v>17646</v>
      </c>
      <c r="F95" s="38" t="str">
        <f aca="false">IF(COUNTIF(Productos!$A$6:$A$110,A95)=0,IF(C95="KIT/DÚO","Kit (después)","No está"),IF(COUNTIFS(Productos!$A$6:$A$110,A95,Productos!$J$6:$J$110,"&gt;0")&gt;0,"Completa","Faltan datos"))</f>
        <v>Faltan datos</v>
      </c>
    </row>
    <row r="96" customFormat="false" ht="15" hidden="false" customHeight="false" outlineLevel="0" collapsed="false">
      <c r="A96" s="10" t="s">
        <v>617</v>
      </c>
      <c r="B96" s="10" t="s">
        <v>618</v>
      </c>
      <c r="C96" s="10" t="s">
        <v>540</v>
      </c>
      <c r="D96" s="37" t="n">
        <v>13</v>
      </c>
      <c r="E96" s="36" t="n">
        <v>27647</v>
      </c>
      <c r="F96" s="38" t="str">
        <f aca="false">IF(COUNTIF(Productos!$A$6:$A$110,A96)=0,IF(C96="KIT/DÚO","Kit (después)","No está"),IF(COUNTIFS(Productos!$A$6:$A$110,A96,Productos!$J$6:$J$110,"&gt;0")&gt;0,"Completa","Faltan datos"))</f>
        <v>Kit (después)</v>
      </c>
    </row>
    <row r="97" customFormat="false" ht="15" hidden="false" customHeight="false" outlineLevel="0" collapsed="false">
      <c r="A97" s="10" t="s">
        <v>172</v>
      </c>
      <c r="B97" s="10" t="s">
        <v>173</v>
      </c>
      <c r="C97" s="10" t="s">
        <v>553</v>
      </c>
      <c r="D97" s="37" t="n">
        <v>13</v>
      </c>
      <c r="E97" s="36" t="n">
        <v>16723</v>
      </c>
      <c r="F97" s="38" t="str">
        <f aca="false">IF(COUNTIF(Productos!$A$6:$A$110,A97)=0,IF(C97="KIT/DÚO","Kit (después)","No está"),IF(COUNTIFS(Productos!$A$6:$A$110,A97,Productos!$J$6:$J$110,"&gt;0")&gt;0,"Completa","Faltan datos"))</f>
        <v>Faltan datos</v>
      </c>
    </row>
    <row r="98" customFormat="false" ht="15" hidden="false" customHeight="false" outlineLevel="0" collapsed="false">
      <c r="A98" s="10" t="s">
        <v>174</v>
      </c>
      <c r="B98" s="10" t="s">
        <v>175</v>
      </c>
      <c r="C98" s="10" t="s">
        <v>562</v>
      </c>
      <c r="D98" s="37" t="n">
        <v>13</v>
      </c>
      <c r="E98" s="36" t="n">
        <v>17563</v>
      </c>
      <c r="F98" s="38" t="str">
        <f aca="false">IF(COUNTIF(Productos!$A$6:$A$110,A98)=0,IF(C98="KIT/DÚO","Kit (después)","No está"),IF(COUNTIFS(Productos!$A$6:$A$110,A98,Productos!$J$6:$J$110,"&gt;0")&gt;0,"Completa","Faltan datos"))</f>
        <v>Faltan datos</v>
      </c>
    </row>
    <row r="99" customFormat="false" ht="15" hidden="false" customHeight="false" outlineLevel="0" collapsed="false">
      <c r="A99" s="10" t="s">
        <v>619</v>
      </c>
      <c r="B99" s="10" t="s">
        <v>620</v>
      </c>
      <c r="C99" s="10" t="s">
        <v>553</v>
      </c>
      <c r="D99" s="37" t="n">
        <v>13</v>
      </c>
      <c r="E99" s="36" t="n">
        <v>130000</v>
      </c>
      <c r="F99" s="38" t="str">
        <f aca="false">IF(COUNTIF(Productos!$A$6:$A$110,A99)=0,IF(C99="KIT/DÚO","Kit (después)","No está"),IF(COUNTIFS(Productos!$A$6:$A$110,A99,Productos!$J$6:$J$110,"&gt;0")&gt;0,"Completa","Faltan datos"))</f>
        <v>No está</v>
      </c>
    </row>
    <row r="100" customFormat="false" ht="15" hidden="false" customHeight="false" outlineLevel="0" collapsed="false">
      <c r="A100" s="10" t="s">
        <v>621</v>
      </c>
      <c r="B100" s="10" t="s">
        <v>622</v>
      </c>
      <c r="C100" s="10" t="s">
        <v>540</v>
      </c>
      <c r="D100" s="37" t="n">
        <v>12</v>
      </c>
      <c r="E100" s="36" t="n">
        <v>25966</v>
      </c>
      <c r="F100" s="38" t="str">
        <f aca="false">IF(COUNTIF(Productos!$A$6:$A$110,A100)=0,IF(C100="KIT/DÚO","Kit (después)","No está"),IF(COUNTIFS(Productos!$A$6:$A$110,A100,Productos!$J$6:$J$110,"&gt;0")&gt;0,"Completa","Faltan datos"))</f>
        <v>Kit (después)</v>
      </c>
    </row>
    <row r="101" customFormat="false" ht="15" hidden="false" customHeight="false" outlineLevel="0" collapsed="false">
      <c r="A101" s="10" t="s">
        <v>176</v>
      </c>
      <c r="B101" s="10" t="s">
        <v>177</v>
      </c>
      <c r="C101" s="10" t="s">
        <v>553</v>
      </c>
      <c r="D101" s="37" t="n">
        <v>12</v>
      </c>
      <c r="E101" s="36" t="n">
        <v>16554</v>
      </c>
      <c r="F101" s="38" t="str">
        <f aca="false">IF(COUNTIF(Productos!$A$6:$A$110,A101)=0,IF(C101="KIT/DÚO","Kit (después)","No está"),IF(COUNTIFS(Productos!$A$6:$A$110,A101,Productos!$J$6:$J$110,"&gt;0")&gt;0,"Completa","Faltan datos"))</f>
        <v>Faltan datos</v>
      </c>
    </row>
    <row r="102" customFormat="false" ht="15" hidden="false" customHeight="false" outlineLevel="0" collapsed="false">
      <c r="A102" s="10" t="s">
        <v>623</v>
      </c>
      <c r="B102" s="10" t="s">
        <v>624</v>
      </c>
      <c r="C102" s="10" t="s">
        <v>540</v>
      </c>
      <c r="D102" s="37" t="n">
        <v>12</v>
      </c>
      <c r="E102" s="36" t="n">
        <v>36050</v>
      </c>
      <c r="F102" s="38" t="str">
        <f aca="false">IF(COUNTIF(Productos!$A$6:$A$110,A102)=0,IF(C102="KIT/DÚO","Kit (después)","No está"),IF(COUNTIFS(Productos!$A$6:$A$110,A102,Productos!$J$6:$J$110,"&gt;0")&gt;0,"Completa","Faltan datos"))</f>
        <v>Kit (después)</v>
      </c>
    </row>
    <row r="103" customFormat="false" ht="15" hidden="false" customHeight="false" outlineLevel="0" collapsed="false">
      <c r="A103" s="10" t="s">
        <v>625</v>
      </c>
      <c r="B103" s="10" t="s">
        <v>626</v>
      </c>
      <c r="C103" s="10" t="s">
        <v>540</v>
      </c>
      <c r="D103" s="37" t="n">
        <v>12</v>
      </c>
      <c r="E103" s="36" t="n">
        <v>23445</v>
      </c>
      <c r="F103" s="38" t="str">
        <f aca="false">IF(COUNTIF(Productos!$A$6:$A$110,A103)=0,IF(C103="KIT/DÚO","Kit (después)","No está"),IF(COUNTIFS(Productos!$A$6:$A$110,A103,Productos!$J$6:$J$110,"&gt;0")&gt;0,"Completa","Faltan datos"))</f>
        <v>Kit (después)</v>
      </c>
    </row>
    <row r="104" customFormat="false" ht="15" hidden="false" customHeight="false" outlineLevel="0" collapsed="false">
      <c r="A104" s="10" t="s">
        <v>627</v>
      </c>
      <c r="B104" s="10" t="s">
        <v>628</v>
      </c>
      <c r="C104" s="10" t="s">
        <v>540</v>
      </c>
      <c r="D104" s="37" t="n">
        <v>12</v>
      </c>
      <c r="E104" s="36" t="n">
        <v>23445</v>
      </c>
      <c r="F104" s="38" t="str">
        <f aca="false">IF(COUNTIF(Productos!$A$6:$A$110,A104)=0,IF(C104="KIT/DÚO","Kit (después)","No está"),IF(COUNTIFS(Productos!$A$6:$A$110,A104,Productos!$J$6:$J$110,"&gt;0")&gt;0,"Completa","Faltan datos"))</f>
        <v>Kit (después)</v>
      </c>
    </row>
    <row r="105" customFormat="false" ht="15" hidden="false" customHeight="false" outlineLevel="0" collapsed="false">
      <c r="A105" s="10" t="s">
        <v>178</v>
      </c>
      <c r="B105" s="10" t="s">
        <v>179</v>
      </c>
      <c r="C105" s="10" t="s">
        <v>562</v>
      </c>
      <c r="D105" s="37" t="n">
        <v>12</v>
      </c>
      <c r="E105" s="36" t="n">
        <v>30168</v>
      </c>
      <c r="F105" s="38" t="str">
        <f aca="false">IF(COUNTIF(Productos!$A$6:$A$110,A105)=0,IF(C105="KIT/DÚO","Kit (después)","No está"),IF(COUNTIFS(Productos!$A$6:$A$110,A105,Productos!$J$6:$J$110,"&gt;0")&gt;0,"Completa","Faltan datos"))</f>
        <v>Faltan datos</v>
      </c>
    </row>
    <row r="106" customFormat="false" ht="15" hidden="false" customHeight="false" outlineLevel="0" collapsed="false">
      <c r="A106" s="10" t="s">
        <v>629</v>
      </c>
      <c r="B106" s="10" t="s">
        <v>630</v>
      </c>
      <c r="C106" s="10" t="s">
        <v>543</v>
      </c>
      <c r="D106" s="37" t="n">
        <v>12</v>
      </c>
      <c r="E106" s="36" t="n">
        <v>4118</v>
      </c>
      <c r="F106" s="38" t="str">
        <f aca="false">IF(COUNTIF(Productos!$A$6:$A$110,A106)=0,IF(C106="KIT/DÚO","Kit (después)","No está"),IF(COUNTIFS(Productos!$A$6:$A$110,A106,Productos!$J$6:$J$110,"&gt;0")&gt;0,"Completa","Faltan datos"))</f>
        <v>No está</v>
      </c>
    </row>
    <row r="107" customFormat="false" ht="15" hidden="false" customHeight="false" outlineLevel="0" collapsed="false">
      <c r="A107" s="10" t="s">
        <v>631</v>
      </c>
      <c r="B107" s="10" t="s">
        <v>632</v>
      </c>
      <c r="C107" s="10" t="s">
        <v>540</v>
      </c>
      <c r="D107" s="37" t="n">
        <v>12</v>
      </c>
      <c r="E107" s="36" t="n">
        <v>24286</v>
      </c>
      <c r="F107" s="38" t="str">
        <f aca="false">IF(COUNTIF(Productos!$A$6:$A$110,A107)=0,IF(C107="KIT/DÚO","Kit (después)","No está"),IF(COUNTIFS(Productos!$A$6:$A$110,A107,Productos!$J$6:$J$110,"&gt;0")&gt;0,"Completa","Faltan datos"))</f>
        <v>Kit (después)</v>
      </c>
    </row>
    <row r="108" customFormat="false" ht="15" hidden="false" customHeight="false" outlineLevel="0" collapsed="false">
      <c r="A108" s="10" t="s">
        <v>180</v>
      </c>
      <c r="B108" s="10" t="s">
        <v>181</v>
      </c>
      <c r="C108" s="10" t="s">
        <v>553</v>
      </c>
      <c r="D108" s="37" t="n">
        <v>12</v>
      </c>
      <c r="E108" s="36" t="n">
        <v>17563</v>
      </c>
      <c r="F108" s="38" t="str">
        <f aca="false">IF(COUNTIF(Productos!$A$6:$A$110,A108)=0,IF(C108="KIT/DÚO","Kit (después)","No está"),IF(COUNTIFS(Productos!$A$6:$A$110,A108,Productos!$J$6:$J$110,"&gt;0")&gt;0,"Completa","Faltan datos"))</f>
        <v>Faltan datos</v>
      </c>
    </row>
    <row r="109" customFormat="false" ht="15" hidden="false" customHeight="false" outlineLevel="0" collapsed="false">
      <c r="A109" s="10" t="s">
        <v>182</v>
      </c>
      <c r="B109" s="10" t="s">
        <v>183</v>
      </c>
      <c r="C109" s="10" t="s">
        <v>553</v>
      </c>
      <c r="D109" s="37" t="n">
        <v>12</v>
      </c>
      <c r="E109" s="36" t="n">
        <v>19244</v>
      </c>
      <c r="F109" s="38" t="str">
        <f aca="false">IF(COUNTIF(Productos!$A$6:$A$110,A109)=0,IF(C109="KIT/DÚO","Kit (después)","No está"),IF(COUNTIFS(Productos!$A$6:$A$110,A109,Productos!$J$6:$J$110,"&gt;0")&gt;0,"Completa","Faltan datos"))</f>
        <v>Faltan datos</v>
      </c>
    </row>
    <row r="110" customFormat="false" ht="15" hidden="false" customHeight="false" outlineLevel="0" collapsed="false">
      <c r="A110" s="10" t="s">
        <v>633</v>
      </c>
      <c r="B110" s="10" t="s">
        <v>634</v>
      </c>
      <c r="C110" s="10" t="s">
        <v>540</v>
      </c>
      <c r="D110" s="37" t="n">
        <v>11</v>
      </c>
      <c r="E110" s="36" t="n">
        <v>26891</v>
      </c>
      <c r="F110" s="38" t="str">
        <f aca="false">IF(COUNTIF(Productos!$A$6:$A$110,A110)=0,IF(C110="KIT/DÚO","Kit (después)","No está"),IF(COUNTIFS(Productos!$A$6:$A$110,A110,Productos!$J$6:$J$110,"&gt;0")&gt;0,"Completa","Faltan datos"))</f>
        <v>Kit (después)</v>
      </c>
    </row>
    <row r="111" customFormat="false" ht="15" hidden="false" customHeight="false" outlineLevel="0" collapsed="false">
      <c r="A111" s="10" t="s">
        <v>184</v>
      </c>
      <c r="B111" s="10" t="s">
        <v>185</v>
      </c>
      <c r="C111" s="10" t="s">
        <v>562</v>
      </c>
      <c r="D111" s="37" t="n">
        <v>11</v>
      </c>
      <c r="E111" s="36" t="n">
        <v>20084</v>
      </c>
      <c r="F111" s="38" t="str">
        <f aca="false">IF(COUNTIF(Productos!$A$6:$A$110,A111)=0,IF(C111="KIT/DÚO","Kit (después)","No está"),IF(COUNTIFS(Productos!$A$6:$A$110,A111,Productos!$J$6:$J$110,"&gt;0")&gt;0,"Completa","Faltan datos"))</f>
        <v>Faltan datos</v>
      </c>
    </row>
    <row r="112" customFormat="false" ht="15" hidden="false" customHeight="false" outlineLevel="0" collapsed="false">
      <c r="A112" s="10" t="s">
        <v>635</v>
      </c>
      <c r="B112" s="10" t="s">
        <v>636</v>
      </c>
      <c r="C112" s="10" t="s">
        <v>540</v>
      </c>
      <c r="D112" s="37" t="n">
        <v>10</v>
      </c>
      <c r="E112" s="36" t="n">
        <v>29266</v>
      </c>
      <c r="F112" s="38" t="str">
        <f aca="false">IF(COUNTIF(Productos!$A$6:$A$110,A112)=0,IF(C112="KIT/DÚO","Kit (después)","No está"),IF(COUNTIFS(Productos!$A$6:$A$110,A112,Productos!$J$6:$J$110,"&gt;0")&gt;0,"Completa","Faltan datos"))</f>
        <v>Kit (después)</v>
      </c>
    </row>
    <row r="113" customFormat="false" ht="15" hidden="false" customHeight="false" outlineLevel="0" collapsed="false">
      <c r="A113" s="10" t="s">
        <v>186</v>
      </c>
      <c r="B113" s="10" t="s">
        <v>187</v>
      </c>
      <c r="C113" s="10" t="s">
        <v>553</v>
      </c>
      <c r="D113" s="37" t="n">
        <v>9</v>
      </c>
      <c r="E113" s="36" t="n">
        <v>17143</v>
      </c>
      <c r="F113" s="38" t="str">
        <f aca="false">IF(COUNTIF(Productos!$A$6:$A$110,A113)=0,IF(C113="KIT/DÚO","Kit (después)","No está"),IF(COUNTIFS(Productos!$A$6:$A$110,A113,Productos!$J$6:$J$110,"&gt;0")&gt;0,"Completa","Faltan datos"))</f>
        <v>Faltan datos</v>
      </c>
    </row>
    <row r="114" customFormat="false" ht="15" hidden="false" customHeight="false" outlineLevel="0" collapsed="false">
      <c r="A114" s="10" t="s">
        <v>637</v>
      </c>
      <c r="B114" s="10" t="s">
        <v>638</v>
      </c>
      <c r="C114" s="10" t="s">
        <v>550</v>
      </c>
      <c r="D114" s="37" t="n">
        <v>8</v>
      </c>
      <c r="E114" s="36"/>
      <c r="F114" s="38" t="str">
        <f aca="false">IF(COUNTIF(Productos!$A$6:$A$110,A114)=0,IF(C114="KIT/DÚO","Kit (después)","No está"),IF(COUNTIFS(Productos!$A$6:$A$110,A114,Productos!$J$6:$J$110,"&gt;0")&gt;0,"Completa","Faltan datos"))</f>
        <v>No está</v>
      </c>
    </row>
    <row r="115" customFormat="false" ht="15" hidden="false" customHeight="false" outlineLevel="0" collapsed="false">
      <c r="A115" s="10" t="s">
        <v>639</v>
      </c>
      <c r="B115" s="10" t="s">
        <v>640</v>
      </c>
      <c r="C115" s="10" t="s">
        <v>543</v>
      </c>
      <c r="D115" s="37" t="n">
        <v>8</v>
      </c>
      <c r="E115" s="36" t="n">
        <v>1260</v>
      </c>
      <c r="F115" s="38" t="str">
        <f aca="false">IF(COUNTIF(Productos!$A$6:$A$110,A115)=0,IF(C115="KIT/DÚO","Kit (después)","No está"),IF(COUNTIFS(Productos!$A$6:$A$110,A115,Productos!$J$6:$J$110,"&gt;0")&gt;0,"Completa","Faltan datos"))</f>
        <v>No está</v>
      </c>
    </row>
    <row r="116" customFormat="false" ht="15" hidden="false" customHeight="false" outlineLevel="0" collapsed="false">
      <c r="A116" s="10" t="s">
        <v>188</v>
      </c>
      <c r="B116" s="10" t="s">
        <v>189</v>
      </c>
      <c r="C116" s="10" t="s">
        <v>562</v>
      </c>
      <c r="D116" s="37" t="n">
        <v>6</v>
      </c>
      <c r="E116" s="36" t="n">
        <v>32731</v>
      </c>
      <c r="F116" s="38" t="str">
        <f aca="false">IF(COUNTIF(Productos!$A$6:$A$110,A116)=0,IF(C116="KIT/DÚO","Kit (después)","No está"),IF(COUNTIFS(Productos!$A$6:$A$110,A116,Productos!$J$6:$J$110,"&gt;0")&gt;0,"Completa","Faltan datos"))</f>
        <v>Faltan datos</v>
      </c>
    </row>
    <row r="117" customFormat="false" ht="15" hidden="false" customHeight="false" outlineLevel="0" collapsed="false">
      <c r="A117" s="10" t="s">
        <v>190</v>
      </c>
      <c r="B117" s="10" t="s">
        <v>191</v>
      </c>
      <c r="C117" s="10" t="s">
        <v>553</v>
      </c>
      <c r="D117" s="37" t="n">
        <v>6</v>
      </c>
      <c r="E117" s="36" t="n">
        <v>16723</v>
      </c>
      <c r="F117" s="38" t="str">
        <f aca="false">IF(COUNTIF(Productos!$A$6:$A$110,A117)=0,IF(C117="KIT/DÚO","Kit (después)","No está"),IF(COUNTIFS(Productos!$A$6:$A$110,A117,Productos!$J$6:$J$110,"&gt;0")&gt;0,"Completa","Faltan datos"))</f>
        <v>Faltan datos</v>
      </c>
    </row>
    <row r="118" customFormat="false" ht="15" hidden="false" customHeight="false" outlineLevel="0" collapsed="false">
      <c r="A118" s="10" t="s">
        <v>192</v>
      </c>
      <c r="B118" s="10" t="s">
        <v>193</v>
      </c>
      <c r="C118" s="10" t="s">
        <v>553</v>
      </c>
      <c r="D118" s="37" t="n">
        <v>5</v>
      </c>
      <c r="E118" s="36" t="n">
        <v>15882</v>
      </c>
      <c r="F118" s="38" t="str">
        <f aca="false">IF(COUNTIF(Productos!$A$6:$A$110,A118)=0,IF(C118="KIT/DÚO","Kit (después)","No está"),IF(COUNTIFS(Productos!$A$6:$A$110,A118,Productos!$J$6:$J$110,"&gt;0")&gt;0,"Completa","Faltan datos"))</f>
        <v>Faltan datos</v>
      </c>
    </row>
    <row r="119" customFormat="false" ht="15" hidden="false" customHeight="false" outlineLevel="0" collapsed="false">
      <c r="A119" s="10" t="s">
        <v>641</v>
      </c>
      <c r="B119" s="10" t="s">
        <v>642</v>
      </c>
      <c r="C119" s="10" t="s">
        <v>553</v>
      </c>
      <c r="D119" s="37" t="n">
        <v>5</v>
      </c>
      <c r="E119" s="36" t="n">
        <v>13622</v>
      </c>
      <c r="F119" s="38" t="str">
        <f aca="false">IF(COUNTIF(Productos!$A$6:$A$110,A119)=0,IF(C119="KIT/DÚO","Kit (después)","No está"),IF(COUNTIFS(Productos!$A$6:$A$110,A119,Productos!$J$6:$J$110,"&gt;0")&gt;0,"Completa","Faltan datos"))</f>
        <v>No está</v>
      </c>
    </row>
    <row r="120" customFormat="false" ht="15" hidden="false" customHeight="false" outlineLevel="0" collapsed="false">
      <c r="A120" s="10" t="s">
        <v>643</v>
      </c>
      <c r="B120" s="10" t="s">
        <v>644</v>
      </c>
      <c r="C120" s="10" t="s">
        <v>550</v>
      </c>
      <c r="D120" s="37" t="n">
        <v>5</v>
      </c>
      <c r="E120" s="36" t="n">
        <v>29412</v>
      </c>
      <c r="F120" s="38" t="str">
        <f aca="false">IF(COUNTIF(Productos!$A$6:$A$110,A120)=0,IF(C120="KIT/DÚO","Kit (después)","No está"),IF(COUNTIFS(Productos!$A$6:$A$110,A120,Productos!$J$6:$J$110,"&gt;0")&gt;0,"Completa","Faltan datos"))</f>
        <v>No está</v>
      </c>
    </row>
    <row r="121" customFormat="false" ht="15" hidden="false" customHeight="false" outlineLevel="0" collapsed="false">
      <c r="A121" s="10" t="s">
        <v>194</v>
      </c>
      <c r="B121" s="10" t="s">
        <v>195</v>
      </c>
      <c r="C121" s="10" t="s">
        <v>553</v>
      </c>
      <c r="D121" s="37" t="n">
        <v>4</v>
      </c>
      <c r="E121" s="36" t="n">
        <v>12689</v>
      </c>
      <c r="F121" s="38" t="str">
        <f aca="false">IF(COUNTIF(Productos!$A$6:$A$110,A121)=0,IF(C121="KIT/DÚO","Kit (después)","No está"),IF(COUNTIFS(Productos!$A$6:$A$110,A121,Productos!$J$6:$J$110,"&gt;0")&gt;0,"Completa","Faltan datos"))</f>
        <v>Faltan datos</v>
      </c>
    </row>
    <row r="122" customFormat="false" ht="15" hidden="false" customHeight="false" outlineLevel="0" collapsed="false">
      <c r="A122" s="10" t="s">
        <v>197</v>
      </c>
      <c r="B122" s="10" t="s">
        <v>198</v>
      </c>
      <c r="C122" s="10" t="s">
        <v>562</v>
      </c>
      <c r="D122" s="37" t="n">
        <v>4</v>
      </c>
      <c r="E122" s="36" t="n">
        <v>13445</v>
      </c>
      <c r="F122" s="38" t="str">
        <f aca="false">IF(COUNTIF(Productos!$A$6:$A$110,A122)=0,IF(C122="KIT/DÚO","Kit (después)","No está"),IF(COUNTIFS(Productos!$A$6:$A$110,A122,Productos!$J$6:$J$110,"&gt;0")&gt;0,"Completa","Faltan datos"))</f>
        <v>Faltan datos</v>
      </c>
    </row>
    <row r="123" customFormat="false" ht="15" hidden="false" customHeight="false" outlineLevel="0" collapsed="false">
      <c r="A123" s="10" t="s">
        <v>199</v>
      </c>
      <c r="B123" s="10" t="s">
        <v>200</v>
      </c>
      <c r="C123" s="10" t="s">
        <v>562</v>
      </c>
      <c r="D123" s="37" t="n">
        <v>4</v>
      </c>
      <c r="E123" s="36" t="n">
        <v>30168</v>
      </c>
      <c r="F123" s="38" t="str">
        <f aca="false">IF(COUNTIF(Productos!$A$6:$A$110,A123)=0,IF(C123="KIT/DÚO","Kit (después)","No está"),IF(COUNTIFS(Productos!$A$6:$A$110,A123,Productos!$J$6:$J$110,"&gt;0")&gt;0,"Completa","Faltan datos"))</f>
        <v>Faltan datos</v>
      </c>
    </row>
    <row r="124" customFormat="false" ht="15" hidden="false" customHeight="false" outlineLevel="0" collapsed="false">
      <c r="A124" s="10" t="s">
        <v>645</v>
      </c>
      <c r="B124" s="10" t="s">
        <v>646</v>
      </c>
      <c r="C124" s="10" t="s">
        <v>550</v>
      </c>
      <c r="D124" s="37" t="n">
        <v>3</v>
      </c>
      <c r="E124" s="36" t="n">
        <v>21008</v>
      </c>
      <c r="F124" s="38" t="str">
        <f aca="false">IF(COUNTIF(Productos!$A$6:$A$110,A124)=0,IF(C124="KIT/DÚO","Kit (después)","No está"),IF(COUNTIFS(Productos!$A$6:$A$110,A124,Productos!$J$6:$J$110,"&gt;0")&gt;0,"Completa","Faltan datos"))</f>
        <v>No está</v>
      </c>
    </row>
    <row r="125" customFormat="false" ht="15" hidden="false" customHeight="false" outlineLevel="0" collapsed="false">
      <c r="A125" s="10" t="s">
        <v>201</v>
      </c>
      <c r="B125" s="10" t="s">
        <v>202</v>
      </c>
      <c r="C125" s="10" t="s">
        <v>553</v>
      </c>
      <c r="D125" s="37" t="n">
        <v>3</v>
      </c>
      <c r="E125" s="36" t="n">
        <v>16723</v>
      </c>
      <c r="F125" s="38" t="str">
        <f aca="false">IF(COUNTIF(Productos!$A$6:$A$110,A125)=0,IF(C125="KIT/DÚO","Kit (después)","No está"),IF(COUNTIFS(Productos!$A$6:$A$110,A125,Productos!$J$6:$J$110,"&gt;0")&gt;0,"Completa","Faltan datos"))</f>
        <v>Faltan datos</v>
      </c>
    </row>
    <row r="126" customFormat="false" ht="15" hidden="false" customHeight="false" outlineLevel="0" collapsed="false">
      <c r="A126" s="10" t="s">
        <v>203</v>
      </c>
      <c r="B126" s="10" t="s">
        <v>204</v>
      </c>
      <c r="C126" s="10" t="s">
        <v>562</v>
      </c>
      <c r="D126" s="37" t="n">
        <v>2</v>
      </c>
      <c r="E126" s="36" t="n">
        <v>27647</v>
      </c>
      <c r="F126" s="38" t="str">
        <f aca="false">IF(COUNTIF(Productos!$A$6:$A$110,A126)=0,IF(C126="KIT/DÚO","Kit (después)","No está"),IF(COUNTIFS(Productos!$A$6:$A$110,A126,Productos!$J$6:$J$110,"&gt;0")&gt;0,"Completa","Faltan datos"))</f>
        <v>Faltan datos</v>
      </c>
    </row>
    <row r="127" customFormat="false" ht="15" hidden="false" customHeight="false" outlineLevel="0" collapsed="false">
      <c r="A127" s="10" t="s">
        <v>647</v>
      </c>
      <c r="B127" s="10" t="s">
        <v>648</v>
      </c>
      <c r="C127" s="10" t="s">
        <v>540</v>
      </c>
      <c r="D127" s="37" t="n">
        <v>2</v>
      </c>
      <c r="E127" s="36" t="n">
        <v>45294</v>
      </c>
      <c r="F127" s="38" t="str">
        <f aca="false">IF(COUNTIF(Productos!$A$6:$A$110,A127)=0,IF(C127="KIT/DÚO","Kit (después)","No está"),IF(COUNTIFS(Productos!$A$6:$A$110,A127,Productos!$J$6:$J$110,"&gt;0")&gt;0,"Completa","Faltan datos"))</f>
        <v>Kit (después)</v>
      </c>
    </row>
    <row r="128" customFormat="false" ht="15" hidden="false" customHeight="false" outlineLevel="0" collapsed="false">
      <c r="A128" s="10" t="s">
        <v>649</v>
      </c>
      <c r="B128" s="10" t="s">
        <v>650</v>
      </c>
      <c r="C128" s="10" t="s">
        <v>540</v>
      </c>
      <c r="D128" s="37" t="n">
        <v>2</v>
      </c>
      <c r="E128" s="36" t="n">
        <v>26387</v>
      </c>
      <c r="F128" s="38" t="str">
        <f aca="false">IF(COUNTIF(Productos!$A$6:$A$110,A128)=0,IF(C128="KIT/DÚO","Kit (después)","No está"),IF(COUNTIFS(Productos!$A$6:$A$110,A128,Productos!$J$6:$J$110,"&gt;0")&gt;0,"Completa","Faltan datos"))</f>
        <v>Kit (después)</v>
      </c>
    </row>
    <row r="129" customFormat="false" ht="15" hidden="false" customHeight="false" outlineLevel="0" collapsed="false">
      <c r="A129" s="10" t="s">
        <v>651</v>
      </c>
      <c r="B129" s="10" t="s">
        <v>652</v>
      </c>
      <c r="C129" s="10" t="s">
        <v>550</v>
      </c>
      <c r="D129" s="37" t="n">
        <v>2</v>
      </c>
      <c r="E129" s="36" t="n">
        <v>11093</v>
      </c>
      <c r="F129" s="38" t="str">
        <f aca="false">IF(COUNTIF(Productos!$A$6:$A$110,A129)=0,IF(C129="KIT/DÚO","Kit (después)","No está"),IF(COUNTIFS(Productos!$A$6:$A$110,A129,Productos!$J$6:$J$110,"&gt;0")&gt;0,"Completa","Faltan datos"))</f>
        <v>No está</v>
      </c>
    </row>
    <row r="130" customFormat="false" ht="15" hidden="false" customHeight="false" outlineLevel="0" collapsed="false">
      <c r="A130" s="10" t="s">
        <v>653</v>
      </c>
      <c r="B130" s="10" t="s">
        <v>654</v>
      </c>
      <c r="C130" s="10" t="s">
        <v>553</v>
      </c>
      <c r="D130" s="37" t="n">
        <v>2</v>
      </c>
      <c r="E130" s="36" t="n">
        <v>1681</v>
      </c>
      <c r="F130" s="38" t="str">
        <f aca="false">IF(COUNTIF(Productos!$A$6:$A$110,A130)=0,IF(C130="KIT/DÚO","Kit (después)","No está"),IF(COUNTIFS(Productos!$A$6:$A$110,A130,Productos!$J$6:$J$110,"&gt;0")&gt;0,"Completa","Faltan datos"))</f>
        <v>No está</v>
      </c>
    </row>
    <row r="131" customFormat="false" ht="15" hidden="false" customHeight="false" outlineLevel="0" collapsed="false">
      <c r="A131" s="10" t="s">
        <v>655</v>
      </c>
      <c r="B131" s="10" t="s">
        <v>656</v>
      </c>
      <c r="C131" s="10" t="s">
        <v>553</v>
      </c>
      <c r="D131" s="37" t="n">
        <v>1</v>
      </c>
      <c r="E131" s="36"/>
      <c r="F131" s="38" t="str">
        <f aca="false">IF(COUNTIF(Productos!$A$6:$A$110,A131)=0,IF(C131="KIT/DÚO","Kit (después)","No está"),IF(COUNTIFS(Productos!$A$6:$A$110,A131,Productos!$J$6:$J$110,"&gt;0")&gt;0,"Completa","Faltan datos"))</f>
        <v>No está</v>
      </c>
    </row>
    <row r="132" customFormat="false" ht="15" hidden="false" customHeight="false" outlineLevel="0" collapsed="false">
      <c r="A132" s="10" t="s">
        <v>205</v>
      </c>
      <c r="B132" s="10" t="s">
        <v>206</v>
      </c>
      <c r="C132" s="10" t="s">
        <v>553</v>
      </c>
      <c r="D132" s="37" t="n">
        <v>1</v>
      </c>
      <c r="E132" s="36" t="n">
        <v>19244</v>
      </c>
      <c r="F132" s="38" t="str">
        <f aca="false">IF(COUNTIF(Productos!$A$6:$A$110,A132)=0,IF(C132="KIT/DÚO","Kit (después)","No está"),IF(COUNTIFS(Productos!$A$6:$A$110,A132,Productos!$J$6:$J$110,"&gt;0")&gt;0,"Completa","Faltan datos"))</f>
        <v>Faltan datos</v>
      </c>
    </row>
    <row r="133" customFormat="false" ht="15" hidden="false" customHeight="false" outlineLevel="0" collapsed="false">
      <c r="A133" s="10" t="s">
        <v>207</v>
      </c>
      <c r="B133" s="10" t="s">
        <v>208</v>
      </c>
      <c r="C133" s="10" t="s">
        <v>553</v>
      </c>
      <c r="D133" s="37" t="n">
        <v>1</v>
      </c>
      <c r="E133" s="36" t="n">
        <v>20084</v>
      </c>
      <c r="F133" s="38" t="str">
        <f aca="false">IF(COUNTIF(Productos!$A$6:$A$110,A133)=0,IF(C133="KIT/DÚO","Kit (después)","No está"),IF(COUNTIFS(Productos!$A$6:$A$110,A133,Productos!$J$6:$J$110,"&gt;0")&gt;0,"Completa","Faltan datos"))</f>
        <v>Faltan datos</v>
      </c>
    </row>
    <row r="134" customFormat="false" ht="15" hidden="false" customHeight="false" outlineLevel="0" collapsed="false">
      <c r="A134" s="10" t="s">
        <v>209</v>
      </c>
      <c r="B134" s="10" t="s">
        <v>210</v>
      </c>
      <c r="C134" s="10" t="s">
        <v>553</v>
      </c>
      <c r="D134" s="37" t="n">
        <v>1</v>
      </c>
      <c r="E134" s="36" t="n">
        <v>21765</v>
      </c>
      <c r="F134" s="38" t="str">
        <f aca="false">IF(COUNTIF(Productos!$A$6:$A$110,A134)=0,IF(C134="KIT/DÚO","Kit (después)","No está"),IF(COUNTIFS(Productos!$A$6:$A$110,A134,Productos!$J$6:$J$110,"&gt;0")&gt;0,"Completa","Faltan datos"))</f>
        <v>Faltan datos</v>
      </c>
    </row>
    <row r="135" customFormat="false" ht="15" hidden="false" customHeight="false" outlineLevel="0" collapsed="false">
      <c r="A135" s="10" t="s">
        <v>211</v>
      </c>
      <c r="B135" s="10" t="s">
        <v>212</v>
      </c>
      <c r="C135" s="10" t="s">
        <v>553</v>
      </c>
      <c r="D135" s="37" t="n">
        <v>1</v>
      </c>
      <c r="E135" s="36" t="n">
        <v>11681</v>
      </c>
      <c r="F135" s="38" t="str">
        <f aca="false">IF(COUNTIF(Productos!$A$6:$A$110,A135)=0,IF(C135="KIT/DÚO","Kit (después)","No está"),IF(COUNTIFS(Productos!$A$6:$A$110,A135,Productos!$J$6:$J$110,"&gt;0")&gt;0,"Completa","Faltan datos"))</f>
        <v>Faltan datos</v>
      </c>
    </row>
    <row r="136" customFormat="false" ht="15" hidden="false" customHeight="false" outlineLevel="0" collapsed="false">
      <c r="A136" s="10" t="s">
        <v>213</v>
      </c>
      <c r="B136" s="10" t="s">
        <v>214</v>
      </c>
      <c r="C136" s="10" t="s">
        <v>562</v>
      </c>
      <c r="D136" s="37" t="n">
        <v>1</v>
      </c>
      <c r="E136" s="36" t="n">
        <v>21765</v>
      </c>
      <c r="F136" s="38" t="str">
        <f aca="false">IF(COUNTIF(Productos!$A$6:$A$110,A136)=0,IF(C136="KIT/DÚO","Kit (después)","No está"),IF(COUNTIFS(Productos!$A$6:$A$110,A136,Productos!$J$6:$J$110,"&gt;0")&gt;0,"Completa","Faltan datos"))</f>
        <v>Faltan datos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2026-10-07T16:57:41Z</dcterms:created>
  <dc:creator>openpyxl</dc:creator>
  <dc:description/>
  <dc:language>en-US</dc:language>
  <cp:lastModifiedBy/>
  <dcterms:modified xsi:type="dcterms:W3CDTF">2026-10-07T16:57:41Z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