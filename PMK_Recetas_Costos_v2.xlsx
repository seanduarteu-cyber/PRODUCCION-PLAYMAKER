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omo_usar" sheetId="1" state="visible" r:id="rId3"/>
    <sheet name="Recetas" sheetId="2" state="visible" r:id="rId4"/>
    <sheet name="Parametros" sheetId="3" state="visible" r:id="rId5"/>
    <sheet name="Gastos_Ventas" sheetId="4" state="visible" r:id="rId6"/>
    <sheet name="Precios" sheetId="5" state="visible" r:id="rId7"/>
    <sheet name="Confeccion" sheetId="6" state="visible" r:id="rId8"/>
    <sheet name="Catalogo" sheetId="7" state="visible" r:id="rId9"/>
  </sheets>
  <definedNames>
    <definedName function="false" hidden="true" localSheetId="1" name="_xlnm._FilterDatabase" vbProcedure="false">Recetas!$A$5:$AA$250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<sst xmlns="http://schemas.openxmlformats.org/spreadsheetml/2006/main" count="1294" uniqueCount="557">
  <si>
    <t xml:space="preserve">RECETAS DE COSTO — PLAYMAKER (v2)</t>
  </si>
  <si>
    <t xml:space="preserve">Armado desde el Sistema de Costeo v2. Todo dato dice "Por confirmar" hasta que lo valides.</t>
  </si>
  <si>
    <t xml:space="preserve">QUÉ HACE</t>
  </si>
  <si>
    <t xml:space="preserve">Por cada producto calcula: COSTO DE PRODUCCIÓN + GASTOS FIJOS (como % del precio) = GANANCIA REAL, y el PRECIO MÍNIMO para no perder plata.</t>
  </si>
  <si>
    <t xml:space="preserve">Precio mínimo = costo de producción ÷ (1 − recargo − ganancia deseada).</t>
  </si>
  <si>
    <t xml:space="preserve">COLORES</t>
  </si>
  <si>
    <t xml:space="preserve">AZUL = lo escribes tú.   GRIS = se calcula solo, no tocar.   Semáforo: PIERDE (rojo) · BAJO META (amarillo) · OK (verde).</t>
  </si>
  <si>
    <t xml:space="preserve">LAS HOJAS</t>
  </si>
  <si>
    <t xml:space="preserve">Recetas — una fila por producto. Aquí ves la ganancia, el precio mínimo y qué datos faltan.</t>
  </si>
  <si>
    <t xml:space="preserve">Parametros — el recargo %, tu meta de ganancia y el costo de papel + tinta por metro.</t>
  </si>
  <si>
    <t xml:space="preserve">Gastos_Ventas — gastos fijos y ventas de los últimos 3 meses. De aquí sale el recargo.</t>
  </si>
  <si>
    <t xml:space="preserve">Precios — precio de cada tela y avío.   Confeccion — lo que se paga al taller por prenda.</t>
  </si>
  <si>
    <t xml:space="preserve">Catalogo — todos los productos vendidos y cuáles ya tienen receta completa.</t>
  </si>
  <si>
    <t xml:space="preserve">PARA COMPLETAR UNA RECETA (en la hoja Recetas)</t>
  </si>
  <si>
    <t xml:space="preserve">1) Elige la tela en la lista y escribe cuántos kg gasta una prenda (kg de la ficha de corte ÷ prendas cortadas). Si lleva malla u otra tela, usa "Tela 2".</t>
  </si>
  <si>
    <t xml:space="preserve">2) Escribe los metros impresos por prenda (0 si no se sublima).   3) Elige el tipo de confección.</t>
  </si>
  <si>
    <t xml:space="preserve">4) Si lleva avíos (cuello, cierre, elástico, etiqueta), suma su valor en "Otros avíos".   5) Cuando todo esté verificado, cambia el estado a "Confirmado".</t>
  </si>
  <si>
    <t xml:space="preserve">Para un producto nuevo, usa la primera fila vacía al final de la hoja.</t>
  </si>
  <si>
    <t xml:space="preserve">CADA TRIMESTRE (próximo: diciembre 2026)</t>
  </si>
  <si>
    <t xml:space="preserve">En Gastos_Ventas cambia los nombres de los meses y escribe los gastos y ventas de los 3 meses más recientes. El recargo y todas las recetas se actualizan solos.</t>
  </si>
  <si>
    <t xml:space="preserve">QUÉ CAMBIÓ RESPECTO DEL SISTEMA ANTERIOR (y del borrador v1)</t>
  </si>
  <si>
    <t xml:space="preserve">• Sueldos: ya no se cobran dentro de la receta y además en los gastos fijos (se contaban dos veces). Ahora todos los sueldos están en gastos de fábrica.</t>
  </si>
  <si>
    <t xml:space="preserve">• Camiseta Fútbol Playmaker (la más vendida): el consumo que tenía (0,161 kg) era del short. Queda en blanco hasta tener su ficha de corte.</t>
  </si>
  <si>
    <t xml:space="preserve">• Camiseta básquet: el consumo mezclaba camiseta y short. Ahora usa solo la camiseta (0,203 kg).</t>
  </si>
  <si>
    <t xml:space="preserve">• Camisetas Pro: ahora incluyen la malla (MESH) que aparece en la ficha de corte y antes no se cobraba.</t>
  </si>
  <si>
    <t xml:space="preserve">• Short Rugby: ahora usa la confección de short de rugby ($2.200) y no la de fútbol ($1.700).</t>
  </si>
  <si>
    <t xml:space="preserve">• Estampado ya no se cobra a todas las prendas por defecto.</t>
  </si>
  <si>
    <t xml:space="preserve">PENDIENTES QUE AFECTAN LOS RESULTADOS</t>
  </si>
  <si>
    <t xml:space="preserve">• Gastos: el archivo original trae un solo mes; se repitió en los 3 meses. Reemplazar con el gasto real.</t>
  </si>
  <si>
    <t xml:space="preserve">• Consumos de tela: casi todos vienen de 1 solo corte. Cada ficha de corte nueva los hace más confiables.</t>
  </si>
  <si>
    <t xml:space="preserve">RECETAS — costo de producción, gastos y ganancia por prenda</t>
  </si>
  <si>
    <t xml:space="preserve">Una fila = un producto. Llena solo las columnas azules (E a M). Todo lo gris se calcula solo. Fuente de datos iniciales: Sistema de Costeo v2.</t>
  </si>
  <si>
    <t xml:space="preserve">PRODUCTO</t>
  </si>
  <si>
    <t xml:space="preserve">DATOS DE LA RECETA (los llenas tú)</t>
  </si>
  <si>
    <t xml:space="preserve">COSTO DE PRODUCCIÓN ($ por prenda)</t>
  </si>
  <si>
    <t xml:space="preserve">RESULTADO AL PRECIO ACTUAL</t>
  </si>
  <si>
    <t xml:space="preserve">Código</t>
  </si>
  <si>
    <t xml:space="preserve">Producto</t>
  </si>
  <si>
    <t xml:space="preserve">Tipo</t>
  </si>
  <si>
    <t xml:space="preserve">Unid. vendidas
jun–sep</t>
  </si>
  <si>
    <t xml:space="preserve">Precio venta
neto ($)</t>
  </si>
  <si>
    <t xml:space="preserve">Tela principal</t>
  </si>
  <si>
    <t xml:space="preserve">Kg tela
por prenda</t>
  </si>
  <si>
    <t xml:space="preserve">Tela 2
(malla, etc.)</t>
  </si>
  <si>
    <t xml:space="preserve">Kg tela 2
por prenda</t>
  </si>
  <si>
    <t xml:space="preserve">Metros impresos
por prenda</t>
  </si>
  <si>
    <t xml:space="preserve">Confección (tipo)</t>
  </si>
  <si>
    <t xml:space="preserve">Otros avíos
($ por prenda)</t>
  </si>
  <si>
    <t xml:space="preserve">Estado del dato</t>
  </si>
  <si>
    <t xml:space="preserve">Notas</t>
  </si>
  <si>
    <t xml:space="preserve">$ Telas</t>
  </si>
  <si>
    <t xml:space="preserve">$ Papel y tinta</t>
  </si>
  <si>
    <t xml:space="preserve">$ Confección</t>
  </si>
  <si>
    <t xml:space="preserve">$ Avíos</t>
  </si>
  <si>
    <t xml:space="preserve">COSTO DE
PRODUCCIÓN</t>
  </si>
  <si>
    <t xml:space="preserve">Gastos de
fábrica</t>
  </si>
  <si>
    <t xml:space="preserve">Gastos
comerciales</t>
  </si>
  <si>
    <t xml:space="preserve">GANANCIA
($)</t>
  </si>
  <si>
    <t xml:space="preserve">GANANCIA
(%)</t>
  </si>
  <si>
    <t xml:space="preserve">Precio mínimo
(sin perder)</t>
  </si>
  <si>
    <t xml:space="preserve">Precio mínimo
(con meta)</t>
  </si>
  <si>
    <t xml:space="preserve">Semáforo</t>
  </si>
  <si>
    <t xml:space="preserve">Qué falta</t>
  </si>
  <si>
    <t xml:space="preserve">FUTCSUBMC</t>
  </si>
  <si>
    <t xml:space="preserve">Camiseta Fútbol Playmaker, m/c</t>
  </si>
  <si>
    <t xml:space="preserve">Juego</t>
  </si>
  <si>
    <t xml:space="preserve">CIRE BLANCO</t>
  </si>
  <si>
    <t xml:space="preserve">Camiseta De Futbol</t>
  </si>
  <si>
    <t xml:space="preserve">Por confirmar</t>
  </si>
  <si>
    <t xml:space="preserve">FALTA CONSUMO: el sistema anterior usaba 0,161 kg pero ese dato es del SHORT (OT 2547 y 2588). Hacer ficha de corte de camiseta adulto.</t>
  </si>
  <si>
    <t xml:space="preserve">FUTCSUBREDMC</t>
  </si>
  <si>
    <t xml:space="preserve">Camiseta Fútbol Playmaker Cuello Redondo m/c</t>
  </si>
  <si>
    <t xml:space="preserve">FALTA CONSUMO (ver Camiseta Fútbol Playmaker m/c).</t>
  </si>
  <si>
    <t xml:space="preserve">FUTCSUBPROREDMC</t>
  </si>
  <si>
    <t xml:space="preserve">Camiseta Fútbol Pro Playmaker Cuello Redondo m/c</t>
  </si>
  <si>
    <t xml:space="preserve">MONTESIMONE TRAINING (fut pro)</t>
  </si>
  <si>
    <t xml:space="preserve">MESH</t>
  </si>
  <si>
    <t xml:space="preserve">Ficha OT 2547 (20 prendas masc.). Femenino dio 0,1225 kg (OT 2257). Metros: la ficha dice 1,9 (38 m / 20), la receta anterior 1,2 y la hoja de reprocesos 1,125 → confirmar.</t>
  </si>
  <si>
    <t xml:space="preserve">VOLMASC-CSUB-V-MC</t>
  </si>
  <si>
    <t xml:space="preserve">Camiseta Voley fem Playmaker, V m/c</t>
  </si>
  <si>
    <t xml:space="preserve">Camiseta Voley</t>
  </si>
  <si>
    <t xml:space="preserve">Confección sugerida por el nombre: confirmar.</t>
  </si>
  <si>
    <t xml:space="preserve">FUTCSUBPROMC</t>
  </si>
  <si>
    <t xml:space="preserve">Camiseta Fútbol Pro Playmaker, m/c</t>
  </si>
  <si>
    <t xml:space="preserve">Igual que Pro cuello redondo (OT 2547). Confirmar metros impresos.</t>
  </si>
  <si>
    <t xml:space="preserve">FUTCSUBMC-V</t>
  </si>
  <si>
    <t xml:space="preserve">Camiseta Fútbol Playmaker, V m/c</t>
  </si>
  <si>
    <t xml:space="preserve">SALPOLPRESLISA</t>
  </si>
  <si>
    <t xml:space="preserve">Polera de Presentación Lisa</t>
  </si>
  <si>
    <t xml:space="preserve">Salida</t>
  </si>
  <si>
    <t xml:space="preserve">CSUBRUGSFROSA</t>
  </si>
  <si>
    <t xml:space="preserve">CAMISETA DE RUGBY STADE FRANCAIS ANIVERSARIO (ROSADA)</t>
  </si>
  <si>
    <t xml:space="preserve">SAL-PLA-SUB-MC</t>
  </si>
  <si>
    <t xml:space="preserve">Polera de presentación Sublim m/c</t>
  </si>
  <si>
    <t xml:space="preserve">POL-CSUB-POL-MC</t>
  </si>
  <si>
    <t xml:space="preserve">Polera Playmaker, Cuello Redondo m/c</t>
  </si>
  <si>
    <t xml:space="preserve">RUGCSUBPRO</t>
  </si>
  <si>
    <t xml:space="preserve">Camiseta Rugby Pro Pmk</t>
  </si>
  <si>
    <t xml:space="preserve">MDBZCOMENTPITSUB</t>
  </si>
  <si>
    <t xml:space="preserve">Conjunto Polerón de Entrenamiento + Buzo Pitillo Subl</t>
  </si>
  <si>
    <t xml:space="preserve">Son 2 prendas: armar como kit (polerón + pantalón).</t>
  </si>
  <si>
    <t xml:space="preserve">FUTCSUBPROPIQMC</t>
  </si>
  <si>
    <t xml:space="preserve">Camiseta Fútbol Pro Playmaker, Piqué m/c</t>
  </si>
  <si>
    <t xml:space="preserve">RUNCSUBPROSM</t>
  </si>
  <si>
    <t xml:space="preserve">Camiseta Running Pro s/m</t>
  </si>
  <si>
    <t xml:space="preserve">5K NACIONAL (running pro)</t>
  </si>
  <si>
    <t xml:space="preserve">Camiseta De Running</t>
  </si>
  <si>
    <t xml:space="preserve">Ficha OT 2223 (25 prendas). Metros 1,2 viene de la receta anterior, sin ficha: confirmar.</t>
  </si>
  <si>
    <t xml:space="preserve">SAL-CTV-SUB-SG</t>
  </si>
  <si>
    <t xml:space="preserve">CORTAVIENTO SUBLIMADO</t>
  </si>
  <si>
    <t xml:space="preserve">RUG-SHO-BAS</t>
  </si>
  <si>
    <t xml:space="preserve">Short Rugby Basic</t>
  </si>
  <si>
    <t xml:space="preserve">GABARDINA</t>
  </si>
  <si>
    <t xml:space="preserve">Short De Rugby</t>
  </si>
  <si>
    <t xml:space="preserve">Ficha OT 205 (19 prendas). El sistema anterior usaba confección de short de fútbol ($1.700); se cambió a Short De Rugby ($2.200).</t>
  </si>
  <si>
    <t xml:space="preserve">SALPTPESUB</t>
  </si>
  <si>
    <t xml:space="preserve">Conjunto Polerón de Entrenamiento + Pitillo</t>
  </si>
  <si>
    <t xml:space="preserve">FUTSHOLIS</t>
  </si>
  <si>
    <t xml:space="preserve">Short Fútbol Playmaker Liso</t>
  </si>
  <si>
    <t xml:space="preserve">Short De Futbol</t>
  </si>
  <si>
    <t xml:space="preserve">Promedio OT 2547 (0,175) y OT 2588 (0,138). Liso = sin impresión (0 m): confirmar.</t>
  </si>
  <si>
    <t xml:space="preserve">VOLFEMCSUBPROV</t>
  </si>
  <si>
    <t xml:space="preserve">Camiseta Voley fem Pro Playmaker, V</t>
  </si>
  <si>
    <t xml:space="preserve">MDPTSUB</t>
  </si>
  <si>
    <t xml:space="preserve">PETO ENTRENAMIENTO SUB</t>
  </si>
  <si>
    <t xml:space="preserve">Peto Entrenamiento</t>
  </si>
  <si>
    <t xml:space="preserve">MDCSUBOVA</t>
  </si>
  <si>
    <t xml:space="preserve">Polera Playmaker, Cuello Oval s/mangas</t>
  </si>
  <si>
    <t xml:space="preserve">SALHOOLIS</t>
  </si>
  <si>
    <t xml:space="preserve">Polerón Hoodie Playmaker liso</t>
  </si>
  <si>
    <t xml:space="preserve">Poleron Hoodie</t>
  </si>
  <si>
    <t xml:space="preserve">CSUBRUGSFBLANCA</t>
  </si>
  <si>
    <t xml:space="preserve">CAMISETA DE RUGBY STADE FRANCAIS ANIVERSARIO (BLANCA)</t>
  </si>
  <si>
    <t xml:space="preserve">SAL-POL-3C</t>
  </si>
  <si>
    <t xml:space="preserve">Polerón 3C Playmaker Algodón Cierre</t>
  </si>
  <si>
    <t xml:space="preserve">VOLMASC-CSUB-POL-CER</t>
  </si>
  <si>
    <t xml:space="preserve">Camiseta Voley masc Playmaker, Polo m/cero</t>
  </si>
  <si>
    <t xml:space="preserve">SALPRKLIS</t>
  </si>
  <si>
    <t xml:space="preserve">Parka Lisa Playmaker</t>
  </si>
  <si>
    <t xml:space="preserve">RUG-SHO-PRO</t>
  </si>
  <si>
    <t xml:space="preserve">Short Rugby Pro</t>
  </si>
  <si>
    <t xml:space="preserve">SAL-POL-SUB</t>
  </si>
  <si>
    <t xml:space="preserve">Polerón Entrenamiento Sublim</t>
  </si>
  <si>
    <t xml:space="preserve">RUGCSUBPER</t>
  </si>
  <si>
    <t xml:space="preserve">Camiseta Rugby Performance Pmk</t>
  </si>
  <si>
    <t xml:space="preserve">FUTCSUBML</t>
  </si>
  <si>
    <t xml:space="preserve">Camiseta Fútbol Playmaker, m/l</t>
  </si>
  <si>
    <t xml:space="preserve">FALTA CONSUMO. Manga larga gasta más tela que m/c.</t>
  </si>
  <si>
    <t xml:space="preserve">SALALMLLISA</t>
  </si>
  <si>
    <t xml:space="preserve">Camiseta Algodón Manga Larga Lisa</t>
  </si>
  <si>
    <t xml:space="preserve">RUG-CSUB-PIQ</t>
  </si>
  <si>
    <t xml:space="preserve">Camiseta Rugby Playmaker, Vintage</t>
  </si>
  <si>
    <t xml:space="preserve">VOL-CSUB-SAL-MC</t>
  </si>
  <si>
    <t xml:space="preserve">Camiseta Salida de Cancha Voley m/c</t>
  </si>
  <si>
    <t xml:space="preserve">CSUBVOLFEMVSM</t>
  </si>
  <si>
    <t xml:space="preserve">CAMISETA VOLEY FEM V  S/M PLAYMAKER</t>
  </si>
  <si>
    <t xml:space="preserve">RUG-CSUB-LIC</t>
  </si>
  <si>
    <t xml:space="preserve">Camiseta Rugby Playmaker, Low Profile</t>
  </si>
  <si>
    <t xml:space="preserve">RUNCSUBPROMC</t>
  </si>
  <si>
    <t xml:space="preserve">Camiseta Running Pro m/c</t>
  </si>
  <si>
    <t xml:space="preserve">Camiseta Running Con Manga</t>
  </si>
  <si>
    <t xml:space="preserve">La ficha OT 2223 (0,082 kg) es s/m; con manga gasta más. Falta consumo.</t>
  </si>
  <si>
    <t xml:space="preserve">SAL-SHO-SUB</t>
  </si>
  <si>
    <t xml:space="preserve">SHORT SALIDA SUB</t>
  </si>
  <si>
    <t xml:space="preserve">Short De Salida</t>
  </si>
  <si>
    <t xml:space="preserve">FUTCSUBPIQMC</t>
  </si>
  <si>
    <t xml:space="preserve">Camiseta Fútbol Playmaker, Piqué m/c</t>
  </si>
  <si>
    <t xml:space="preserve">FUTCSUBPROMC-V</t>
  </si>
  <si>
    <t xml:space="preserve">Camiseta Fútbol Pro Playmaker, V m/c</t>
  </si>
  <si>
    <t xml:space="preserve">Igual que Pro cuello redondo (OT 2547). Cuello V puede variar.</t>
  </si>
  <si>
    <t xml:space="preserve">BASCSUBPER</t>
  </si>
  <si>
    <t xml:space="preserve">Camiseta Básquetbol Performance</t>
  </si>
  <si>
    <t xml:space="preserve">QUICKDRY</t>
  </si>
  <si>
    <t xml:space="preserve">Camiseta De Basket</t>
  </si>
  <si>
    <t xml:space="preserve">Ficha OT 2425 solo camiseta (3,45 kg / 17). El sistema anterior mezclaba camiseta + short (0,178). Falta metros.</t>
  </si>
  <si>
    <t xml:space="preserve">VOL-SHO-SUB</t>
  </si>
  <si>
    <t xml:space="preserve">Short Fútbol Playmaker Sublimado</t>
  </si>
  <si>
    <t xml:space="preserve">Consumo del short liso (OT 2547 y 2588). Falta metros impresos.</t>
  </si>
  <si>
    <t xml:space="preserve">VOLFEM-CSUBPRO-POL</t>
  </si>
  <si>
    <t xml:space="preserve">Camiseta Voley fem Pro Playmaker, Polo</t>
  </si>
  <si>
    <t xml:space="preserve">CSUBRUGSFBLAZUL</t>
  </si>
  <si>
    <t xml:space="preserve">CAMISETA DE RUGBY STADE FRANCAIS ANIVERSARIO (AZUL)</t>
  </si>
  <si>
    <t xml:space="preserve">MDPTLIS</t>
  </si>
  <si>
    <t xml:space="preserve">PETO ENTRENAMIENTO LISO</t>
  </si>
  <si>
    <t xml:space="preserve">RUNCSUBPERSM</t>
  </si>
  <si>
    <t xml:space="preserve">Camiseta Running Performance s/m</t>
  </si>
  <si>
    <t xml:space="preserve">SAL-BUZ-LIS-RT</t>
  </si>
  <si>
    <t xml:space="preserve">Pantalón Buzo Playmaker Liso Recto</t>
  </si>
  <si>
    <t xml:space="preserve">Pantalon No Pitillo</t>
  </si>
  <si>
    <t xml:space="preserve">SAL-BUZ-LIS</t>
  </si>
  <si>
    <t xml:space="preserve">Pantalón Buzo Playmaker Liso Pitillo</t>
  </si>
  <si>
    <t xml:space="preserve">Pantalon Pitillo</t>
  </si>
  <si>
    <t xml:space="preserve">RUNCSUBPERMC</t>
  </si>
  <si>
    <t xml:space="preserve">Camiseta Running Performance m/c</t>
  </si>
  <si>
    <t xml:space="preserve">HCKCSUBOVA</t>
  </si>
  <si>
    <t xml:space="preserve">Camiseta Hockey Playmaker, Cuello Ova s/mangas</t>
  </si>
  <si>
    <t xml:space="preserve">Camiseta De Hockey</t>
  </si>
  <si>
    <t xml:space="preserve">HCK-FAL-LIS</t>
  </si>
  <si>
    <t xml:space="preserve">Falda Short Hockey Playmaker lisa</t>
  </si>
  <si>
    <t xml:space="preserve">MDCALLARPMK</t>
  </si>
  <si>
    <t xml:space="preserve">Calza larga fem Playmaker</t>
  </si>
  <si>
    <t xml:space="preserve">Calza Larga</t>
  </si>
  <si>
    <t xml:space="preserve">SAL-HOO-APSUB</t>
  </si>
  <si>
    <t xml:space="preserve">Polerón Hoodie Aplicación Sublim</t>
  </si>
  <si>
    <t xml:space="preserve">SAL-POL-BAS</t>
  </si>
  <si>
    <t xml:space="preserve">POLERON BASIC</t>
  </si>
  <si>
    <t xml:space="preserve">CSUBVMC</t>
  </si>
  <si>
    <t xml:space="preserve">Polera Playmaker, Subl V m/c</t>
  </si>
  <si>
    <t xml:space="preserve">BAS-CSUB-SAL-ML</t>
  </si>
  <si>
    <t xml:space="preserve">Camiseta Salida de Cancha Básquetbol m/l</t>
  </si>
  <si>
    <t xml:space="preserve">VOLMASC-CSUB-POL-MC</t>
  </si>
  <si>
    <t xml:space="preserve">Camiseta Voley masc Playmaker, Polo m/c</t>
  </si>
  <si>
    <t xml:space="preserve">ENTPOLMANSUBL</t>
  </si>
  <si>
    <t xml:space="preserve">Polerón de Entrenamiento Mangas Sublimadas</t>
  </si>
  <si>
    <t xml:space="preserve">POL-CSUB-POL-ML</t>
  </si>
  <si>
    <t xml:space="preserve">Polera Playmaker, Cuello Redondo m/l</t>
  </si>
  <si>
    <t xml:space="preserve">RUGCSUSILV</t>
  </si>
  <si>
    <t xml:space="preserve">Camiseta Rugby Silver Pmk</t>
  </si>
  <si>
    <t xml:space="preserve">SALPLASUB</t>
  </si>
  <si>
    <t xml:space="preserve">Polera de Presentación Sublim m/l</t>
  </si>
  <si>
    <t xml:space="preserve">VOLFEMCSUBPOL</t>
  </si>
  <si>
    <t xml:space="preserve">Camiseta Voley fem Playmaker, Polo</t>
  </si>
  <si>
    <t xml:space="preserve">POLENTSUB</t>
  </si>
  <si>
    <t xml:space="preserve">POLERON  DE ENTRENAMIENTO SUBLIMADO MEDIO CIERRE</t>
  </si>
  <si>
    <t xml:space="preserve">POL-CSUB-V-MC</t>
  </si>
  <si>
    <t xml:space="preserve">Polera Playmaker, V m/c</t>
  </si>
  <si>
    <t xml:space="preserve">RUGCSUBENTMC</t>
  </si>
  <si>
    <t xml:space="preserve">Camiseta de entrenamiento Rugby,m/c</t>
  </si>
  <si>
    <t xml:space="preserve">MDCALCORPMK</t>
  </si>
  <si>
    <t xml:space="preserve">Calza corta fem Playmaker</t>
  </si>
  <si>
    <t xml:space="preserve">LYCRA</t>
  </si>
  <si>
    <t xml:space="preserve">Calza</t>
  </si>
  <si>
    <t xml:space="preserve">Ficha OT 2642 (5 calzas vóley). La Lycra no tiene precio todavía.</t>
  </si>
  <si>
    <t xml:space="preserve">SAL-SHO-LIS</t>
  </si>
  <si>
    <t xml:space="preserve">Short Salida con bolsillos</t>
  </si>
  <si>
    <t xml:space="preserve">ENT-POL-MANSUBL</t>
  </si>
  <si>
    <t xml:space="preserve">POLERON DE ENTRENAMIENTO  MANGAS SUBLIMADAS MASC</t>
  </si>
  <si>
    <t xml:space="preserve">VOLMASC-CSUB-V-CER</t>
  </si>
  <si>
    <t xml:space="preserve">Camiseta Voley masc Playmaker, V m/cero</t>
  </si>
  <si>
    <t xml:space="preserve">SAL-POL-MGSUB</t>
  </si>
  <si>
    <t xml:space="preserve">Polerón Entrenamiento liso con mangas Sublim</t>
  </si>
  <si>
    <t xml:space="preserve">VOLMASC-CSUBPRO-V-MC</t>
  </si>
  <si>
    <t xml:space="preserve">Camiseta Voley masc Pro Playmaker, V m/c</t>
  </si>
  <si>
    <t xml:space="preserve">RUG-CSUB-POL</t>
  </si>
  <si>
    <t xml:space="preserve">Camiseta Rugby Playmaker, Polo</t>
  </si>
  <si>
    <t xml:space="preserve">LZO-2</t>
  </si>
  <si>
    <t xml:space="preserve">Lienzo 1.5x2</t>
  </si>
  <si>
    <t xml:space="preserve">Lienzo</t>
  </si>
  <si>
    <t xml:space="preserve">FUTJINSUB</t>
  </si>
  <si>
    <t xml:space="preserve">Jineta de Capitán Subl</t>
  </si>
  <si>
    <t xml:space="preserve">SAL-POL-ALG-LIS</t>
  </si>
  <si>
    <t xml:space="preserve">POLERÓN ALGODÓN CON CAPUCHA PMK</t>
  </si>
  <si>
    <t xml:space="preserve">PARÁMETROS — recargo, meta de ganancia y costo de impresión</t>
  </si>
  <si>
    <t xml:space="preserve">Azul = lo editas tú. Gris = se calcula solo.</t>
  </si>
  <si>
    <t xml:space="preserve">1) RECARGO POR GASTOS FIJOS (promedio de los últimos 3 meses, se revisa cada trimestre)</t>
  </si>
  <si>
    <t xml:space="preserve">Gastos de fábrica — promedio mensual</t>
  </si>
  <si>
    <t xml:space="preserve">Desde Gastos_Ventas</t>
  </si>
  <si>
    <t xml:space="preserve">Gastos comerciales — promedio mensual</t>
  </si>
  <si>
    <t xml:space="preserve">Ventas netas — promedio mensual</t>
  </si>
  <si>
    <t xml:space="preserve">Recargo de fábrica calculado</t>
  </si>
  <si>
    <t xml:space="preserve">Gastos de fábrica ÷ ventas</t>
  </si>
  <si>
    <t xml:space="preserve">Recargo comercial calculado</t>
  </si>
  <si>
    <t xml:space="preserve">Gastos comerciales ÷ ventas</t>
  </si>
  <si>
    <t xml:space="preserve">Recargo de fábrica fijado a mano (opcional)</t>
  </si>
  <si>
    <t xml:space="preserve">Vacío = usa el calculado. Escribe un % solo si quieres fijarlo.</t>
  </si>
  <si>
    <t xml:space="preserve">Recargo comercial fijado a mano (opcional)</t>
  </si>
  <si>
    <t xml:space="preserve">Vacío = usa el calculado.</t>
  </si>
  <si>
    <t xml:space="preserve">RECARGO DE FÁBRICA USADO</t>
  </si>
  <si>
    <t xml:space="preserve">Lo usan todas las recetas</t>
  </si>
  <si>
    <t xml:space="preserve">RECARGO COMERCIAL USADO</t>
  </si>
  <si>
    <t xml:space="preserve">RECARGO TOTAL</t>
  </si>
  <si>
    <t xml:space="preserve">De cada $100 que vendes, este monto se va en pagar gastos fijos.</t>
  </si>
  <si>
    <t xml:space="preserve">Próxima revisión del recargo</t>
  </si>
  <si>
    <t xml:space="preserve">Diciembre 2026</t>
  </si>
  <si>
    <t xml:space="preserve">Usar septiembre, octubre y noviembre.</t>
  </si>
  <si>
    <t xml:space="preserve">2) META DE GANANCIA</t>
  </si>
  <si>
    <t xml:space="preserve">Ganancia deseada (% del precio de venta)</t>
  </si>
  <si>
    <t xml:space="preserve">POR CONFIRMAR: 10% es solo un ejemplo. Define tu meta.</t>
  </si>
  <si>
    <t xml:space="preserve">3) COSTO DE IMPRESIÓN (papel + tinta) por metro impreso</t>
  </si>
  <si>
    <t xml:space="preserve">Papel sublimación — precio del rollo ($)</t>
  </si>
  <si>
    <t xml:space="preserve">POR CONFIRMAR: en tu archivo dice $50.420 "por kg". ¿Es el precio del rollo?</t>
  </si>
  <si>
    <t xml:space="preserve">Papel — metros que rinde el rollo</t>
  </si>
  <si>
    <t xml:space="preserve">PENDIENTE: ¿cuántos metros trae el rollo?</t>
  </si>
  <si>
    <t xml:space="preserve">Tinta — precio por litro ($)</t>
  </si>
  <si>
    <t xml:space="preserve">POR CONFIRMAR: precio de la tinta magenta. ¿Los otros colores cuestan lo mismo?</t>
  </si>
  <si>
    <t xml:space="preserve">Tinta — ml que gasta 1 metro impreso</t>
  </si>
  <si>
    <t xml:space="preserve">PENDIENTE: litros gastados en el mes ÷ metros impresos (Control de Ploteo) × 1000.</t>
  </si>
  <si>
    <t xml:space="preserve">Papel por metro</t>
  </si>
  <si>
    <t xml:space="preserve">Se calcula solo</t>
  </si>
  <si>
    <t xml:space="preserve">Tinta por metro</t>
  </si>
  <si>
    <t xml:space="preserve">COSTO DE IMPRESIÓN POR METRO</t>
  </si>
  <si>
    <t xml:space="preserve">Mientras esté en $0, las prendas sublimadas salen más baratas de lo real.</t>
  </si>
  <si>
    <t xml:space="preserve">4) POR QUÉ LOS SUELDOS NO VAN EN LA RECETA</t>
  </si>
  <si>
    <t xml:space="preserve">Los sueldos de ploteo, sublimación, corte y estampado se pagan completos cada mes, se produzca mucho o poco. Por eso van en "Gastos de fábrica" y llegan a cada prenda a través del recargo. Si además se cobraran dentro de la receta (como hacía el sistema anterior), se contarían dos veces. La receta solo lleva lo que se gasta por cada prenda: tela, papel y tinta, taller de confección y avíos.</t>
  </si>
  <si>
    <t xml:space="preserve">GASTOS FIJOS Y VENTAS — últimos 3 meses</t>
  </si>
  <si>
    <t xml:space="preserve">Cada trimestre escribe los 3 meses más recientes. El promedio y el recargo se recalculan solos.</t>
  </si>
  <si>
    <t xml:space="preserve">Concepto</t>
  </si>
  <si>
    <t xml:space="preserve">Grupo</t>
  </si>
  <si>
    <t xml:space="preserve">Jun-2026</t>
  </si>
  <si>
    <t xml:space="preserve">Jul-2026</t>
  </si>
  <si>
    <t xml:space="preserve">Ago-2026</t>
  </si>
  <si>
    <t xml:space="preserve">Promedio 3 meses</t>
  </si>
  <si>
    <t xml:space="preserve">Nota</t>
  </si>
  <si>
    <t xml:space="preserve">Ploteo</t>
  </si>
  <si>
    <t xml:space="preserve">Fábrica</t>
  </si>
  <si>
    <t xml:space="preserve">Sueldo: se paga igual haya o no producción → va en gastos, no en la receta.</t>
  </si>
  <si>
    <t xml:space="preserve">Sublimación</t>
  </si>
  <si>
    <t xml:space="preserve">Corte</t>
  </si>
  <si>
    <t xml:space="preserve">Confección interna</t>
  </si>
  <si>
    <t xml:space="preserve">Estampado</t>
  </si>
  <si>
    <t xml:space="preserve">Luz</t>
  </si>
  <si>
    <t xml:space="preserve">Agua</t>
  </si>
  <si>
    <t xml:space="preserve">Telefonía</t>
  </si>
  <si>
    <t xml:space="preserve">Arriendo</t>
  </si>
  <si>
    <t xml:space="preserve">Internet</t>
  </si>
  <si>
    <t xml:space="preserve">Mantención de máquinas</t>
  </si>
  <si>
    <t xml:space="preserve">Seguridad</t>
  </si>
  <si>
    <t xml:space="preserve">Insumos de limpieza (aseo)</t>
  </si>
  <si>
    <t xml:space="preserve">Insumos de oficina</t>
  </si>
  <si>
    <t xml:space="preserve">Bencina</t>
  </si>
  <si>
    <t xml:space="preserve">Jefe de producción (sueldo)</t>
  </si>
  <si>
    <t xml:space="preserve">Fichas técnicas (sueldo)</t>
  </si>
  <si>
    <t xml:space="preserve">Apoyo producción (sueldo)</t>
  </si>
  <si>
    <t xml:space="preserve">Personal aseo (sueldo)</t>
  </si>
  <si>
    <t xml:space="preserve">CEO (sueldo)</t>
  </si>
  <si>
    <t xml:space="preserve">Comercial</t>
  </si>
  <si>
    <t xml:space="preserve">Administración (sueldo)</t>
  </si>
  <si>
    <t xml:space="preserve">Ventas (sueldo)</t>
  </si>
  <si>
    <t xml:space="preserve">Marketing (sueldo)</t>
  </si>
  <si>
    <t xml:space="preserve">Audiovisual / contenido (sueldo)</t>
  </si>
  <si>
    <t xml:space="preserve">Facebook / Instagram Ads</t>
  </si>
  <si>
    <t xml:space="preserve">Google Ads</t>
  </si>
  <si>
    <t xml:space="preserve">Agencia de marketing</t>
  </si>
  <si>
    <t xml:space="preserve">Herramientas de IA</t>
  </si>
  <si>
    <t xml:space="preserve">Software (Canva, Adobe, etc.)</t>
  </si>
  <si>
    <t xml:space="preserve">Uber</t>
  </si>
  <si>
    <t xml:space="preserve">← filas libres para agregar gastos</t>
  </si>
  <si>
    <t xml:space="preserve">TOTAL GASTOS DE FÁBRICA</t>
  </si>
  <si>
    <t xml:space="preserve">TOTAL GASTOS COMERCIALES</t>
  </si>
  <si>
    <t xml:space="preserve">TOTAL GASTOS FIJOS</t>
  </si>
  <si>
    <t xml:space="preserve">VENTAS NETAS DEL MES ($)</t>
  </si>
  <si>
    <t xml:space="preserve">Fuente: hoja Proyectos_PMK (export Parrotfy), suma de Neto $ por mes. Septiembre no se usa: el export llega solo hasta el 5-sep.</t>
  </si>
  <si>
    <t xml:space="preserve">POR CONFIRMAR: el archivo original trae un solo mes de gastos; se repitió en los 3 meses. Reemplazar con el gasto real de cada mes.</t>
  </si>
  <si>
    <t xml:space="preserve">Fábrica = lo que cuesta tener la fábrica funcionando (arriendo, luz, todos los sueldos de producción). Comercial = vender (sueldos de ventas y marketing, publicidad). Puedes cambiar el grupo de cualquier línea.</t>
  </si>
  <si>
    <t xml:space="preserve">PRECIOS DE TELAS Y AVÍOS — neto, sin IVA</t>
  </si>
  <si>
    <t xml:space="preserve">Fuente: hoja 3_Insumos del Sistema de Costeo v2. Al cambiar un precio se actualizan todas las recetas. Cuando lo verifiques, cambia el estado a "Confirmado".</t>
  </si>
  <si>
    <t xml:space="preserve">Insumo</t>
  </si>
  <si>
    <t xml:space="preserve">Unidad</t>
  </si>
  <si>
    <t xml:space="preserve">Precio neto ($)</t>
  </si>
  <si>
    <t xml:space="preserve">Estado</t>
  </si>
  <si>
    <t xml:space="preserve">Tela</t>
  </si>
  <si>
    <t xml:space="preserve">kg</t>
  </si>
  <si>
    <t xml:space="preserve">LONDRES BLANCO</t>
  </si>
  <si>
    <t xml:space="preserve">CIRE AZUL</t>
  </si>
  <si>
    <t xml:space="preserve">FRANELA</t>
  </si>
  <si>
    <t xml:space="preserve">PIQUE SELECCION</t>
  </si>
  <si>
    <t xml:space="preserve">MICROFIBRA</t>
  </si>
  <si>
    <t xml:space="preserve">CIRE MICROFIBRA AZUL REY</t>
  </si>
  <si>
    <t xml:space="preserve">SCUBA</t>
  </si>
  <si>
    <t xml:space="preserve">GLOBAL</t>
  </si>
  <si>
    <t xml:space="preserve">PIQUE RUGBY</t>
  </si>
  <si>
    <t xml:space="preserve">CORDERITO</t>
  </si>
  <si>
    <t xml:space="preserve">MICROFIBRA CIRE COLORES</t>
  </si>
  <si>
    <t xml:space="preserve">BASQUET BLANCO</t>
  </si>
  <si>
    <t xml:space="preserve">PIQUE TENIS BLANCO</t>
  </si>
  <si>
    <t xml:space="preserve">DEPORTIVO COLOR</t>
  </si>
  <si>
    <t xml:space="preserve">GABARDINA 8Z</t>
  </si>
  <si>
    <t xml:space="preserve">FRANELA POLIESTER</t>
  </si>
  <si>
    <t xml:space="preserve">GABARDINA 7Z</t>
  </si>
  <si>
    <t xml:space="preserve">FALCAO</t>
  </si>
  <si>
    <t xml:space="preserve">RUGBY IRLANDA</t>
  </si>
  <si>
    <t xml:space="preserve">LYCRA GRIS OSCURA</t>
  </si>
  <si>
    <t xml:space="preserve">COTTON</t>
  </si>
  <si>
    <t xml:space="preserve">JACQUARD TECH</t>
  </si>
  <si>
    <t xml:space="preserve">JACQUARD BYTES</t>
  </si>
  <si>
    <t xml:space="preserve">SIN PRECIO</t>
  </si>
  <si>
    <t xml:space="preserve">MALLA DEPORTIVA BLANCO</t>
  </si>
  <si>
    <t xml:space="preserve">Estaba en avíos, pero se compra por kg como tela.</t>
  </si>
  <si>
    <t xml:space="preserve">NOVAK</t>
  </si>
  <si>
    <t xml:space="preserve">THERMAFLEECE</t>
  </si>
  <si>
    <t xml:space="preserve">Cuello</t>
  </si>
  <si>
    <t xml:space="preserve">Avío</t>
  </si>
  <si>
    <t xml:space="preserve">unidad</t>
  </si>
  <si>
    <t xml:space="preserve">Precio marcado "estimado" en el archivo original.</t>
  </si>
  <si>
    <t xml:space="preserve">Puño</t>
  </si>
  <si>
    <t xml:space="preserve">$8.500 por unidad parece alto: ¿es por kg?</t>
  </si>
  <si>
    <t xml:space="preserve">Tapacuello</t>
  </si>
  <si>
    <t xml:space="preserve">Hilo</t>
  </si>
  <si>
    <t xml:space="preserve">Etiqueta</t>
  </si>
  <si>
    <t xml:space="preserve">Cierre</t>
  </si>
  <si>
    <t xml:space="preserve">Cordón</t>
  </si>
  <si>
    <t xml:space="preserve">Elástico</t>
  </si>
  <si>
    <t xml:space="preserve">Forro</t>
  </si>
  <si>
    <t xml:space="preserve">Cremallera bolsillo</t>
  </si>
  <si>
    <t xml:space="preserve">CONFECCIÓN — valor que se paga al taller por prenda (neto, con planchado)</t>
  </si>
  <si>
    <t xml:space="preserve">Fuente: hoja Talleres_Confección del Sistema de Costeo v2. Agrega tipos nuevos al final.</t>
  </si>
  <si>
    <t xml:space="preserve">Tipo de prenda</t>
  </si>
  <si>
    <t xml:space="preserve">Valor con planchado ($)</t>
  </si>
  <si>
    <t xml:space="preserve">Sin planchado (ref.)</t>
  </si>
  <si>
    <t xml:space="preserve">Camiseta De Futbol Retro</t>
  </si>
  <si>
    <t xml:space="preserve">Camiseta De Basket Pro</t>
  </si>
  <si>
    <t xml:space="preserve">Short De Basket Pro</t>
  </si>
  <si>
    <t xml:space="preserve">Short De Basket</t>
  </si>
  <si>
    <t xml:space="preserve">Short De Basket Reversible</t>
  </si>
  <si>
    <t xml:space="preserve">Camiseta De Basket Reversible</t>
  </si>
  <si>
    <t xml:space="preserve">Camiseta De Rugby Básica</t>
  </si>
  <si>
    <t xml:space="preserve">Camiseta De Rugby Lycra</t>
  </si>
  <si>
    <t xml:space="preserve">Ojo: sin planchado sale MÁS caro que con planchado. Revisar.</t>
  </si>
  <si>
    <t xml:space="preserve">Camiseta Futbol Molde 2026 (Raglan)</t>
  </si>
  <si>
    <t xml:space="preserve">Camiseta Futbol Fem Santiago Morning</t>
  </si>
  <si>
    <t xml:space="preserve">Short Fem Con Tajali</t>
  </si>
  <si>
    <t xml:space="preserve">Camiseta De Hockey Franja</t>
  </si>
  <si>
    <t xml:space="preserve">Calza-Falda</t>
  </si>
  <si>
    <t xml:space="preserve">Poleron Entrenamiento Raglan</t>
  </si>
  <si>
    <t xml:space="preserve">Camiseta De Salida Con Hojal Y Boton</t>
  </si>
  <si>
    <t xml:space="preserve">Camiseta De Salida Sin Hojal Ni Boton</t>
  </si>
  <si>
    <t xml:space="preserve">Camiseta De Salida Con Cuello Y Puño Tejido Con Boton</t>
  </si>
  <si>
    <t xml:space="preserve">Camiseta De Salida Con Cuello Y Puño Tejido Sin Boton</t>
  </si>
  <si>
    <t xml:space="preserve">Camiseta Kimono</t>
  </si>
  <si>
    <t xml:space="preserve">Camiseta Retro</t>
  </si>
  <si>
    <t xml:space="preserve">Multideporte</t>
  </si>
  <si>
    <t xml:space="preserve">Poleron Polo</t>
  </si>
  <si>
    <t xml:space="preserve">Parka Larga 2025</t>
  </si>
  <si>
    <t xml:space="preserve">Camiseta Rugby Con Cuello</t>
  </si>
  <si>
    <t xml:space="preserve">Poleron Oversize 3C</t>
  </si>
  <si>
    <t xml:space="preserve">Cortaviento Con Capucha</t>
  </si>
  <si>
    <t xml:space="preserve">Cortaviento Sin Capucha</t>
  </si>
  <si>
    <t xml:space="preserve">Poleron Hoodie Corte Mangas</t>
  </si>
  <si>
    <t xml:space="preserve">Bolso</t>
  </si>
  <si>
    <t xml:space="preserve">Colett</t>
  </si>
  <si>
    <t xml:space="preserve">CATÁLOGO — qué productos ya tienen receta completa</t>
  </si>
  <si>
    <t xml:space="preserve">Todos los productos vendidos jun–sep 2026, de mayor a menor unidades (fuente: 2_Catálogo). Los kits se costean después sumando sus partes.</t>
  </si>
  <si>
    <t xml:space="preserve">Unidades vendidas</t>
  </si>
  <si>
    <t xml:space="preserve">Precio real prom. ($)</t>
  </si>
  <si>
    <t xml:space="preserve">Estado receta</t>
  </si>
  <si>
    <t xml:space="preserve">Código Histórico</t>
  </si>
  <si>
    <t xml:space="preserve">Unidades</t>
  </si>
  <si>
    <t xml:space="preserve">Precio Real Prom.</t>
  </si>
  <si>
    <t xml:space="preserve">DUODIAFUTB</t>
  </si>
  <si>
    <t xml:space="preserve">Dúo Pack Diamante Fútbol</t>
  </si>
  <si>
    <t xml:space="preserve">KIT/DÚO</t>
  </si>
  <si>
    <t xml:space="preserve">ESCDTF10</t>
  </si>
  <si>
    <t xml:space="preserve">Escudo en DTF10cm</t>
  </si>
  <si>
    <t xml:space="preserve">ADICIONAL</t>
  </si>
  <si>
    <t xml:space="preserve">KITOROFUTB</t>
  </si>
  <si>
    <t xml:space="preserve">Kit Oro Fútbol</t>
  </si>
  <si>
    <t xml:space="preserve">ESCTEX10</t>
  </si>
  <si>
    <t xml:space="preserve">Escudo Texturizado10cm</t>
  </si>
  <si>
    <t xml:space="preserve">MEDPROPERCP</t>
  </si>
  <si>
    <t xml:space="preserve">Medias Pro Personalizadas PMK</t>
  </si>
  <si>
    <t xml:space="preserve">EXTERNO/REVENTA</t>
  </si>
  <si>
    <t xml:space="preserve">ESC-PRO-10CM</t>
  </si>
  <si>
    <t xml:space="preserve">ESCUDO PRO 10CM</t>
  </si>
  <si>
    <t xml:space="preserve">JUEGO/COMPETENCIA</t>
  </si>
  <si>
    <t xml:space="preserve">EXT-CUE-PIQ</t>
  </si>
  <si>
    <t xml:space="preserve">EXTRA CUELLO PIQUÉ</t>
  </si>
  <si>
    <t xml:space="preserve">KITDIAFUTB</t>
  </si>
  <si>
    <t xml:space="preserve">Kit Diamante Fútbol</t>
  </si>
  <si>
    <t xml:space="preserve">EXT-CUE-V</t>
  </si>
  <si>
    <t xml:space="preserve">Extra Cuello V</t>
  </si>
  <si>
    <t xml:space="preserve">EXTPRIORI</t>
  </si>
  <si>
    <t xml:space="preserve">Priorizado</t>
  </si>
  <si>
    <t xml:space="preserve">SALIDA/PRESENTACIÓN</t>
  </si>
  <si>
    <t xml:space="preserve">DUOORFUTB</t>
  </si>
  <si>
    <t xml:space="preserve">Dúo Pack Oro Fútbol</t>
  </si>
  <si>
    <t xml:space="preserve">DUOORBASK</t>
  </si>
  <si>
    <t xml:space="preserve">Dúo Pack Oro Básket</t>
  </si>
  <si>
    <t xml:space="preserve">EXTCUEPIQ</t>
  </si>
  <si>
    <t xml:space="preserve">Extra Cuello Piqué</t>
  </si>
  <si>
    <t xml:space="preserve">ESC-DTF-10CM</t>
  </si>
  <si>
    <t xml:space="preserve">ESCUDO COLORES 10CM</t>
  </si>
  <si>
    <t xml:space="preserve">EXT-ML</t>
  </si>
  <si>
    <t xml:space="preserve">EXTRA MANGA LARGA</t>
  </si>
  <si>
    <t xml:space="preserve">DUOPLFUTB</t>
  </si>
  <si>
    <t xml:space="preserve">Dúo Pack Plata Fútbol</t>
  </si>
  <si>
    <t xml:space="preserve">ESCDTF20</t>
  </si>
  <si>
    <t xml:space="preserve">Escudo en DTF 20cm</t>
  </si>
  <si>
    <t xml:space="preserve">DUOPLABASKREV</t>
  </si>
  <si>
    <t xml:space="preserve">DÚO PACK PLATA BASKET REVERSIBLE</t>
  </si>
  <si>
    <t xml:space="preserve">DUODIAHOCKFEM</t>
  </si>
  <si>
    <t xml:space="preserve">Dúo Pack Diamante Hockey Fem</t>
  </si>
  <si>
    <t xml:space="preserve">DUOORRUGBMAS</t>
  </si>
  <si>
    <t xml:space="preserve">Dúo Pack Oro Rugby Mas</t>
  </si>
  <si>
    <t xml:space="preserve">DUOORVOLFEM</t>
  </si>
  <si>
    <t xml:space="preserve">Dúo Pack Oro Voley Fem</t>
  </si>
  <si>
    <t xml:space="preserve">ESCVIN10</t>
  </si>
  <si>
    <t xml:space="preserve">Escudo Vinilo 1 color 10cm</t>
  </si>
  <si>
    <t xml:space="preserve">KITPLFUTB</t>
  </si>
  <si>
    <t xml:space="preserve">Kit Plata Fútbol</t>
  </si>
  <si>
    <t xml:space="preserve">DUOPLBASK</t>
  </si>
  <si>
    <t xml:space="preserve">Dúo Pack Plata Básket</t>
  </si>
  <si>
    <t xml:space="preserve">MEDLISPMKCP</t>
  </si>
  <si>
    <t xml:space="preserve">Medias Playmaker Lisas c/p</t>
  </si>
  <si>
    <t xml:space="preserve">KITOROFUTBMAS</t>
  </si>
  <si>
    <t xml:space="preserve">Kit Oro Fútbol Mas</t>
  </si>
  <si>
    <t xml:space="preserve">KITOROFUTBFEM</t>
  </si>
  <si>
    <t xml:space="preserve">Kit Oro Fútbol Fem</t>
  </si>
  <si>
    <t xml:space="preserve">DUOORVOLMAS</t>
  </si>
  <si>
    <t xml:space="preserve">Dúo Pack Oro Voley Mas</t>
  </si>
  <si>
    <t xml:space="preserve">FUT-MED-LIS</t>
  </si>
  <si>
    <t xml:space="preserve">Medias Fútbol Playmaker Lisas c/p</t>
  </si>
  <si>
    <t xml:space="preserve">FUT-MED-LIS-SP</t>
  </si>
  <si>
    <t xml:space="preserve">Medias Fútbol Playmaker Lisas s/p</t>
  </si>
  <si>
    <t xml:space="preserve">KITORORUGB</t>
  </si>
  <si>
    <t xml:space="preserve">Kit Oro Rugby</t>
  </si>
  <si>
    <t xml:space="preserve">DUOORBASKFEM</t>
  </si>
  <si>
    <t xml:space="preserve">Dúo Pack Oro Básket Fem</t>
  </si>
  <si>
    <t xml:space="preserve">DUODIAFUTBMAS</t>
  </si>
  <si>
    <t xml:space="preserve">Dúo Pack Diamante Fútbol Mas</t>
  </si>
  <si>
    <t xml:space="preserve">DUODIAVOLEMAS</t>
  </si>
  <si>
    <t xml:space="preserve">Dúo Pack Diamante Voley Mas</t>
  </si>
  <si>
    <t xml:space="preserve">ESC-DTF-20CM</t>
  </si>
  <si>
    <t xml:space="preserve">ESTAMPADO COLORES 20cm</t>
  </si>
  <si>
    <t xml:space="preserve">DUOORFUTBMAS</t>
  </si>
  <si>
    <t xml:space="preserve">Dúo Pack Oro Fútbol Mas</t>
  </si>
  <si>
    <t xml:space="preserve">DUOROBASKREV</t>
  </si>
  <si>
    <t xml:space="preserve">DÚO PACK ORO  BASKET REVERSIBLE</t>
  </si>
  <si>
    <t xml:space="preserve">DUODIAVOLEFEM</t>
  </si>
  <si>
    <t xml:space="preserve">Dúo Pack Diamante Voley Fem</t>
  </si>
  <si>
    <t xml:space="preserve">ZAP-BASK-120</t>
  </si>
  <si>
    <t xml:space="preserve">ZAPATILLA DE BÁSQUETBOL NIKE 120</t>
  </si>
  <si>
    <t xml:space="preserve">KITPLHOCKFEM</t>
  </si>
  <si>
    <t xml:space="preserve">Kit Plata Voley Mas</t>
  </si>
  <si>
    <t xml:space="preserve">KITDIARUGB</t>
  </si>
  <si>
    <t xml:space="preserve">Kit Diamante Rugby</t>
  </si>
  <si>
    <t xml:space="preserve">DUOPLBASKFEM</t>
  </si>
  <si>
    <t xml:space="preserve">Dúo Pack Plata Básket Fem</t>
  </si>
  <si>
    <t xml:space="preserve">DUOPLBASKMAS</t>
  </si>
  <si>
    <t xml:space="preserve">Dúo Pack Plata Básket Mas</t>
  </si>
  <si>
    <t xml:space="preserve">ESCDTF10A20</t>
  </si>
  <si>
    <t xml:space="preserve">Escudo en DTF 10cm-20cm</t>
  </si>
  <si>
    <t xml:space="preserve">DUOORHOCKFEM</t>
  </si>
  <si>
    <t xml:space="preserve">Dúo Pack Oro Hockey Fem</t>
  </si>
  <si>
    <t xml:space="preserve">KITORVOLEFEM</t>
  </si>
  <si>
    <t xml:space="preserve">Kit Oro Voley Fem</t>
  </si>
  <si>
    <t xml:space="preserve">DUOPLRUGB</t>
  </si>
  <si>
    <t xml:space="preserve">Dúo Pack Plata Rugby</t>
  </si>
  <si>
    <t xml:space="preserve">REGBOLSUBPMK</t>
  </si>
  <si>
    <t xml:space="preserve">Bolso Sublimado Personalizado PMK de Regalo</t>
  </si>
  <si>
    <t xml:space="preserve">EXTTALESP</t>
  </si>
  <si>
    <t xml:space="preserve">EXTRA TALLA ESPECIAL</t>
  </si>
  <si>
    <t xml:space="preserve">DESP</t>
  </si>
  <si>
    <t xml:space="preserve">DESPACHO</t>
  </si>
  <si>
    <t xml:space="preserve">BALFUTBA</t>
  </si>
  <si>
    <t xml:space="preserve">BALON DE FUTBOL</t>
  </si>
  <si>
    <t xml:space="preserve">BOLSUB</t>
  </si>
  <si>
    <t xml:space="preserve">BOLSO SUBLIMADO PERSONALIZADO</t>
  </si>
  <si>
    <t xml:space="preserve">KITOROBASKREV</t>
  </si>
  <si>
    <t xml:space="preserve">KIT ORO BASKET REVERSIBLE</t>
  </si>
  <si>
    <t xml:space="preserve">DUODIABASK</t>
  </si>
  <si>
    <t xml:space="preserve">Dúo Pack Diamante Básket</t>
  </si>
  <si>
    <t xml:space="preserve">RUG-MED-PRO</t>
  </si>
  <si>
    <t xml:space="preserve">MEDIAS PRO RUGBY</t>
  </si>
  <si>
    <t xml:space="preserve">EXTML</t>
  </si>
  <si>
    <t xml:space="preserve">Exrta Manga Larga</t>
  </si>
  <si>
    <t xml:space="preserve">LZO2REG</t>
  </si>
  <si>
    <t xml:space="preserve">Lienzo 1.5x2mts Regalo</t>
  </si>
</sst>
</file>

<file path=xl/styles.xml><?xml version="1.0" encoding="utf-8"?>
<styleSheet xmlns="http://schemas.openxmlformats.org/spreadsheetml/2006/main">
  <numFmts count="7">
    <numFmt numFmtId="164" formatCode="General"/>
    <numFmt numFmtId="165" formatCode="\$#,##0;&quot;-$&quot;#,##0;\-"/>
    <numFmt numFmtId="166" formatCode="0.000"/>
    <numFmt numFmtId="167" formatCode="0.00"/>
    <numFmt numFmtId="168" formatCode="0.0%"/>
    <numFmt numFmtId="169" formatCode="#,##0"/>
    <numFmt numFmtId="170" formatCode="0.0"/>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1"/>
      <color rgb="FF1F3864"/>
      <name val="Arial"/>
      <family val="0"/>
      <charset val="1"/>
    </font>
    <font>
      <sz val="10"/>
      <color rgb="FF000000"/>
      <name val="Arial"/>
      <family val="0"/>
      <charset val="1"/>
    </font>
    <font>
      <b val="true"/>
      <sz val="10"/>
      <color rgb="FFC00000"/>
      <name val="Arial"/>
      <family val="0"/>
      <charset val="1"/>
    </font>
    <font>
      <b val="true"/>
      <sz val="10"/>
      <color rgb="FF1F3864"/>
      <name val="Arial"/>
      <family val="0"/>
      <charset val="1"/>
    </font>
    <font>
      <b val="true"/>
      <sz val="10"/>
      <color rgb="FFFFFFFF"/>
      <name val="Arial"/>
      <family val="0"/>
      <charset val="1"/>
    </font>
    <font>
      <sz val="10"/>
      <color rgb="FF0000FF"/>
      <name val="Arial"/>
      <family val="0"/>
      <charset val="1"/>
    </font>
    <font>
      <i val="true"/>
      <sz val="9"/>
      <color rgb="FF595959"/>
      <name val="Arial"/>
      <family val="0"/>
      <charset val="1"/>
    </font>
    <font>
      <b val="true"/>
      <sz val="10"/>
      <color rgb="FF000000"/>
      <name val="Arial"/>
      <family val="0"/>
      <charset val="1"/>
    </font>
    <font>
      <b val="true"/>
      <sz val="10"/>
      <color rgb="FF0000FF"/>
      <name val="Arial"/>
      <family val="0"/>
      <charset val="1"/>
    </font>
  </fonts>
  <fills count="7">
    <fill>
      <patternFill patternType="none"/>
    </fill>
    <fill>
      <patternFill patternType="gray125"/>
    </fill>
    <fill>
      <patternFill patternType="solid">
        <fgColor rgb="FFD9E1F2"/>
        <bgColor rgb="FFDDEBF7"/>
      </patternFill>
    </fill>
    <fill>
      <patternFill patternType="solid">
        <fgColor rgb="FFDDEBF7"/>
        <bgColor rgb="FFD9E1F2"/>
      </patternFill>
    </fill>
    <fill>
      <patternFill patternType="solid">
        <fgColor rgb="FFF2F2F2"/>
        <bgColor rgb="FFDDEBF7"/>
      </patternFill>
    </fill>
    <fill>
      <patternFill patternType="solid">
        <fgColor rgb="FFFFF2CC"/>
        <bgColor rgb="FFF2F2F2"/>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true" applyAlignment="true" applyProtection="false">
      <alignment horizontal="center" vertical="bottom" textRotation="0" wrapText="false" indent="0" shrinkToFit="false"/>
      <protection locked="true" hidden="false"/>
    </xf>
    <xf numFmtId="164" fontId="9" fillId="3" borderId="0" xfId="0" applyFont="true" applyBorder="true" applyAlignment="true" applyProtection="false">
      <alignment horizontal="center" vertical="bottom" textRotation="0" wrapText="false" indent="0" shrinkToFit="false"/>
      <protection locked="true" hidden="false"/>
    </xf>
    <xf numFmtId="164" fontId="9" fillId="4" borderId="0" xfId="0" applyFont="true" applyBorder="true" applyAlignment="true" applyProtection="false">
      <alignment horizontal="center" vertical="bottom" textRotation="0" wrapText="false" indent="0" shrinkToFit="false"/>
      <protection locked="true" hidden="false"/>
    </xf>
    <xf numFmtId="164" fontId="9" fillId="5" borderId="0" xfId="0" applyFont="true" applyBorder="true" applyAlignment="true" applyProtection="false">
      <alignment horizontal="center" vertical="bottom" textRotation="0" wrapText="fals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1" fillId="3" borderId="1" xfId="0" applyFont="true" applyBorder="true" applyAlignment="false" applyProtection="false">
      <alignment horizontal="general" vertical="bottom" textRotation="0" wrapText="false" indent="0" shrinkToFit="false"/>
      <protection locked="true" hidden="false"/>
    </xf>
    <xf numFmtId="164" fontId="11" fillId="3" borderId="1" xfId="0" applyFont="true" applyBorder="true" applyAlignment="false" applyProtection="false">
      <alignment horizontal="general" vertical="bottom" textRotation="0" wrapText="false" indent="0" shrinkToFit="false"/>
      <protection locked="true" hidden="false"/>
    </xf>
    <xf numFmtId="166" fontId="11" fillId="3" borderId="1" xfId="0" applyFont="true" applyBorder="true" applyAlignment="false" applyProtection="false">
      <alignment horizontal="general" vertical="bottom" textRotation="0" wrapText="false" indent="0" shrinkToFit="false"/>
      <protection locked="true" hidden="false"/>
    </xf>
    <xf numFmtId="167" fontId="11" fillId="3"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5" fontId="7" fillId="4" borderId="1" xfId="0" applyFont="true" applyBorder="true" applyAlignment="false" applyProtection="false">
      <alignment horizontal="general" vertical="bottom" textRotation="0" wrapText="false" indent="0" shrinkToFit="false"/>
      <protection locked="true" hidden="false"/>
    </xf>
    <xf numFmtId="165" fontId="13" fillId="4" borderId="1" xfId="0" applyFont="true" applyBorder="true" applyAlignment="false" applyProtection="false">
      <alignment horizontal="general" vertical="bottom" textRotation="0" wrapText="false" indent="0" shrinkToFit="false"/>
      <protection locked="true" hidden="false"/>
    </xf>
    <xf numFmtId="168" fontId="13" fillId="4" borderId="1" xfId="0" applyFont="true" applyBorder="true" applyAlignment="false" applyProtection="false">
      <alignment horizontal="general" vertical="bottom" textRotation="0" wrapText="false" indent="0" shrinkToFit="false"/>
      <protection locked="true" hidden="false"/>
    </xf>
    <xf numFmtId="164" fontId="13" fillId="4"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8" fontId="7" fillId="4" borderId="1" xfId="0" applyFont="true" applyBorder="true" applyAlignment="false" applyProtection="false">
      <alignment horizontal="general" vertical="bottom" textRotation="0" wrapText="false" indent="0" shrinkToFit="false"/>
      <protection locked="true" hidden="false"/>
    </xf>
    <xf numFmtId="168" fontId="11" fillId="3"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13" fillId="5" borderId="1" xfId="0" applyFont="true" applyBorder="true" applyAlignment="false" applyProtection="false">
      <alignment horizontal="general" vertical="bottom" textRotation="0" wrapText="false" indent="0" shrinkToFit="false"/>
      <protection locked="true" hidden="false"/>
    </xf>
    <xf numFmtId="168" fontId="13" fillId="5" borderId="1" xfId="0" applyFont="true" applyBorder="true" applyAlignment="false" applyProtection="false">
      <alignment horizontal="general" vertical="bottom" textRotation="0" wrapText="false" indent="0" shrinkToFit="false"/>
      <protection locked="true" hidden="false"/>
    </xf>
    <xf numFmtId="169" fontId="11" fillId="3" borderId="1" xfId="0" applyFont="true" applyBorder="true" applyAlignment="false" applyProtection="false">
      <alignment horizontal="general" vertical="bottom" textRotation="0" wrapText="false" indent="0" shrinkToFit="false"/>
      <protection locked="true" hidden="false"/>
    </xf>
    <xf numFmtId="170" fontId="11" fillId="3" borderId="1" xfId="0" applyFont="true" applyBorder="true" applyAlignment="false" applyProtection="false">
      <alignment horizontal="general" vertical="bottom" textRotation="0" wrapText="false" indent="0" shrinkToFit="false"/>
      <protection locked="true" hidden="false"/>
    </xf>
    <xf numFmtId="165" fontId="13" fillId="5"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1F3864"/>
          <bgColor rgb="FF000000"/>
        </patternFill>
      </fill>
    </dxf>
    <dxf>
      <fill>
        <patternFill patternType="solid">
          <fgColor rgb="FFDDEBF7"/>
          <bgColor rgb="FF000000"/>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595959"/>
          <bgColor rgb="FF000000"/>
        </patternFill>
      </fill>
    </dxf>
    <dxf>
      <fill>
        <patternFill patternType="solid">
          <fgColor rgb="FFF2F2F2"/>
          <bgColor rgb="FF000000"/>
        </patternFill>
      </fill>
    </dxf>
    <dxf>
      <fill>
        <patternFill patternType="solid">
          <fgColor rgb="FFC6EFCE"/>
          <bgColor rgb="FF000000"/>
        </patternFill>
      </fill>
    </dxf>
    <dxf>
      <fill>
        <patternFill patternType="solid">
          <fgColor rgb="FFD9D9D9"/>
          <bgColor rgb="FF000000"/>
        </patternFill>
      </fill>
    </dxf>
    <dxf>
      <fill>
        <patternFill patternType="solid">
          <fgColor rgb="FF006100"/>
          <bgColor rgb="FF000000"/>
        </patternFill>
      </fill>
    </dxf>
    <dxf>
      <font>
        <name val="Arial"/>
        <charset val="1"/>
        <family val="0"/>
        <b val="1"/>
        <color rgb="FF9C0006"/>
      </font>
      <fill>
        <patternFill>
          <bgColor rgb="FFF8CBAD"/>
        </patternFill>
      </fill>
    </dxf>
    <dxf>
      <font>
        <name val="Arial"/>
        <charset val="1"/>
        <family val="0"/>
        <b val="1"/>
        <color rgb="FF9C5700"/>
      </font>
      <fill>
        <patternFill>
          <bgColor rgb="FFFFEB9C"/>
        </patternFill>
      </fill>
    </dxf>
    <dxf>
      <font>
        <name val="Arial"/>
        <charset val="1"/>
        <family val="0"/>
        <b val="1"/>
        <color rgb="FF006100"/>
      </font>
      <fill>
        <patternFill>
          <bgColor rgb="FFC6EFCE"/>
        </patternFill>
      </fill>
    </dxf>
    <dxf>
      <font>
        <name val="Arial"/>
        <charset val="1"/>
        <family val="0"/>
        <b val="1"/>
        <color rgb="FF595959"/>
      </font>
      <fill>
        <patternFill>
          <bgColor rgb="FFD9D9D9"/>
        </patternFill>
      </fill>
    </dxf>
    <dxf>
      <font>
        <name val="Arial"/>
        <charset val="1"/>
        <family val="0"/>
        <b val="1"/>
        <color rgb="FFC00000"/>
      </font>
    </dxf>
  </dxfs>
  <colors>
    <indexedColors>
      <rgbColor rgb="FF000000"/>
      <rgbColor rgb="FFFFFFFF"/>
      <rgbColor rgb="FFC0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6EFCE"/>
      <rgbColor rgb="FFFFEB9C"/>
      <rgbColor rgb="FFD9E1F2"/>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11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B5" s="4" t="s">
        <v>3</v>
      </c>
    </row>
    <row r="6" customFormat="false" ht="15" hidden="false" customHeight="false" outlineLevel="0" collapsed="false">
      <c r="B6" s="4" t="s">
        <v>4</v>
      </c>
    </row>
    <row r="7" customFormat="false" ht="15" hidden="false" customHeight="false" outlineLevel="0" collapsed="false">
      <c r="A7" s="3" t="s">
        <v>5</v>
      </c>
    </row>
    <row r="8" customFormat="false" ht="15" hidden="false" customHeight="false" outlineLevel="0" collapsed="false">
      <c r="B8" s="4" t="s">
        <v>6</v>
      </c>
    </row>
    <row r="9" customFormat="false" ht="15" hidden="false" customHeight="false" outlineLevel="0" collapsed="false">
      <c r="A9" s="3" t="s">
        <v>7</v>
      </c>
    </row>
    <row r="10" customFormat="false" ht="15" hidden="false" customHeight="false" outlineLevel="0" collapsed="false">
      <c r="B10" s="4" t="s">
        <v>8</v>
      </c>
    </row>
    <row r="11" customFormat="false" ht="15" hidden="false" customHeight="false" outlineLevel="0" collapsed="false">
      <c r="B11" s="4" t="s">
        <v>9</v>
      </c>
    </row>
    <row r="12" customFormat="false" ht="15" hidden="false" customHeight="false" outlineLevel="0" collapsed="false">
      <c r="B12" s="4" t="s">
        <v>10</v>
      </c>
    </row>
    <row r="13" customFormat="false" ht="15" hidden="false" customHeight="false" outlineLevel="0" collapsed="false">
      <c r="B13" s="4" t="s">
        <v>11</v>
      </c>
    </row>
    <row r="14" customFormat="false" ht="15" hidden="false" customHeight="false" outlineLevel="0" collapsed="false">
      <c r="B14" s="4" t="s">
        <v>12</v>
      </c>
    </row>
    <row r="15" customFormat="false" ht="15" hidden="false" customHeight="false" outlineLevel="0" collapsed="false">
      <c r="A15" s="3" t="s">
        <v>13</v>
      </c>
    </row>
    <row r="16" customFormat="false" ht="15" hidden="false" customHeight="false" outlineLevel="0" collapsed="false">
      <c r="B16" s="4" t="s">
        <v>14</v>
      </c>
    </row>
    <row r="17" customFormat="false" ht="15" hidden="false" customHeight="false" outlineLevel="0" collapsed="false">
      <c r="B17" s="4" t="s">
        <v>15</v>
      </c>
    </row>
    <row r="18" customFormat="false" ht="15" hidden="false" customHeight="false" outlineLevel="0" collapsed="false">
      <c r="B18" s="4" t="s">
        <v>16</v>
      </c>
    </row>
    <row r="19" customFormat="false" ht="15" hidden="false" customHeight="false" outlineLevel="0" collapsed="false">
      <c r="B19" s="4" t="s">
        <v>17</v>
      </c>
    </row>
    <row r="20" customFormat="false" ht="15" hidden="false" customHeight="false" outlineLevel="0" collapsed="false">
      <c r="A20" s="3" t="s">
        <v>18</v>
      </c>
    </row>
    <row r="21" customFormat="false" ht="15" hidden="false" customHeight="false" outlineLevel="0" collapsed="false">
      <c r="B21" s="4" t="s">
        <v>19</v>
      </c>
    </row>
    <row r="22" customFormat="false" ht="15" hidden="false" customHeight="false" outlineLevel="0" collapsed="false">
      <c r="A22" s="3" t="s">
        <v>20</v>
      </c>
    </row>
    <row r="23" customFormat="false" ht="15" hidden="false" customHeight="false" outlineLevel="0" collapsed="false">
      <c r="B23" s="4" t="s">
        <v>21</v>
      </c>
    </row>
    <row r="24" customFormat="false" ht="15" hidden="false" customHeight="false" outlineLevel="0" collapsed="false">
      <c r="B24" s="4" t="s">
        <v>22</v>
      </c>
    </row>
    <row r="25" customFormat="false" ht="15" hidden="false" customHeight="false" outlineLevel="0" collapsed="false">
      <c r="B25" s="4" t="s">
        <v>23</v>
      </c>
    </row>
    <row r="26" customFormat="false" ht="15" hidden="false" customHeight="false" outlineLevel="0" collapsed="false">
      <c r="B26" s="4" t="s">
        <v>24</v>
      </c>
    </row>
    <row r="27" customFormat="false" ht="15" hidden="false" customHeight="false" outlineLevel="0" collapsed="false">
      <c r="B27" s="4" t="s">
        <v>25</v>
      </c>
    </row>
    <row r="28" customFormat="false" ht="15" hidden="false" customHeight="false" outlineLevel="0" collapsed="false">
      <c r="B28" s="4" t="s">
        <v>26</v>
      </c>
    </row>
    <row r="29" customFormat="false" ht="15" hidden="false" customHeight="false" outlineLevel="0" collapsed="false">
      <c r="A29" s="3" t="s">
        <v>27</v>
      </c>
    </row>
    <row r="30" customFormat="false" ht="15" hidden="false" customHeight="false" outlineLevel="0" collapsed="false">
      <c r="B30" s="4" t="str">
        <f aca="false">"• Papel y tinta: "&amp;IF(Parametros!$B$27=0,"SIN DATO → las prendas sublimadas salen más baratas de lo real.","ingresado ("&amp;TEXT(Parametros!$B$27,"$#,##0")&amp;" por metro).")</f>
        <v>• Papel y tinta: SIN DATO → las prendas sublimadas salen más baratas de lo real.</v>
      </c>
    </row>
    <row r="31" customFormat="false" ht="15" hidden="false" customHeight="false" outlineLevel="0" collapsed="false">
      <c r="B31" s="4" t="str">
        <f aca="false">"• Recetas completas: "&amp;COUNTIF(Catalogo!F6:F200,"Completa")&amp;" · con datos faltantes: "&amp;COUNTIF(Catalogo!F6:F200,"Faltan datos")</f>
        <v>• Recetas completas: 6 · con datos faltantes: 68</v>
      </c>
    </row>
    <row r="32" customFormat="false" ht="15" hidden="false" customHeight="false" outlineLevel="0" collapsed="false">
      <c r="B32" s="4" t="str">
        <f aca="false">"• Precios por confirmar: "&amp;(COUNTIF(Precios!E5:E200,"Por confirmar")+COUNTIF(Confeccion!D5:D200,"Por confirmar"))&amp;" · telas sin precio: "&amp;COUNTIF(Precios!E5:E200,"SIN PRECIO")</f>
        <v>• Precios por confirmar: 88 · telas sin precio: 1</v>
      </c>
    </row>
    <row r="33" customFormat="false" ht="15" hidden="false" customHeight="false" outlineLevel="0" collapsed="false">
      <c r="B33" s="4" t="s">
        <v>28</v>
      </c>
    </row>
    <row r="34" customFormat="false" ht="15" hidden="false" customHeight="false" outlineLevel="0" collapsed="false">
      <c r="B34" s="4" t="s">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5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40"/>
    <col collapsed="false" customWidth="true" hidden="false" outlineLevel="0" max="3" min="3" style="0" width="11"/>
    <col collapsed="false" customWidth="true" hidden="false" outlineLevel="0" max="4" min="4" style="0" width="10"/>
    <col collapsed="false" customWidth="true" hidden="false" outlineLevel="0" max="5" min="5" style="0" width="12"/>
    <col collapsed="false" customWidth="true" hidden="false" outlineLevel="0" max="6" min="6" style="0" width="28"/>
    <col collapsed="false" customWidth="true" hidden="false" outlineLevel="0" max="7" min="7" style="0" width="9"/>
    <col collapsed="false" customWidth="true" hidden="false" outlineLevel="0" max="8" min="8" style="0" width="18"/>
    <col collapsed="false" customWidth="true" hidden="false" outlineLevel="0" max="9" min="9" style="0" width="9"/>
    <col collapsed="false" customWidth="true" hidden="false" outlineLevel="0" max="10" min="10" style="0" width="11"/>
    <col collapsed="false" customWidth="true" hidden="false" outlineLevel="0" max="11" min="11" style="0" width="26"/>
    <col collapsed="false" customWidth="true" hidden="false" outlineLevel="0" max="12" min="12" style="0" width="11"/>
    <col collapsed="false" customWidth="true" hidden="false" outlineLevel="0" max="13" min="13" style="0" width="13"/>
    <col collapsed="false" customWidth="true" hidden="false" outlineLevel="0" max="14" min="14" style="0" width="46"/>
    <col collapsed="false" customWidth="true" hidden="false" outlineLevel="0" max="16" min="15" style="0" width="10"/>
    <col collapsed="false" customWidth="true" hidden="false" outlineLevel="0" max="17" min="17" style="0" width="11"/>
    <col collapsed="false" customWidth="true" hidden="false" outlineLevel="0" max="18" min="18" style="0" width="9"/>
    <col collapsed="false" customWidth="true" hidden="false" outlineLevel="0" max="19" min="19" style="0" width="12"/>
    <col collapsed="false" customWidth="true" hidden="false" outlineLevel="0" max="22" min="20" style="0" width="11"/>
    <col collapsed="false" customWidth="true" hidden="false" outlineLevel="0" max="23" min="23" style="0" width="9"/>
    <col collapsed="false" customWidth="true" hidden="false" outlineLevel="0" max="25" min="24" style="0" width="12"/>
    <col collapsed="false" customWidth="true" hidden="false" outlineLevel="0" max="26" min="26" style="0" width="13"/>
    <col collapsed="false" customWidth="true" hidden="false" outlineLevel="0" max="27" min="27" style="0" width="40"/>
  </cols>
  <sheetData>
    <row r="1" customFormat="false" ht="17.35" hidden="false" customHeight="false" outlineLevel="0" collapsed="false">
      <c r="A1" s="1" t="s">
        <v>30</v>
      </c>
    </row>
    <row r="2" customFormat="false" ht="15" hidden="false" customHeight="false" outlineLevel="0" collapsed="false">
      <c r="A2" s="2" t="s">
        <v>31</v>
      </c>
    </row>
    <row r="3" customFormat="false" ht="15" hidden="false" customHeight="false" outlineLevel="0" collapsed="false">
      <c r="A3" s="5" t="str">
        <f aca="false">"Recargo usado: "&amp;TEXT(Parametros!$B$14,"0.0%")&amp;" del precio (fábrica "&amp;TEXT(Parametros!$B$12,"0.0%")&amp;" + comercial "&amp;TEXT(Parametros!$B$13,"0.0%")&amp;")   ·   Meta de ganancia: "&amp;TEXT(Parametros!$B$18,"0%")&amp;"   ·   Impresión: "&amp;IF(Parametros!$B$27=0,"SIN COSTO (pendiente)",TEXT(Parametros!$B$27,"$#,##0")&amp;" por metro")</f>
        <v>Recargo usado: 48.0% del precio (fábrica 35.3% + comercial 12.7%)   ·   Meta de ganancia: 10%   ·   Impresión: SIN COSTO (pendiente)</v>
      </c>
    </row>
    <row r="4" customFormat="false" ht="15" hidden="false" customHeight="false" outlineLevel="0" collapsed="false">
      <c r="A4" s="6" t="s">
        <v>32</v>
      </c>
      <c r="B4" s="6"/>
      <c r="C4" s="6"/>
      <c r="D4" s="6"/>
      <c r="E4" s="7" t="s">
        <v>33</v>
      </c>
      <c r="F4" s="7"/>
      <c r="G4" s="7"/>
      <c r="H4" s="7"/>
      <c r="I4" s="7"/>
      <c r="J4" s="7"/>
      <c r="K4" s="7"/>
      <c r="L4" s="7"/>
      <c r="M4" s="7"/>
      <c r="N4" s="7"/>
      <c r="O4" s="8" t="s">
        <v>34</v>
      </c>
      <c r="P4" s="8"/>
      <c r="Q4" s="8"/>
      <c r="R4" s="8"/>
      <c r="S4" s="8"/>
      <c r="T4" s="9" t="s">
        <v>35</v>
      </c>
      <c r="U4" s="9"/>
      <c r="V4" s="9"/>
      <c r="W4" s="9"/>
      <c r="X4" s="9"/>
      <c r="Y4" s="9"/>
      <c r="Z4" s="9"/>
      <c r="AA4" s="9"/>
    </row>
    <row r="5" customFormat="false" ht="42" hidden="false" customHeight="true" outlineLevel="0" collapsed="false">
      <c r="A5" s="10" t="s">
        <v>36</v>
      </c>
      <c r="B5" s="10" t="s">
        <v>37</v>
      </c>
      <c r="C5" s="10" t="s">
        <v>38</v>
      </c>
      <c r="D5" s="10" t="s">
        <v>39</v>
      </c>
      <c r="E5" s="10" t="s">
        <v>40</v>
      </c>
      <c r="F5" s="10" t="s">
        <v>41</v>
      </c>
      <c r="G5" s="10" t="s">
        <v>42</v>
      </c>
      <c r="H5" s="10" t="s">
        <v>43</v>
      </c>
      <c r="I5" s="10" t="s">
        <v>44</v>
      </c>
      <c r="J5" s="10" t="s">
        <v>45</v>
      </c>
      <c r="K5" s="10" t="s">
        <v>46</v>
      </c>
      <c r="L5" s="10" t="s">
        <v>47</v>
      </c>
      <c r="M5" s="10" t="s">
        <v>48</v>
      </c>
      <c r="N5" s="10" t="s">
        <v>49</v>
      </c>
      <c r="O5" s="10" t="s">
        <v>50</v>
      </c>
      <c r="P5" s="10" t="s">
        <v>51</v>
      </c>
      <c r="Q5" s="10" t="s">
        <v>52</v>
      </c>
      <c r="R5" s="10" t="s">
        <v>53</v>
      </c>
      <c r="S5" s="10" t="s">
        <v>54</v>
      </c>
      <c r="T5" s="10" t="s">
        <v>55</v>
      </c>
      <c r="U5" s="10" t="s">
        <v>56</v>
      </c>
      <c r="V5" s="10" t="s">
        <v>57</v>
      </c>
      <c r="W5" s="10" t="s">
        <v>58</v>
      </c>
      <c r="X5" s="10" t="s">
        <v>59</v>
      </c>
      <c r="Y5" s="10" t="s">
        <v>60</v>
      </c>
      <c r="Z5" s="10" t="s">
        <v>61</v>
      </c>
      <c r="AA5" s="10" t="s">
        <v>62</v>
      </c>
    </row>
    <row r="6" customFormat="false" ht="22.35" hidden="false" customHeight="false" outlineLevel="0" collapsed="false">
      <c r="A6" s="11" t="s">
        <v>63</v>
      </c>
      <c r="B6" s="11" t="s">
        <v>64</v>
      </c>
      <c r="C6" s="11" t="s">
        <v>65</v>
      </c>
      <c r="D6" s="11" t="n">
        <v>198</v>
      </c>
      <c r="E6" s="12" t="n">
        <v>15994</v>
      </c>
      <c r="F6" s="13" t="s">
        <v>66</v>
      </c>
      <c r="G6" s="14"/>
      <c r="H6" s="13"/>
      <c r="I6" s="14"/>
      <c r="J6" s="15"/>
      <c r="K6" s="13" t="s">
        <v>67</v>
      </c>
      <c r="L6" s="12"/>
      <c r="M6" s="13" t="s">
        <v>68</v>
      </c>
      <c r="N6" s="16" t="s">
        <v>69</v>
      </c>
      <c r="O6" s="17" t="n">
        <f aca="false">IF(B6="","",IFERROR(G6*INDEX(Precios!$D$5:$D$120,MATCH(F6,Precios!$A$5:$A$120,0)),0)+IF(H6="",0,IFERROR(I6*INDEX(Precios!$D$5:$D$120,MATCH(H6,Precios!$A$5:$A$120,0)),0)))</f>
        <v>0</v>
      </c>
      <c r="P6" s="17" t="n">
        <f aca="false">IF(B6="","",N(J6)*Parametros!$B$27)</f>
        <v>0</v>
      </c>
      <c r="Q6" s="17" t="n">
        <f aca="false">IF(B6="","",IFERROR(INDEX(Confeccion!$B$5:$B$100,MATCH(K6,Confeccion!$A$5:$A$100,0)),0))</f>
        <v>2000</v>
      </c>
      <c r="R6" s="17" t="n">
        <f aca="false">IF(B6="","",N(L6))</f>
        <v>0</v>
      </c>
      <c r="S6" s="18" t="str">
        <f aca="false">IF(B6="","",IF(AND(F6&lt;&gt;"",ISNUMBER(G6),ISNUMBER(IFERROR(INDEX(Precios!$D$5:$D$120,MATCH(F6,Precios!$A$5:$A$120,0)),"x")),OR(H6="",ISNUMBER(IFERROR(INDEX(Precios!$D$5:$D$120,MATCH(H6,Precios!$A$5:$A$120,0)),"x"))),J6&lt;&gt;"",K6&lt;&gt;"",Q6&gt;0),SUM(O6:R6),""))</f>
        <v/>
      </c>
      <c r="T6" s="17" t="str">
        <f aca="false">IF(AND(S6&lt;&gt;"",ISNUMBER(E6)),E6*Parametros!$B$12,"")</f>
        <v/>
      </c>
      <c r="U6" s="17" t="str">
        <f aca="false">IF(AND(S6&lt;&gt;"",ISNUMBER(E6)),E6*Parametros!$B$13,"")</f>
        <v/>
      </c>
      <c r="V6" s="18" t="str">
        <f aca="false">IF(AND(S6&lt;&gt;"",ISNUMBER(E6)),E6-S6-T6-U6,"")</f>
        <v/>
      </c>
      <c r="W6" s="19" t="str">
        <f aca="false">IF(AND(S6&lt;&gt;"",ISNUMBER(E6)),V6/E6,"")</f>
        <v/>
      </c>
      <c r="X6" s="17" t="str">
        <f aca="false">IF(OR(S6="",Parametros!$B$14&gt;=1),"",S6/(1-Parametros!$B$14))</f>
        <v/>
      </c>
      <c r="Y6" s="17" t="str">
        <f aca="false">IF(OR(S6="",Parametros!$B$14+Parametros!$B$18&gt;=1),"",S6/(1-Parametros!$B$14-Parametros!$B$18))</f>
        <v/>
      </c>
      <c r="Z6" s="20" t="str">
        <f aca="false">IF(B6="","",IF(S6="","FALTAN DATOS",IF(NOT(ISNUMBER(E6)),"FALTA PRECIO",IF(V6&lt;0,"PIERDE",IF(W6&lt;Parametros!$B$18,"BAJO META","OK")))))</f>
        <v>FALTAN DATOS</v>
      </c>
      <c r="AA6" s="21" t="str">
        <f aca="false">IF(B6="","",IF(F6="","Tela. ","")&amp;IF(NOT(ISNUMBER(G6)),"Kg de tela. ","")&amp;IF(AND(F6&lt;&gt;"",NOT(ISNUMBER(IFERROR(INDEX(Precios!$D$5:$D$120,MATCH(F6,Precios!$A$5:$A$120,0)),"x")))),"Tela sin precio. ","")&amp;IF(AND(H6&lt;&gt;"",NOT(ISNUMBER(IFERROR(INDEX(Precios!$D$5:$D$120,MATCH(H6,Precios!$A$5:$A$120,0)),"x")))),"Tela 2 sin precio. ","")&amp;IF(J6="","Metros impresos. ","")&amp;IF(AND(N(J6)&gt;0,Parametros!$B$27=0),"Impresión sin costo. ","")&amp;IF(K6="","Confección. ",IF(Q6=0,"Confección sin valor. ",""))&amp;IF(NOT(ISNUMBER(E6)),"Precio de venta. ",""))</f>
        <v>Kg de tela. Metros impresos. </v>
      </c>
    </row>
    <row r="7" customFormat="false" ht="15" hidden="false" customHeight="false" outlineLevel="0" collapsed="false">
      <c r="A7" s="11" t="s">
        <v>70</v>
      </c>
      <c r="B7" s="11" t="s">
        <v>71</v>
      </c>
      <c r="C7" s="11" t="s">
        <v>65</v>
      </c>
      <c r="D7" s="11" t="n">
        <v>190</v>
      </c>
      <c r="E7" s="12" t="n">
        <v>16073</v>
      </c>
      <c r="F7" s="13" t="s">
        <v>66</v>
      </c>
      <c r="G7" s="14"/>
      <c r="H7" s="13"/>
      <c r="I7" s="14"/>
      <c r="J7" s="15"/>
      <c r="K7" s="13" t="s">
        <v>67</v>
      </c>
      <c r="L7" s="12"/>
      <c r="M7" s="13" t="s">
        <v>68</v>
      </c>
      <c r="N7" s="16" t="s">
        <v>72</v>
      </c>
      <c r="O7" s="17" t="n">
        <f aca="false">IF(B7="","",IFERROR(G7*INDEX(Precios!$D$5:$D$120,MATCH(F7,Precios!$A$5:$A$120,0)),0)+IF(H7="",0,IFERROR(I7*INDEX(Precios!$D$5:$D$120,MATCH(H7,Precios!$A$5:$A$120,0)),0)))</f>
        <v>0</v>
      </c>
      <c r="P7" s="17" t="n">
        <f aca="false">IF(B7="","",N(J7)*Parametros!$B$27)</f>
        <v>0</v>
      </c>
      <c r="Q7" s="17" t="n">
        <f aca="false">IF(B7="","",IFERROR(INDEX(Confeccion!$B$5:$B$100,MATCH(K7,Confeccion!$A$5:$A$100,0)),0))</f>
        <v>2000</v>
      </c>
      <c r="R7" s="17" t="n">
        <f aca="false">IF(B7="","",N(L7))</f>
        <v>0</v>
      </c>
      <c r="S7" s="18" t="str">
        <f aca="false">IF(B7="","",IF(AND(F7&lt;&gt;"",ISNUMBER(G7),ISNUMBER(IFERROR(INDEX(Precios!$D$5:$D$120,MATCH(F7,Precios!$A$5:$A$120,0)),"x")),OR(H7="",ISNUMBER(IFERROR(INDEX(Precios!$D$5:$D$120,MATCH(H7,Precios!$A$5:$A$120,0)),"x"))),J7&lt;&gt;"",K7&lt;&gt;"",Q7&gt;0),SUM(O7:R7),""))</f>
        <v/>
      </c>
      <c r="T7" s="17" t="str">
        <f aca="false">IF(AND(S7&lt;&gt;"",ISNUMBER(E7)),E7*Parametros!$B$12,"")</f>
        <v/>
      </c>
      <c r="U7" s="17" t="str">
        <f aca="false">IF(AND(S7&lt;&gt;"",ISNUMBER(E7)),E7*Parametros!$B$13,"")</f>
        <v/>
      </c>
      <c r="V7" s="18" t="str">
        <f aca="false">IF(AND(S7&lt;&gt;"",ISNUMBER(E7)),E7-S7-T7-U7,"")</f>
        <v/>
      </c>
      <c r="W7" s="19" t="str">
        <f aca="false">IF(AND(S7&lt;&gt;"",ISNUMBER(E7)),V7/E7,"")</f>
        <v/>
      </c>
      <c r="X7" s="17" t="str">
        <f aca="false">IF(OR(S7="",Parametros!$B$14&gt;=1),"",S7/(1-Parametros!$B$14))</f>
        <v/>
      </c>
      <c r="Y7" s="17" t="str">
        <f aca="false">IF(OR(S7="",Parametros!$B$14+Parametros!$B$18&gt;=1),"",S7/(1-Parametros!$B$14-Parametros!$B$18))</f>
        <v/>
      </c>
      <c r="Z7" s="20" t="str">
        <f aca="false">IF(B7="","",IF(S7="","FALTAN DATOS",IF(NOT(ISNUMBER(E7)),"FALTA PRECIO",IF(V7&lt;0,"PIERDE",IF(W7&lt;Parametros!$B$18,"BAJO META","OK")))))</f>
        <v>FALTAN DATOS</v>
      </c>
      <c r="AA7" s="21" t="str">
        <f aca="false">IF(B7="","",IF(F7="","Tela. ","")&amp;IF(NOT(ISNUMBER(G7)),"Kg de tela. ","")&amp;IF(AND(F7&lt;&gt;"",NOT(ISNUMBER(IFERROR(INDEX(Precios!$D$5:$D$120,MATCH(F7,Precios!$A$5:$A$120,0)),"x")))),"Tela sin precio. ","")&amp;IF(AND(H7&lt;&gt;"",NOT(ISNUMBER(IFERROR(INDEX(Precios!$D$5:$D$120,MATCH(H7,Precios!$A$5:$A$120,0)),"x")))),"Tela 2 sin precio. ","")&amp;IF(J7="","Metros impresos. ","")&amp;IF(AND(N(J7)&gt;0,Parametros!$B$27=0),"Impresión sin costo. ","")&amp;IF(K7="","Confección. ",IF(Q7=0,"Confección sin valor. ",""))&amp;IF(NOT(ISNUMBER(E7)),"Precio de venta. ",""))</f>
        <v>Kg de tela. Metros impresos. </v>
      </c>
    </row>
    <row r="8" customFormat="false" ht="32.8" hidden="false" customHeight="false" outlineLevel="0" collapsed="false">
      <c r="A8" s="11" t="s">
        <v>73</v>
      </c>
      <c r="B8" s="11" t="s">
        <v>74</v>
      </c>
      <c r="C8" s="11" t="s">
        <v>65</v>
      </c>
      <c r="D8" s="11" t="n">
        <v>160</v>
      </c>
      <c r="E8" s="12" t="n">
        <v>18403</v>
      </c>
      <c r="F8" s="13" t="s">
        <v>75</v>
      </c>
      <c r="G8" s="14" t="n">
        <v>0.12</v>
      </c>
      <c r="H8" s="13" t="s">
        <v>76</v>
      </c>
      <c r="I8" s="14" t="n">
        <v>0.0775</v>
      </c>
      <c r="J8" s="15" t="n">
        <v>1.9</v>
      </c>
      <c r="K8" s="13" t="s">
        <v>67</v>
      </c>
      <c r="L8" s="12"/>
      <c r="M8" s="13" t="s">
        <v>68</v>
      </c>
      <c r="N8" s="16" t="s">
        <v>77</v>
      </c>
      <c r="O8" s="17" t="n">
        <f aca="false">IF(B8="","",IFERROR(G8*INDEX(Precios!$D$5:$D$120,MATCH(F8,Precios!$A$5:$A$120,0)),0)+IF(H8="",0,IFERROR(I8*INDEX(Precios!$D$5:$D$120,MATCH(H8,Precios!$A$5:$A$120,0)),0)))</f>
        <v>1020.47</v>
      </c>
      <c r="P8" s="17" t="n">
        <f aca="false">IF(B8="","",N(J8)*Parametros!$B$27)</f>
        <v>0</v>
      </c>
      <c r="Q8" s="17" t="n">
        <f aca="false">IF(B8="","",IFERROR(INDEX(Confeccion!$B$5:$B$100,MATCH(K8,Confeccion!$A$5:$A$100,0)),0))</f>
        <v>2000</v>
      </c>
      <c r="R8" s="17" t="n">
        <f aca="false">IF(B8="","",N(L8))</f>
        <v>0</v>
      </c>
      <c r="S8" s="18" t="n">
        <f aca="false">IF(B8="","",IF(AND(F8&lt;&gt;"",ISNUMBER(G8),ISNUMBER(IFERROR(INDEX(Precios!$D$5:$D$120,MATCH(F8,Precios!$A$5:$A$120,0)),"x")),OR(H8="",ISNUMBER(IFERROR(INDEX(Precios!$D$5:$D$120,MATCH(H8,Precios!$A$5:$A$120,0)),"x"))),J8&lt;&gt;"",K8&lt;&gt;"",Q8&gt;0),SUM(O8:R8),""))</f>
        <v>3020.47</v>
      </c>
      <c r="T8" s="17" t="n">
        <f aca="false">IF(AND(S8&lt;&gt;"",ISNUMBER(E8)),E8*Parametros!$B$12,"")</f>
        <v>6495.2752351223</v>
      </c>
      <c r="U8" s="17" t="n">
        <f aca="false">IF(AND(S8&lt;&gt;"",ISNUMBER(E8)),E8*Parametros!$B$13,"")</f>
        <v>2331.59464172016</v>
      </c>
      <c r="V8" s="18" t="n">
        <f aca="false">IF(AND(S8&lt;&gt;"",ISNUMBER(E8)),E8-S8-T8-U8,"")</f>
        <v>6555.66012315754</v>
      </c>
      <c r="W8" s="19" t="n">
        <f aca="false">IF(AND(S8&lt;&gt;"",ISNUMBER(E8)),V8/E8,"")</f>
        <v>0.356227795639708</v>
      </c>
      <c r="X8" s="17" t="n">
        <f aca="false">IF(OR(S8="",Parametros!$B$14&gt;=1),"",S8/(1-Parametros!$B$14))</f>
        <v>5804.61091224935</v>
      </c>
      <c r="Y8" s="17" t="n">
        <f aca="false">IF(OR(S8="",Parametros!$B$14+Parametros!$B$18&gt;=1),"",S8/(1-Parametros!$B$14-Parametros!$B$18))</f>
        <v>7185.48733943908</v>
      </c>
      <c r="Z8" s="20" t="str">
        <f aca="false">IF(B8="","",IF(S8="","FALTAN DATOS",IF(NOT(ISNUMBER(E8)),"FALTA PRECIO",IF(V8&lt;0,"PIERDE",IF(W8&lt;Parametros!$B$18,"BAJO META","OK")))))</f>
        <v>OK</v>
      </c>
      <c r="AA8" s="21" t="str">
        <f aca="false">IF(B8="","",IF(F8="","Tela. ","")&amp;IF(NOT(ISNUMBER(G8)),"Kg de tela. ","")&amp;IF(AND(F8&lt;&gt;"",NOT(ISNUMBER(IFERROR(INDEX(Precios!$D$5:$D$120,MATCH(F8,Precios!$A$5:$A$120,0)),"x")))),"Tela sin precio. ","")&amp;IF(AND(H8&lt;&gt;"",NOT(ISNUMBER(IFERROR(INDEX(Precios!$D$5:$D$120,MATCH(H8,Precios!$A$5:$A$120,0)),"x")))),"Tela 2 sin precio. ","")&amp;IF(J8="","Metros impresos. ","")&amp;IF(AND(N(J8)&gt;0,Parametros!$B$27=0),"Impresión sin costo. ","")&amp;IF(K8="","Confección. ",IF(Q8=0,"Confección sin valor. ",""))&amp;IF(NOT(ISNUMBER(E8)),"Precio de venta. ",""))</f>
        <v>Impresión sin costo. </v>
      </c>
    </row>
    <row r="9" customFormat="false" ht="15" hidden="false" customHeight="false" outlineLevel="0" collapsed="false">
      <c r="A9" s="11" t="s">
        <v>78</v>
      </c>
      <c r="B9" s="11" t="s">
        <v>79</v>
      </c>
      <c r="C9" s="11" t="s">
        <v>65</v>
      </c>
      <c r="D9" s="11" t="n">
        <v>139</v>
      </c>
      <c r="E9" s="12" t="n">
        <v>17563</v>
      </c>
      <c r="F9" s="13"/>
      <c r="G9" s="14"/>
      <c r="H9" s="13"/>
      <c r="I9" s="14"/>
      <c r="J9" s="15"/>
      <c r="K9" s="13" t="s">
        <v>80</v>
      </c>
      <c r="L9" s="12"/>
      <c r="M9" s="13" t="s">
        <v>68</v>
      </c>
      <c r="N9" s="16" t="s">
        <v>81</v>
      </c>
      <c r="O9" s="17" t="n">
        <f aca="false">IF(B9="","",IFERROR(G9*INDEX(Precios!$D$5:$D$120,MATCH(F9,Precios!$A$5:$A$120,0)),0)+IF(H9="",0,IFERROR(I9*INDEX(Precios!$D$5:$D$120,MATCH(H9,Precios!$A$5:$A$120,0)),0)))</f>
        <v>0</v>
      </c>
      <c r="P9" s="17" t="n">
        <f aca="false">IF(B9="","",N(J9)*Parametros!$B$27)</f>
        <v>0</v>
      </c>
      <c r="Q9" s="17" t="n">
        <f aca="false">IF(B9="","",IFERROR(INDEX(Confeccion!$B$5:$B$100,MATCH(K9,Confeccion!$A$5:$A$100,0)),0))</f>
        <v>1700</v>
      </c>
      <c r="R9" s="17" t="n">
        <f aca="false">IF(B9="","",N(L9))</f>
        <v>0</v>
      </c>
      <c r="S9" s="18" t="str">
        <f aca="false">IF(B9="","",IF(AND(F9&lt;&gt;"",ISNUMBER(G9),ISNUMBER(IFERROR(INDEX(Precios!$D$5:$D$120,MATCH(F9,Precios!$A$5:$A$120,0)),"x")),OR(H9="",ISNUMBER(IFERROR(INDEX(Precios!$D$5:$D$120,MATCH(H9,Precios!$A$5:$A$120,0)),"x"))),J9&lt;&gt;"",K9&lt;&gt;"",Q9&gt;0),SUM(O9:R9),""))</f>
        <v/>
      </c>
      <c r="T9" s="17" t="str">
        <f aca="false">IF(AND(S9&lt;&gt;"",ISNUMBER(E9)),E9*Parametros!$B$12,"")</f>
        <v/>
      </c>
      <c r="U9" s="17" t="str">
        <f aca="false">IF(AND(S9&lt;&gt;"",ISNUMBER(E9)),E9*Parametros!$B$13,"")</f>
        <v/>
      </c>
      <c r="V9" s="18" t="str">
        <f aca="false">IF(AND(S9&lt;&gt;"",ISNUMBER(E9)),E9-S9-T9-U9,"")</f>
        <v/>
      </c>
      <c r="W9" s="19" t="str">
        <f aca="false">IF(AND(S9&lt;&gt;"",ISNUMBER(E9)),V9/E9,"")</f>
        <v/>
      </c>
      <c r="X9" s="17" t="str">
        <f aca="false">IF(OR(S9="",Parametros!$B$14&gt;=1),"",S9/(1-Parametros!$B$14))</f>
        <v/>
      </c>
      <c r="Y9" s="17" t="str">
        <f aca="false">IF(OR(S9="",Parametros!$B$14+Parametros!$B$18&gt;=1),"",S9/(1-Parametros!$B$14-Parametros!$B$18))</f>
        <v/>
      </c>
      <c r="Z9" s="20" t="str">
        <f aca="false">IF(B9="","",IF(S9="","FALTAN DATOS",IF(NOT(ISNUMBER(E9)),"FALTA PRECIO",IF(V9&lt;0,"PIERDE",IF(W9&lt;Parametros!$B$18,"BAJO META","OK")))))</f>
        <v>FALTAN DATOS</v>
      </c>
      <c r="AA9" s="21" t="str">
        <f aca="false">IF(B9="","",IF(F9="","Tela. ","")&amp;IF(NOT(ISNUMBER(G9)),"Kg de tela. ","")&amp;IF(AND(F9&lt;&gt;"",NOT(ISNUMBER(IFERROR(INDEX(Precios!$D$5:$D$120,MATCH(F9,Precios!$A$5:$A$120,0)),"x")))),"Tela sin precio. ","")&amp;IF(AND(H9&lt;&gt;"",NOT(ISNUMBER(IFERROR(INDEX(Precios!$D$5:$D$120,MATCH(H9,Precios!$A$5:$A$120,0)),"x")))),"Tela 2 sin precio. ","")&amp;IF(J9="","Metros impresos. ","")&amp;IF(AND(N(J9)&gt;0,Parametros!$B$27=0),"Impresión sin costo. ","")&amp;IF(K9="","Confección. ",IF(Q9=0,"Confección sin valor. ",""))&amp;IF(NOT(ISNUMBER(E9)),"Precio de venta. ",""))</f>
        <v>Tela. Kg de tela. Metros impresos. </v>
      </c>
    </row>
    <row r="10" customFormat="false" ht="15" hidden="false" customHeight="false" outlineLevel="0" collapsed="false">
      <c r="A10" s="11" t="s">
        <v>82</v>
      </c>
      <c r="B10" s="11" t="s">
        <v>83</v>
      </c>
      <c r="C10" s="11" t="s">
        <v>65</v>
      </c>
      <c r="D10" s="11" t="n">
        <v>109</v>
      </c>
      <c r="E10" s="12" t="n">
        <v>18403</v>
      </c>
      <c r="F10" s="13" t="s">
        <v>75</v>
      </c>
      <c r="G10" s="14" t="n">
        <v>0.12</v>
      </c>
      <c r="H10" s="13" t="s">
        <v>76</v>
      </c>
      <c r="I10" s="14" t="n">
        <v>0.0775</v>
      </c>
      <c r="J10" s="15" t="n">
        <v>1.9</v>
      </c>
      <c r="K10" s="13" t="s">
        <v>67</v>
      </c>
      <c r="L10" s="12"/>
      <c r="M10" s="13" t="s">
        <v>68</v>
      </c>
      <c r="N10" s="16" t="s">
        <v>84</v>
      </c>
      <c r="O10" s="17" t="n">
        <f aca="false">IF(B10="","",IFERROR(G10*INDEX(Precios!$D$5:$D$120,MATCH(F10,Precios!$A$5:$A$120,0)),0)+IF(H10="",0,IFERROR(I10*INDEX(Precios!$D$5:$D$120,MATCH(H10,Precios!$A$5:$A$120,0)),0)))</f>
        <v>1020.47</v>
      </c>
      <c r="P10" s="17" t="n">
        <f aca="false">IF(B10="","",N(J10)*Parametros!$B$27)</f>
        <v>0</v>
      </c>
      <c r="Q10" s="17" t="n">
        <f aca="false">IF(B10="","",IFERROR(INDEX(Confeccion!$B$5:$B$100,MATCH(K10,Confeccion!$A$5:$A$100,0)),0))</f>
        <v>2000</v>
      </c>
      <c r="R10" s="17" t="n">
        <f aca="false">IF(B10="","",N(L10))</f>
        <v>0</v>
      </c>
      <c r="S10" s="18" t="n">
        <f aca="false">IF(B10="","",IF(AND(F10&lt;&gt;"",ISNUMBER(G10),ISNUMBER(IFERROR(INDEX(Precios!$D$5:$D$120,MATCH(F10,Precios!$A$5:$A$120,0)),"x")),OR(H10="",ISNUMBER(IFERROR(INDEX(Precios!$D$5:$D$120,MATCH(H10,Precios!$A$5:$A$120,0)),"x"))),J10&lt;&gt;"",K10&lt;&gt;"",Q10&gt;0),SUM(O10:R10),""))</f>
        <v>3020.47</v>
      </c>
      <c r="T10" s="17" t="n">
        <f aca="false">IF(AND(S10&lt;&gt;"",ISNUMBER(E10)),E10*Parametros!$B$12,"")</f>
        <v>6495.2752351223</v>
      </c>
      <c r="U10" s="17" t="n">
        <f aca="false">IF(AND(S10&lt;&gt;"",ISNUMBER(E10)),E10*Parametros!$B$13,"")</f>
        <v>2331.59464172016</v>
      </c>
      <c r="V10" s="18" t="n">
        <f aca="false">IF(AND(S10&lt;&gt;"",ISNUMBER(E10)),E10-S10-T10-U10,"")</f>
        <v>6555.66012315754</v>
      </c>
      <c r="W10" s="19" t="n">
        <f aca="false">IF(AND(S10&lt;&gt;"",ISNUMBER(E10)),V10/E10,"")</f>
        <v>0.356227795639708</v>
      </c>
      <c r="X10" s="17" t="n">
        <f aca="false">IF(OR(S10="",Parametros!$B$14&gt;=1),"",S10/(1-Parametros!$B$14))</f>
        <v>5804.61091224935</v>
      </c>
      <c r="Y10" s="17" t="n">
        <f aca="false">IF(OR(S10="",Parametros!$B$14+Parametros!$B$18&gt;=1),"",S10/(1-Parametros!$B$14-Parametros!$B$18))</f>
        <v>7185.48733943908</v>
      </c>
      <c r="Z10" s="20" t="str">
        <f aca="false">IF(B10="","",IF(S10="","FALTAN DATOS",IF(NOT(ISNUMBER(E10)),"FALTA PRECIO",IF(V10&lt;0,"PIERDE",IF(W10&lt;Parametros!$B$18,"BAJO META","OK")))))</f>
        <v>OK</v>
      </c>
      <c r="AA10" s="21" t="str">
        <f aca="false">IF(B10="","",IF(F10="","Tela. ","")&amp;IF(NOT(ISNUMBER(G10)),"Kg de tela. ","")&amp;IF(AND(F10&lt;&gt;"",NOT(ISNUMBER(IFERROR(INDEX(Precios!$D$5:$D$120,MATCH(F10,Precios!$A$5:$A$120,0)),"x")))),"Tela sin precio. ","")&amp;IF(AND(H10&lt;&gt;"",NOT(ISNUMBER(IFERROR(INDEX(Precios!$D$5:$D$120,MATCH(H10,Precios!$A$5:$A$120,0)),"x")))),"Tela 2 sin precio. ","")&amp;IF(J10="","Metros impresos. ","")&amp;IF(AND(N(J10)&gt;0,Parametros!$B$27=0),"Impresión sin costo. ","")&amp;IF(K10="","Confección. ",IF(Q10=0,"Confección sin valor. ",""))&amp;IF(NOT(ISNUMBER(E10)),"Precio de venta. ",""))</f>
        <v>Impresión sin costo. </v>
      </c>
    </row>
    <row r="11" customFormat="false" ht="15" hidden="false" customHeight="false" outlineLevel="0" collapsed="false">
      <c r="A11" s="11" t="s">
        <v>85</v>
      </c>
      <c r="B11" s="11" t="s">
        <v>86</v>
      </c>
      <c r="C11" s="11" t="s">
        <v>65</v>
      </c>
      <c r="D11" s="11" t="n">
        <v>109</v>
      </c>
      <c r="E11" s="12" t="n">
        <v>16589</v>
      </c>
      <c r="F11" s="13" t="s">
        <v>66</v>
      </c>
      <c r="G11" s="14"/>
      <c r="H11" s="13"/>
      <c r="I11" s="14"/>
      <c r="J11" s="15"/>
      <c r="K11" s="13" t="s">
        <v>67</v>
      </c>
      <c r="L11" s="12"/>
      <c r="M11" s="13" t="s">
        <v>68</v>
      </c>
      <c r="N11" s="16" t="s">
        <v>72</v>
      </c>
      <c r="O11" s="17" t="n">
        <f aca="false">IF(B11="","",IFERROR(G11*INDEX(Precios!$D$5:$D$120,MATCH(F11,Precios!$A$5:$A$120,0)),0)+IF(H11="",0,IFERROR(I11*INDEX(Precios!$D$5:$D$120,MATCH(H11,Precios!$A$5:$A$120,0)),0)))</f>
        <v>0</v>
      </c>
      <c r="P11" s="17" t="n">
        <f aca="false">IF(B11="","",N(J11)*Parametros!$B$27)</f>
        <v>0</v>
      </c>
      <c r="Q11" s="17" t="n">
        <f aca="false">IF(B11="","",IFERROR(INDEX(Confeccion!$B$5:$B$100,MATCH(K11,Confeccion!$A$5:$A$100,0)),0))</f>
        <v>2000</v>
      </c>
      <c r="R11" s="17" t="n">
        <f aca="false">IF(B11="","",N(L11))</f>
        <v>0</v>
      </c>
      <c r="S11" s="18" t="str">
        <f aca="false">IF(B11="","",IF(AND(F11&lt;&gt;"",ISNUMBER(G11),ISNUMBER(IFERROR(INDEX(Precios!$D$5:$D$120,MATCH(F11,Precios!$A$5:$A$120,0)),"x")),OR(H11="",ISNUMBER(IFERROR(INDEX(Precios!$D$5:$D$120,MATCH(H11,Precios!$A$5:$A$120,0)),"x"))),J11&lt;&gt;"",K11&lt;&gt;"",Q11&gt;0),SUM(O11:R11),""))</f>
        <v/>
      </c>
      <c r="T11" s="17" t="str">
        <f aca="false">IF(AND(S11&lt;&gt;"",ISNUMBER(E11)),E11*Parametros!$B$12,"")</f>
        <v/>
      </c>
      <c r="U11" s="17" t="str">
        <f aca="false">IF(AND(S11&lt;&gt;"",ISNUMBER(E11)),E11*Parametros!$B$13,"")</f>
        <v/>
      </c>
      <c r="V11" s="18" t="str">
        <f aca="false">IF(AND(S11&lt;&gt;"",ISNUMBER(E11)),E11-S11-T11-U11,"")</f>
        <v/>
      </c>
      <c r="W11" s="19" t="str">
        <f aca="false">IF(AND(S11&lt;&gt;"",ISNUMBER(E11)),V11/E11,"")</f>
        <v/>
      </c>
      <c r="X11" s="17" t="str">
        <f aca="false">IF(OR(S11="",Parametros!$B$14&gt;=1),"",S11/(1-Parametros!$B$14))</f>
        <v/>
      </c>
      <c r="Y11" s="17" t="str">
        <f aca="false">IF(OR(S11="",Parametros!$B$14+Parametros!$B$18&gt;=1),"",S11/(1-Parametros!$B$14-Parametros!$B$18))</f>
        <v/>
      </c>
      <c r="Z11" s="20" t="str">
        <f aca="false">IF(B11="","",IF(S11="","FALTAN DATOS",IF(NOT(ISNUMBER(E11)),"FALTA PRECIO",IF(V11&lt;0,"PIERDE",IF(W11&lt;Parametros!$B$18,"BAJO META","OK")))))</f>
        <v>FALTAN DATOS</v>
      </c>
      <c r="AA11" s="21" t="str">
        <f aca="false">IF(B11="","",IF(F11="","Tela. ","")&amp;IF(NOT(ISNUMBER(G11)),"Kg de tela. ","")&amp;IF(AND(F11&lt;&gt;"",NOT(ISNUMBER(IFERROR(INDEX(Precios!$D$5:$D$120,MATCH(F11,Precios!$A$5:$A$120,0)),"x")))),"Tela sin precio. ","")&amp;IF(AND(H11&lt;&gt;"",NOT(ISNUMBER(IFERROR(INDEX(Precios!$D$5:$D$120,MATCH(H11,Precios!$A$5:$A$120,0)),"x")))),"Tela 2 sin precio. ","")&amp;IF(J11="","Metros impresos. ","")&amp;IF(AND(N(J11)&gt;0,Parametros!$B$27=0),"Impresión sin costo. ","")&amp;IF(K11="","Confección. ",IF(Q11=0,"Confección sin valor. ",""))&amp;IF(NOT(ISNUMBER(E11)),"Precio de venta. ",""))</f>
        <v>Kg de tela. Metros impresos. </v>
      </c>
    </row>
    <row r="12" customFormat="false" ht="15" hidden="false" customHeight="false" outlineLevel="0" collapsed="false">
      <c r="A12" s="11" t="s">
        <v>87</v>
      </c>
      <c r="B12" s="11" t="s">
        <v>88</v>
      </c>
      <c r="C12" s="11" t="s">
        <v>89</v>
      </c>
      <c r="D12" s="11" t="n">
        <v>109</v>
      </c>
      <c r="E12" s="12" t="n">
        <v>17004</v>
      </c>
      <c r="F12" s="13"/>
      <c r="G12" s="14"/>
      <c r="H12" s="13"/>
      <c r="I12" s="14"/>
      <c r="J12" s="15"/>
      <c r="K12" s="13"/>
      <c r="L12" s="12"/>
      <c r="M12" s="13" t="s">
        <v>68</v>
      </c>
      <c r="N12" s="16"/>
      <c r="O12" s="17" t="n">
        <f aca="false">IF(B12="","",IFERROR(G12*INDEX(Precios!$D$5:$D$120,MATCH(F12,Precios!$A$5:$A$120,0)),0)+IF(H12="",0,IFERROR(I12*INDEX(Precios!$D$5:$D$120,MATCH(H12,Precios!$A$5:$A$120,0)),0)))</f>
        <v>0</v>
      </c>
      <c r="P12" s="17" t="n">
        <f aca="false">IF(B12="","",N(J12)*Parametros!$B$27)</f>
        <v>0</v>
      </c>
      <c r="Q12" s="17" t="n">
        <f aca="false">IF(B12="","",IFERROR(INDEX(Confeccion!$B$5:$B$100,MATCH(K12,Confeccion!$A$5:$A$100,0)),0))</f>
        <v>0</v>
      </c>
      <c r="R12" s="17" t="n">
        <f aca="false">IF(B12="","",N(L12))</f>
        <v>0</v>
      </c>
      <c r="S12" s="18" t="str">
        <f aca="false">IF(B12="","",IF(AND(F12&lt;&gt;"",ISNUMBER(G12),ISNUMBER(IFERROR(INDEX(Precios!$D$5:$D$120,MATCH(F12,Precios!$A$5:$A$120,0)),"x")),OR(H12="",ISNUMBER(IFERROR(INDEX(Precios!$D$5:$D$120,MATCH(H12,Precios!$A$5:$A$120,0)),"x"))),J12&lt;&gt;"",K12&lt;&gt;"",Q12&gt;0),SUM(O12:R12),""))</f>
        <v/>
      </c>
      <c r="T12" s="17" t="str">
        <f aca="false">IF(AND(S12&lt;&gt;"",ISNUMBER(E12)),E12*Parametros!$B$12,"")</f>
        <v/>
      </c>
      <c r="U12" s="17" t="str">
        <f aca="false">IF(AND(S12&lt;&gt;"",ISNUMBER(E12)),E12*Parametros!$B$13,"")</f>
        <v/>
      </c>
      <c r="V12" s="18" t="str">
        <f aca="false">IF(AND(S12&lt;&gt;"",ISNUMBER(E12)),E12-S12-T12-U12,"")</f>
        <v/>
      </c>
      <c r="W12" s="19" t="str">
        <f aca="false">IF(AND(S12&lt;&gt;"",ISNUMBER(E12)),V12/E12,"")</f>
        <v/>
      </c>
      <c r="X12" s="17" t="str">
        <f aca="false">IF(OR(S12="",Parametros!$B$14&gt;=1),"",S12/(1-Parametros!$B$14))</f>
        <v/>
      </c>
      <c r="Y12" s="17" t="str">
        <f aca="false">IF(OR(S12="",Parametros!$B$14+Parametros!$B$18&gt;=1),"",S12/(1-Parametros!$B$14-Parametros!$B$18))</f>
        <v/>
      </c>
      <c r="Z12" s="20" t="str">
        <f aca="false">IF(B12="","",IF(S12="","FALTAN DATOS",IF(NOT(ISNUMBER(E12)),"FALTA PRECIO",IF(V12&lt;0,"PIERDE",IF(W12&lt;Parametros!$B$18,"BAJO META","OK")))))</f>
        <v>FALTAN DATOS</v>
      </c>
      <c r="AA12" s="21" t="str">
        <f aca="false">IF(B12="","",IF(F12="","Tela. ","")&amp;IF(NOT(ISNUMBER(G12)),"Kg de tela. ","")&amp;IF(AND(F12&lt;&gt;"",NOT(ISNUMBER(IFERROR(INDEX(Precios!$D$5:$D$120,MATCH(F12,Precios!$A$5:$A$120,0)),"x")))),"Tela sin precio. ","")&amp;IF(AND(H12&lt;&gt;"",NOT(ISNUMBER(IFERROR(INDEX(Precios!$D$5:$D$120,MATCH(H12,Precios!$A$5:$A$120,0)),"x")))),"Tela 2 sin precio. ","")&amp;IF(J12="","Metros impresos. ","")&amp;IF(AND(N(J12)&gt;0,Parametros!$B$27=0),"Impresión sin costo. ","")&amp;IF(K12="","Confección. ",IF(Q12=0,"Confección sin valor. ",""))&amp;IF(NOT(ISNUMBER(E12)),"Precio de venta. ",""))</f>
        <v>Tela. Kg de tela. Metros impresos. Confección. </v>
      </c>
    </row>
    <row r="13" customFormat="false" ht="15" hidden="false" customHeight="false" outlineLevel="0" collapsed="false">
      <c r="A13" s="11" t="s">
        <v>90</v>
      </c>
      <c r="B13" s="11" t="s">
        <v>91</v>
      </c>
      <c r="C13" s="11" t="s">
        <v>65</v>
      </c>
      <c r="D13" s="11" t="n">
        <v>100</v>
      </c>
      <c r="E13" s="12" t="n">
        <v>25714</v>
      </c>
      <c r="F13" s="13"/>
      <c r="G13" s="14"/>
      <c r="H13" s="13"/>
      <c r="I13" s="14"/>
      <c r="J13" s="15"/>
      <c r="K13" s="13"/>
      <c r="L13" s="12"/>
      <c r="M13" s="13" t="s">
        <v>68</v>
      </c>
      <c r="N13" s="16"/>
      <c r="O13" s="17" t="n">
        <f aca="false">IF(B13="","",IFERROR(G13*INDEX(Precios!$D$5:$D$120,MATCH(F13,Precios!$A$5:$A$120,0)),0)+IF(H13="",0,IFERROR(I13*INDEX(Precios!$D$5:$D$120,MATCH(H13,Precios!$A$5:$A$120,0)),0)))</f>
        <v>0</v>
      </c>
      <c r="P13" s="17" t="n">
        <f aca="false">IF(B13="","",N(J13)*Parametros!$B$27)</f>
        <v>0</v>
      </c>
      <c r="Q13" s="17" t="n">
        <f aca="false">IF(B13="","",IFERROR(INDEX(Confeccion!$B$5:$B$100,MATCH(K13,Confeccion!$A$5:$A$100,0)),0))</f>
        <v>0</v>
      </c>
      <c r="R13" s="17" t="n">
        <f aca="false">IF(B13="","",N(L13))</f>
        <v>0</v>
      </c>
      <c r="S13" s="18" t="str">
        <f aca="false">IF(B13="","",IF(AND(F13&lt;&gt;"",ISNUMBER(G13),ISNUMBER(IFERROR(INDEX(Precios!$D$5:$D$120,MATCH(F13,Precios!$A$5:$A$120,0)),"x")),OR(H13="",ISNUMBER(IFERROR(INDEX(Precios!$D$5:$D$120,MATCH(H13,Precios!$A$5:$A$120,0)),"x"))),J13&lt;&gt;"",K13&lt;&gt;"",Q13&gt;0),SUM(O13:R13),""))</f>
        <v/>
      </c>
      <c r="T13" s="17" t="str">
        <f aca="false">IF(AND(S13&lt;&gt;"",ISNUMBER(E13)),E13*Parametros!$B$12,"")</f>
        <v/>
      </c>
      <c r="U13" s="17" t="str">
        <f aca="false">IF(AND(S13&lt;&gt;"",ISNUMBER(E13)),E13*Parametros!$B$13,"")</f>
        <v/>
      </c>
      <c r="V13" s="18" t="str">
        <f aca="false">IF(AND(S13&lt;&gt;"",ISNUMBER(E13)),E13-S13-T13-U13,"")</f>
        <v/>
      </c>
      <c r="W13" s="19" t="str">
        <f aca="false">IF(AND(S13&lt;&gt;"",ISNUMBER(E13)),V13/E13,"")</f>
        <v/>
      </c>
      <c r="X13" s="17" t="str">
        <f aca="false">IF(OR(S13="",Parametros!$B$14&gt;=1),"",S13/(1-Parametros!$B$14))</f>
        <v/>
      </c>
      <c r="Y13" s="17" t="str">
        <f aca="false">IF(OR(S13="",Parametros!$B$14+Parametros!$B$18&gt;=1),"",S13/(1-Parametros!$B$14-Parametros!$B$18))</f>
        <v/>
      </c>
      <c r="Z13" s="20" t="str">
        <f aca="false">IF(B13="","",IF(S13="","FALTAN DATOS",IF(NOT(ISNUMBER(E13)),"FALTA PRECIO",IF(V13&lt;0,"PIERDE",IF(W13&lt;Parametros!$B$18,"BAJO META","OK")))))</f>
        <v>FALTAN DATOS</v>
      </c>
      <c r="AA13" s="21" t="str">
        <f aca="false">IF(B13="","",IF(F13="","Tela. ","")&amp;IF(NOT(ISNUMBER(G13)),"Kg de tela. ","")&amp;IF(AND(F13&lt;&gt;"",NOT(ISNUMBER(IFERROR(INDEX(Precios!$D$5:$D$120,MATCH(F13,Precios!$A$5:$A$120,0)),"x")))),"Tela sin precio. ","")&amp;IF(AND(H13&lt;&gt;"",NOT(ISNUMBER(IFERROR(INDEX(Precios!$D$5:$D$120,MATCH(H13,Precios!$A$5:$A$120,0)),"x")))),"Tela 2 sin precio. ","")&amp;IF(J13="","Metros impresos. ","")&amp;IF(AND(N(J13)&gt;0,Parametros!$B$27=0),"Impresión sin costo. ","")&amp;IF(K13="","Confección. ",IF(Q13=0,"Confección sin valor. ",""))&amp;IF(NOT(ISNUMBER(E13)),"Precio de venta. ",""))</f>
        <v>Tela. Kg de tela. Metros impresos. Confección. </v>
      </c>
    </row>
    <row r="14" customFormat="false" ht="15" hidden="false" customHeight="false" outlineLevel="0" collapsed="false">
      <c r="A14" s="11" t="s">
        <v>92</v>
      </c>
      <c r="B14" s="11" t="s">
        <v>93</v>
      </c>
      <c r="C14" s="11" t="s">
        <v>89</v>
      </c>
      <c r="D14" s="11" t="n">
        <v>99</v>
      </c>
      <c r="E14" s="12" t="n">
        <v>18729</v>
      </c>
      <c r="F14" s="13"/>
      <c r="G14" s="14"/>
      <c r="H14" s="13"/>
      <c r="I14" s="14"/>
      <c r="J14" s="15"/>
      <c r="K14" s="13"/>
      <c r="L14" s="12"/>
      <c r="M14" s="13" t="s">
        <v>68</v>
      </c>
      <c r="N14" s="16"/>
      <c r="O14" s="17" t="n">
        <f aca="false">IF(B14="","",IFERROR(G14*INDEX(Precios!$D$5:$D$120,MATCH(F14,Precios!$A$5:$A$120,0)),0)+IF(H14="",0,IFERROR(I14*INDEX(Precios!$D$5:$D$120,MATCH(H14,Precios!$A$5:$A$120,0)),0)))</f>
        <v>0</v>
      </c>
      <c r="P14" s="17" t="n">
        <f aca="false">IF(B14="","",N(J14)*Parametros!$B$27)</f>
        <v>0</v>
      </c>
      <c r="Q14" s="17" t="n">
        <f aca="false">IF(B14="","",IFERROR(INDEX(Confeccion!$B$5:$B$100,MATCH(K14,Confeccion!$A$5:$A$100,0)),0))</f>
        <v>0</v>
      </c>
      <c r="R14" s="17" t="n">
        <f aca="false">IF(B14="","",N(L14))</f>
        <v>0</v>
      </c>
      <c r="S14" s="18" t="str">
        <f aca="false">IF(B14="","",IF(AND(F14&lt;&gt;"",ISNUMBER(G14),ISNUMBER(IFERROR(INDEX(Precios!$D$5:$D$120,MATCH(F14,Precios!$A$5:$A$120,0)),"x")),OR(H14="",ISNUMBER(IFERROR(INDEX(Precios!$D$5:$D$120,MATCH(H14,Precios!$A$5:$A$120,0)),"x"))),J14&lt;&gt;"",K14&lt;&gt;"",Q14&gt;0),SUM(O14:R14),""))</f>
        <v/>
      </c>
      <c r="T14" s="17" t="str">
        <f aca="false">IF(AND(S14&lt;&gt;"",ISNUMBER(E14)),E14*Parametros!$B$12,"")</f>
        <v/>
      </c>
      <c r="U14" s="17" t="str">
        <f aca="false">IF(AND(S14&lt;&gt;"",ISNUMBER(E14)),E14*Parametros!$B$13,"")</f>
        <v/>
      </c>
      <c r="V14" s="18" t="str">
        <f aca="false">IF(AND(S14&lt;&gt;"",ISNUMBER(E14)),E14-S14-T14-U14,"")</f>
        <v/>
      </c>
      <c r="W14" s="19" t="str">
        <f aca="false">IF(AND(S14&lt;&gt;"",ISNUMBER(E14)),V14/E14,"")</f>
        <v/>
      </c>
      <c r="X14" s="17" t="str">
        <f aca="false">IF(OR(S14="",Parametros!$B$14&gt;=1),"",S14/(1-Parametros!$B$14))</f>
        <v/>
      </c>
      <c r="Y14" s="17" t="str">
        <f aca="false">IF(OR(S14="",Parametros!$B$14+Parametros!$B$18&gt;=1),"",S14/(1-Parametros!$B$14-Parametros!$B$18))</f>
        <v/>
      </c>
      <c r="Z14" s="20" t="str">
        <f aca="false">IF(B14="","",IF(S14="","FALTAN DATOS",IF(NOT(ISNUMBER(E14)),"FALTA PRECIO",IF(V14&lt;0,"PIERDE",IF(W14&lt;Parametros!$B$18,"BAJO META","OK")))))</f>
        <v>FALTAN DATOS</v>
      </c>
      <c r="AA14" s="21" t="str">
        <f aca="false">IF(B14="","",IF(F14="","Tela. ","")&amp;IF(NOT(ISNUMBER(G14)),"Kg de tela. ","")&amp;IF(AND(F14&lt;&gt;"",NOT(ISNUMBER(IFERROR(INDEX(Precios!$D$5:$D$120,MATCH(F14,Precios!$A$5:$A$120,0)),"x")))),"Tela sin precio. ","")&amp;IF(AND(H14&lt;&gt;"",NOT(ISNUMBER(IFERROR(INDEX(Precios!$D$5:$D$120,MATCH(H14,Precios!$A$5:$A$120,0)),"x")))),"Tela 2 sin precio. ","")&amp;IF(J14="","Metros impresos. ","")&amp;IF(AND(N(J14)&gt;0,Parametros!$B$27=0),"Impresión sin costo. ","")&amp;IF(K14="","Confección. ",IF(Q14=0,"Confección sin valor. ",""))&amp;IF(NOT(ISNUMBER(E14)),"Precio de venta. ",""))</f>
        <v>Tela. Kg de tela. Metros impresos. Confección. </v>
      </c>
    </row>
    <row r="15" customFormat="false" ht="15" hidden="false" customHeight="false" outlineLevel="0" collapsed="false">
      <c r="A15" s="11" t="s">
        <v>94</v>
      </c>
      <c r="B15" s="11" t="s">
        <v>95</v>
      </c>
      <c r="C15" s="11" t="s">
        <v>65</v>
      </c>
      <c r="D15" s="11" t="n">
        <v>96</v>
      </c>
      <c r="E15" s="12" t="n">
        <v>15588</v>
      </c>
      <c r="F15" s="13"/>
      <c r="G15" s="14"/>
      <c r="H15" s="13"/>
      <c r="I15" s="14"/>
      <c r="J15" s="15"/>
      <c r="K15" s="13"/>
      <c r="L15" s="12"/>
      <c r="M15" s="13" t="s">
        <v>68</v>
      </c>
      <c r="N15" s="16"/>
      <c r="O15" s="17" t="n">
        <f aca="false">IF(B15="","",IFERROR(G15*INDEX(Precios!$D$5:$D$120,MATCH(F15,Precios!$A$5:$A$120,0)),0)+IF(H15="",0,IFERROR(I15*INDEX(Precios!$D$5:$D$120,MATCH(H15,Precios!$A$5:$A$120,0)),0)))</f>
        <v>0</v>
      </c>
      <c r="P15" s="17" t="n">
        <f aca="false">IF(B15="","",N(J15)*Parametros!$B$27)</f>
        <v>0</v>
      </c>
      <c r="Q15" s="17" t="n">
        <f aca="false">IF(B15="","",IFERROR(INDEX(Confeccion!$B$5:$B$100,MATCH(K15,Confeccion!$A$5:$A$100,0)),0))</f>
        <v>0</v>
      </c>
      <c r="R15" s="17" t="n">
        <f aca="false">IF(B15="","",N(L15))</f>
        <v>0</v>
      </c>
      <c r="S15" s="18" t="str">
        <f aca="false">IF(B15="","",IF(AND(F15&lt;&gt;"",ISNUMBER(G15),ISNUMBER(IFERROR(INDEX(Precios!$D$5:$D$120,MATCH(F15,Precios!$A$5:$A$120,0)),"x")),OR(H15="",ISNUMBER(IFERROR(INDEX(Precios!$D$5:$D$120,MATCH(H15,Precios!$A$5:$A$120,0)),"x"))),J15&lt;&gt;"",K15&lt;&gt;"",Q15&gt;0),SUM(O15:R15),""))</f>
        <v/>
      </c>
      <c r="T15" s="17" t="str">
        <f aca="false">IF(AND(S15&lt;&gt;"",ISNUMBER(E15)),E15*Parametros!$B$12,"")</f>
        <v/>
      </c>
      <c r="U15" s="17" t="str">
        <f aca="false">IF(AND(S15&lt;&gt;"",ISNUMBER(E15)),E15*Parametros!$B$13,"")</f>
        <v/>
      </c>
      <c r="V15" s="18" t="str">
        <f aca="false">IF(AND(S15&lt;&gt;"",ISNUMBER(E15)),E15-S15-T15-U15,"")</f>
        <v/>
      </c>
      <c r="W15" s="19" t="str">
        <f aca="false">IF(AND(S15&lt;&gt;"",ISNUMBER(E15)),V15/E15,"")</f>
        <v/>
      </c>
      <c r="X15" s="17" t="str">
        <f aca="false">IF(OR(S15="",Parametros!$B$14&gt;=1),"",S15/(1-Parametros!$B$14))</f>
        <v/>
      </c>
      <c r="Y15" s="17" t="str">
        <f aca="false">IF(OR(S15="",Parametros!$B$14+Parametros!$B$18&gt;=1),"",S15/(1-Parametros!$B$14-Parametros!$B$18))</f>
        <v/>
      </c>
      <c r="Z15" s="20" t="str">
        <f aca="false">IF(B15="","",IF(S15="","FALTAN DATOS",IF(NOT(ISNUMBER(E15)),"FALTA PRECIO",IF(V15&lt;0,"PIERDE",IF(W15&lt;Parametros!$B$18,"BAJO META","OK")))))</f>
        <v>FALTAN DATOS</v>
      </c>
      <c r="AA15" s="21" t="str">
        <f aca="false">IF(B15="","",IF(F15="","Tela. ","")&amp;IF(NOT(ISNUMBER(G15)),"Kg de tela. ","")&amp;IF(AND(F15&lt;&gt;"",NOT(ISNUMBER(IFERROR(INDEX(Precios!$D$5:$D$120,MATCH(F15,Precios!$A$5:$A$120,0)),"x")))),"Tela sin precio. ","")&amp;IF(AND(H15&lt;&gt;"",NOT(ISNUMBER(IFERROR(INDEX(Precios!$D$5:$D$120,MATCH(H15,Precios!$A$5:$A$120,0)),"x")))),"Tela 2 sin precio. ","")&amp;IF(J15="","Metros impresos. ","")&amp;IF(AND(N(J15)&gt;0,Parametros!$B$27=0),"Impresión sin costo. ","")&amp;IF(K15="","Confección. ",IF(Q15=0,"Confección sin valor. ",""))&amp;IF(NOT(ISNUMBER(E15)),"Precio de venta. ",""))</f>
        <v>Tela. Kg de tela. Metros impresos. Confección. </v>
      </c>
    </row>
    <row r="16" customFormat="false" ht="15" hidden="false" customHeight="false" outlineLevel="0" collapsed="false">
      <c r="A16" s="11" t="s">
        <v>96</v>
      </c>
      <c r="B16" s="11" t="s">
        <v>97</v>
      </c>
      <c r="C16" s="11" t="s">
        <v>65</v>
      </c>
      <c r="D16" s="11" t="n">
        <v>93</v>
      </c>
      <c r="E16" s="12" t="n">
        <v>21765</v>
      </c>
      <c r="F16" s="13"/>
      <c r="G16" s="14"/>
      <c r="H16" s="13"/>
      <c r="I16" s="14"/>
      <c r="J16" s="15"/>
      <c r="K16" s="13"/>
      <c r="L16" s="12"/>
      <c r="M16" s="13" t="s">
        <v>68</v>
      </c>
      <c r="N16" s="16"/>
      <c r="O16" s="17" t="n">
        <f aca="false">IF(B16="","",IFERROR(G16*INDEX(Precios!$D$5:$D$120,MATCH(F16,Precios!$A$5:$A$120,0)),0)+IF(H16="",0,IFERROR(I16*INDEX(Precios!$D$5:$D$120,MATCH(H16,Precios!$A$5:$A$120,0)),0)))</f>
        <v>0</v>
      </c>
      <c r="P16" s="17" t="n">
        <f aca="false">IF(B16="","",N(J16)*Parametros!$B$27)</f>
        <v>0</v>
      </c>
      <c r="Q16" s="17" t="n">
        <f aca="false">IF(B16="","",IFERROR(INDEX(Confeccion!$B$5:$B$100,MATCH(K16,Confeccion!$A$5:$A$100,0)),0))</f>
        <v>0</v>
      </c>
      <c r="R16" s="17" t="n">
        <f aca="false">IF(B16="","",N(L16))</f>
        <v>0</v>
      </c>
      <c r="S16" s="18" t="str">
        <f aca="false">IF(B16="","",IF(AND(F16&lt;&gt;"",ISNUMBER(G16),ISNUMBER(IFERROR(INDEX(Precios!$D$5:$D$120,MATCH(F16,Precios!$A$5:$A$120,0)),"x")),OR(H16="",ISNUMBER(IFERROR(INDEX(Precios!$D$5:$D$120,MATCH(H16,Precios!$A$5:$A$120,0)),"x"))),J16&lt;&gt;"",K16&lt;&gt;"",Q16&gt;0),SUM(O16:R16),""))</f>
        <v/>
      </c>
      <c r="T16" s="17" t="str">
        <f aca="false">IF(AND(S16&lt;&gt;"",ISNUMBER(E16)),E16*Parametros!$B$12,"")</f>
        <v/>
      </c>
      <c r="U16" s="17" t="str">
        <f aca="false">IF(AND(S16&lt;&gt;"",ISNUMBER(E16)),E16*Parametros!$B$13,"")</f>
        <v/>
      </c>
      <c r="V16" s="18" t="str">
        <f aca="false">IF(AND(S16&lt;&gt;"",ISNUMBER(E16)),E16-S16-T16-U16,"")</f>
        <v/>
      </c>
      <c r="W16" s="19" t="str">
        <f aca="false">IF(AND(S16&lt;&gt;"",ISNUMBER(E16)),V16/E16,"")</f>
        <v/>
      </c>
      <c r="X16" s="17" t="str">
        <f aca="false">IF(OR(S16="",Parametros!$B$14&gt;=1),"",S16/(1-Parametros!$B$14))</f>
        <v/>
      </c>
      <c r="Y16" s="17" t="str">
        <f aca="false">IF(OR(S16="",Parametros!$B$14+Parametros!$B$18&gt;=1),"",S16/(1-Parametros!$B$14-Parametros!$B$18))</f>
        <v/>
      </c>
      <c r="Z16" s="20" t="str">
        <f aca="false">IF(B16="","",IF(S16="","FALTAN DATOS",IF(NOT(ISNUMBER(E16)),"FALTA PRECIO",IF(V16&lt;0,"PIERDE",IF(W16&lt;Parametros!$B$18,"BAJO META","OK")))))</f>
        <v>FALTAN DATOS</v>
      </c>
      <c r="AA16" s="21" t="str">
        <f aca="false">IF(B16="","",IF(F16="","Tela. ","")&amp;IF(NOT(ISNUMBER(G16)),"Kg de tela. ","")&amp;IF(AND(F16&lt;&gt;"",NOT(ISNUMBER(IFERROR(INDEX(Precios!$D$5:$D$120,MATCH(F16,Precios!$A$5:$A$120,0)),"x")))),"Tela sin precio. ","")&amp;IF(AND(H16&lt;&gt;"",NOT(ISNUMBER(IFERROR(INDEX(Precios!$D$5:$D$120,MATCH(H16,Precios!$A$5:$A$120,0)),"x")))),"Tela 2 sin precio. ","")&amp;IF(J16="","Metros impresos. ","")&amp;IF(AND(N(J16)&gt;0,Parametros!$B$27=0),"Impresión sin costo. ","")&amp;IF(K16="","Confección. ",IF(Q16=0,"Confección sin valor. ",""))&amp;IF(NOT(ISNUMBER(E16)),"Precio de venta. ",""))</f>
        <v>Tela. Kg de tela. Metros impresos. Confección. </v>
      </c>
    </row>
    <row r="17" customFormat="false" ht="15" hidden="false" customHeight="false" outlineLevel="0" collapsed="false">
      <c r="A17" s="11" t="s">
        <v>98</v>
      </c>
      <c r="B17" s="11" t="s">
        <v>99</v>
      </c>
      <c r="C17" s="11" t="s">
        <v>89</v>
      </c>
      <c r="D17" s="11" t="n">
        <v>76</v>
      </c>
      <c r="E17" s="12" t="n">
        <v>44010</v>
      </c>
      <c r="F17" s="13"/>
      <c r="G17" s="14"/>
      <c r="H17" s="13"/>
      <c r="I17" s="14"/>
      <c r="J17" s="15"/>
      <c r="K17" s="13"/>
      <c r="L17" s="12"/>
      <c r="M17" s="13" t="s">
        <v>68</v>
      </c>
      <c r="N17" s="16" t="s">
        <v>100</v>
      </c>
      <c r="O17" s="17" t="n">
        <f aca="false">IF(B17="","",IFERROR(G17*INDEX(Precios!$D$5:$D$120,MATCH(F17,Precios!$A$5:$A$120,0)),0)+IF(H17="",0,IFERROR(I17*INDEX(Precios!$D$5:$D$120,MATCH(H17,Precios!$A$5:$A$120,0)),0)))</f>
        <v>0</v>
      </c>
      <c r="P17" s="17" t="n">
        <f aca="false">IF(B17="","",N(J17)*Parametros!$B$27)</f>
        <v>0</v>
      </c>
      <c r="Q17" s="17" t="n">
        <f aca="false">IF(B17="","",IFERROR(INDEX(Confeccion!$B$5:$B$100,MATCH(K17,Confeccion!$A$5:$A$100,0)),0))</f>
        <v>0</v>
      </c>
      <c r="R17" s="17" t="n">
        <f aca="false">IF(B17="","",N(L17))</f>
        <v>0</v>
      </c>
      <c r="S17" s="18" t="str">
        <f aca="false">IF(B17="","",IF(AND(F17&lt;&gt;"",ISNUMBER(G17),ISNUMBER(IFERROR(INDEX(Precios!$D$5:$D$120,MATCH(F17,Precios!$A$5:$A$120,0)),"x")),OR(H17="",ISNUMBER(IFERROR(INDEX(Precios!$D$5:$D$120,MATCH(H17,Precios!$A$5:$A$120,0)),"x"))),J17&lt;&gt;"",K17&lt;&gt;"",Q17&gt;0),SUM(O17:R17),""))</f>
        <v/>
      </c>
      <c r="T17" s="17" t="str">
        <f aca="false">IF(AND(S17&lt;&gt;"",ISNUMBER(E17)),E17*Parametros!$B$12,"")</f>
        <v/>
      </c>
      <c r="U17" s="17" t="str">
        <f aca="false">IF(AND(S17&lt;&gt;"",ISNUMBER(E17)),E17*Parametros!$B$13,"")</f>
        <v/>
      </c>
      <c r="V17" s="18" t="str">
        <f aca="false">IF(AND(S17&lt;&gt;"",ISNUMBER(E17)),E17-S17-T17-U17,"")</f>
        <v/>
      </c>
      <c r="W17" s="19" t="str">
        <f aca="false">IF(AND(S17&lt;&gt;"",ISNUMBER(E17)),V17/E17,"")</f>
        <v/>
      </c>
      <c r="X17" s="17" t="str">
        <f aca="false">IF(OR(S17="",Parametros!$B$14&gt;=1),"",S17/(1-Parametros!$B$14))</f>
        <v/>
      </c>
      <c r="Y17" s="17" t="str">
        <f aca="false">IF(OR(S17="",Parametros!$B$14+Parametros!$B$18&gt;=1),"",S17/(1-Parametros!$B$14-Parametros!$B$18))</f>
        <v/>
      </c>
      <c r="Z17" s="20" t="str">
        <f aca="false">IF(B17="","",IF(S17="","FALTAN DATOS",IF(NOT(ISNUMBER(E17)),"FALTA PRECIO",IF(V17&lt;0,"PIERDE",IF(W17&lt;Parametros!$B$18,"BAJO META","OK")))))</f>
        <v>FALTAN DATOS</v>
      </c>
      <c r="AA17" s="21" t="str">
        <f aca="false">IF(B17="","",IF(F17="","Tela. ","")&amp;IF(NOT(ISNUMBER(G17)),"Kg de tela. ","")&amp;IF(AND(F17&lt;&gt;"",NOT(ISNUMBER(IFERROR(INDEX(Precios!$D$5:$D$120,MATCH(F17,Precios!$A$5:$A$120,0)),"x")))),"Tela sin precio. ","")&amp;IF(AND(H17&lt;&gt;"",NOT(ISNUMBER(IFERROR(INDEX(Precios!$D$5:$D$120,MATCH(H17,Precios!$A$5:$A$120,0)),"x")))),"Tela 2 sin precio. ","")&amp;IF(J17="","Metros impresos. ","")&amp;IF(AND(N(J17)&gt;0,Parametros!$B$27=0),"Impresión sin costo. ","")&amp;IF(K17="","Confección. ",IF(Q17=0,"Confección sin valor. ",""))&amp;IF(NOT(ISNUMBER(E17)),"Precio de venta. ",""))</f>
        <v>Tela. Kg de tela. Metros impresos. Confección. </v>
      </c>
    </row>
    <row r="18" customFormat="false" ht="15" hidden="false" customHeight="false" outlineLevel="0" collapsed="false">
      <c r="A18" s="11" t="s">
        <v>101</v>
      </c>
      <c r="B18" s="11" t="s">
        <v>102</v>
      </c>
      <c r="C18" s="11" t="s">
        <v>65</v>
      </c>
      <c r="D18" s="11" t="n">
        <v>66</v>
      </c>
      <c r="E18" s="12" t="n">
        <v>21554</v>
      </c>
      <c r="F18" s="13"/>
      <c r="G18" s="14"/>
      <c r="H18" s="13"/>
      <c r="I18" s="14"/>
      <c r="J18" s="15"/>
      <c r="K18" s="13" t="s">
        <v>67</v>
      </c>
      <c r="L18" s="12"/>
      <c r="M18" s="13" t="s">
        <v>68</v>
      </c>
      <c r="N18" s="16" t="s">
        <v>81</v>
      </c>
      <c r="O18" s="17" t="n">
        <f aca="false">IF(B18="","",IFERROR(G18*INDEX(Precios!$D$5:$D$120,MATCH(F18,Precios!$A$5:$A$120,0)),0)+IF(H18="",0,IFERROR(I18*INDEX(Precios!$D$5:$D$120,MATCH(H18,Precios!$A$5:$A$120,0)),0)))</f>
        <v>0</v>
      </c>
      <c r="P18" s="17" t="n">
        <f aca="false">IF(B18="","",N(J18)*Parametros!$B$27)</f>
        <v>0</v>
      </c>
      <c r="Q18" s="17" t="n">
        <f aca="false">IF(B18="","",IFERROR(INDEX(Confeccion!$B$5:$B$100,MATCH(K18,Confeccion!$A$5:$A$100,0)),0))</f>
        <v>2000</v>
      </c>
      <c r="R18" s="17" t="n">
        <f aca="false">IF(B18="","",N(L18))</f>
        <v>0</v>
      </c>
      <c r="S18" s="18" t="str">
        <f aca="false">IF(B18="","",IF(AND(F18&lt;&gt;"",ISNUMBER(G18),ISNUMBER(IFERROR(INDEX(Precios!$D$5:$D$120,MATCH(F18,Precios!$A$5:$A$120,0)),"x")),OR(H18="",ISNUMBER(IFERROR(INDEX(Precios!$D$5:$D$120,MATCH(H18,Precios!$A$5:$A$120,0)),"x"))),J18&lt;&gt;"",K18&lt;&gt;"",Q18&gt;0),SUM(O18:R18),""))</f>
        <v/>
      </c>
      <c r="T18" s="17" t="str">
        <f aca="false">IF(AND(S18&lt;&gt;"",ISNUMBER(E18)),E18*Parametros!$B$12,"")</f>
        <v/>
      </c>
      <c r="U18" s="17" t="str">
        <f aca="false">IF(AND(S18&lt;&gt;"",ISNUMBER(E18)),E18*Parametros!$B$13,"")</f>
        <v/>
      </c>
      <c r="V18" s="18" t="str">
        <f aca="false">IF(AND(S18&lt;&gt;"",ISNUMBER(E18)),E18-S18-T18-U18,"")</f>
        <v/>
      </c>
      <c r="W18" s="19" t="str">
        <f aca="false">IF(AND(S18&lt;&gt;"",ISNUMBER(E18)),V18/E18,"")</f>
        <v/>
      </c>
      <c r="X18" s="17" t="str">
        <f aca="false">IF(OR(S18="",Parametros!$B$14&gt;=1),"",S18/(1-Parametros!$B$14))</f>
        <v/>
      </c>
      <c r="Y18" s="17" t="str">
        <f aca="false">IF(OR(S18="",Parametros!$B$14+Parametros!$B$18&gt;=1),"",S18/(1-Parametros!$B$14-Parametros!$B$18))</f>
        <v/>
      </c>
      <c r="Z18" s="20" t="str">
        <f aca="false">IF(B18="","",IF(S18="","FALTAN DATOS",IF(NOT(ISNUMBER(E18)),"FALTA PRECIO",IF(V18&lt;0,"PIERDE",IF(W18&lt;Parametros!$B$18,"BAJO META","OK")))))</f>
        <v>FALTAN DATOS</v>
      </c>
      <c r="AA18" s="21" t="str">
        <f aca="false">IF(B18="","",IF(F18="","Tela. ","")&amp;IF(NOT(ISNUMBER(G18)),"Kg de tela. ","")&amp;IF(AND(F18&lt;&gt;"",NOT(ISNUMBER(IFERROR(INDEX(Precios!$D$5:$D$120,MATCH(F18,Precios!$A$5:$A$120,0)),"x")))),"Tela sin precio. ","")&amp;IF(AND(H18&lt;&gt;"",NOT(ISNUMBER(IFERROR(INDEX(Precios!$D$5:$D$120,MATCH(H18,Precios!$A$5:$A$120,0)),"x")))),"Tela 2 sin precio. ","")&amp;IF(J18="","Metros impresos. ","")&amp;IF(AND(N(J18)&gt;0,Parametros!$B$27=0),"Impresión sin costo. ","")&amp;IF(K18="","Confección. ",IF(Q18=0,"Confección sin valor. ",""))&amp;IF(NOT(ISNUMBER(E18)),"Precio de venta. ",""))</f>
        <v>Tela. Kg de tela. Metros impresos. </v>
      </c>
    </row>
    <row r="19" customFormat="false" ht="22.35" hidden="false" customHeight="false" outlineLevel="0" collapsed="false">
      <c r="A19" s="11" t="s">
        <v>103</v>
      </c>
      <c r="B19" s="11" t="s">
        <v>104</v>
      </c>
      <c r="C19" s="11" t="s">
        <v>65</v>
      </c>
      <c r="D19" s="11" t="n">
        <v>65</v>
      </c>
      <c r="E19" s="12" t="n">
        <v>19244</v>
      </c>
      <c r="F19" s="13" t="s">
        <v>105</v>
      </c>
      <c r="G19" s="14" t="n">
        <v>0.082</v>
      </c>
      <c r="H19" s="13"/>
      <c r="I19" s="14"/>
      <c r="J19" s="15" t="n">
        <v>1.2</v>
      </c>
      <c r="K19" s="13" t="s">
        <v>106</v>
      </c>
      <c r="L19" s="12"/>
      <c r="M19" s="13" t="s">
        <v>68</v>
      </c>
      <c r="N19" s="16" t="s">
        <v>107</v>
      </c>
      <c r="O19" s="17" t="n">
        <f aca="false">IF(B19="","",IFERROR(G19*INDEX(Precios!$D$5:$D$120,MATCH(F19,Precios!$A$5:$A$120,0)),0)+IF(H19="",0,IFERROR(I19*INDEX(Precios!$D$5:$D$120,MATCH(H19,Precios!$A$5:$A$120,0)),0)))</f>
        <v>348.008</v>
      </c>
      <c r="P19" s="17" t="n">
        <f aca="false">IF(B19="","",N(J19)*Parametros!$B$27)</f>
        <v>0</v>
      </c>
      <c r="Q19" s="17" t="n">
        <f aca="false">IF(B19="","",IFERROR(INDEX(Confeccion!$B$5:$B$100,MATCH(K19,Confeccion!$A$5:$A$100,0)),0))</f>
        <v>1800</v>
      </c>
      <c r="R19" s="17" t="n">
        <f aca="false">IF(B19="","",N(L19))</f>
        <v>0</v>
      </c>
      <c r="S19" s="18" t="n">
        <f aca="false">IF(B19="","",IF(AND(F19&lt;&gt;"",ISNUMBER(G19),ISNUMBER(IFERROR(INDEX(Precios!$D$5:$D$120,MATCH(F19,Precios!$A$5:$A$120,0)),"x")),OR(H19="",ISNUMBER(IFERROR(INDEX(Precios!$D$5:$D$120,MATCH(H19,Precios!$A$5:$A$120,0)),"x"))),J19&lt;&gt;"",K19&lt;&gt;"",Q19&gt;0),SUM(O19:R19),""))</f>
        <v>2148.008</v>
      </c>
      <c r="T19" s="17" t="n">
        <f aca="false">IF(AND(S19&lt;&gt;"",ISNUMBER(E19)),E19*Parametros!$B$12,"")</f>
        <v>6792.1032779815</v>
      </c>
      <c r="U19" s="17" t="n">
        <f aca="false">IF(AND(S19&lt;&gt;"",ISNUMBER(E19)),E19*Parametros!$B$13,"")</f>
        <v>2438.14635033759</v>
      </c>
      <c r="V19" s="18" t="n">
        <f aca="false">IF(AND(S19&lt;&gt;"",ISNUMBER(E19)),E19-S19-T19-U19,"")</f>
        <v>7865.74237168091</v>
      </c>
      <c r="W19" s="19" t="n">
        <f aca="false">IF(AND(S19&lt;&gt;"",ISNUMBER(E19)),V19/E19,"")</f>
        <v>0.40873739200171</v>
      </c>
      <c r="X19" s="17" t="n">
        <f aca="false">IF(OR(S19="",Parametros!$B$14&gt;=1),"",S19/(1-Parametros!$B$14))</f>
        <v>4127.95050982096</v>
      </c>
      <c r="Y19" s="17" t="n">
        <f aca="false">IF(OR(S19="",Parametros!$B$14+Parametros!$B$18&gt;=1),"",S19/(1-Parametros!$B$14-Parametros!$B$18))</f>
        <v>5109.9611282396</v>
      </c>
      <c r="Z19" s="20" t="str">
        <f aca="false">IF(B19="","",IF(S19="","FALTAN DATOS",IF(NOT(ISNUMBER(E19)),"FALTA PRECIO",IF(V19&lt;0,"PIERDE",IF(W19&lt;Parametros!$B$18,"BAJO META","OK")))))</f>
        <v>OK</v>
      </c>
      <c r="AA19" s="21" t="str">
        <f aca="false">IF(B19="","",IF(F19="","Tela. ","")&amp;IF(NOT(ISNUMBER(G19)),"Kg de tela. ","")&amp;IF(AND(F19&lt;&gt;"",NOT(ISNUMBER(IFERROR(INDEX(Precios!$D$5:$D$120,MATCH(F19,Precios!$A$5:$A$120,0)),"x")))),"Tela sin precio. ","")&amp;IF(AND(H19&lt;&gt;"",NOT(ISNUMBER(IFERROR(INDEX(Precios!$D$5:$D$120,MATCH(H19,Precios!$A$5:$A$120,0)),"x")))),"Tela 2 sin precio. ","")&amp;IF(J19="","Metros impresos. ","")&amp;IF(AND(N(J19)&gt;0,Parametros!$B$27=0),"Impresión sin costo. ","")&amp;IF(K19="","Confección. ",IF(Q19=0,"Confección sin valor. ",""))&amp;IF(NOT(ISNUMBER(E19)),"Precio de venta. ",""))</f>
        <v>Impresión sin costo. </v>
      </c>
    </row>
    <row r="20" customFormat="false" ht="15" hidden="false" customHeight="false" outlineLevel="0" collapsed="false">
      <c r="A20" s="11" t="s">
        <v>108</v>
      </c>
      <c r="B20" s="11" t="s">
        <v>109</v>
      </c>
      <c r="C20" s="11" t="s">
        <v>89</v>
      </c>
      <c r="D20" s="11" t="n">
        <v>62</v>
      </c>
      <c r="E20" s="12" t="n">
        <v>36050</v>
      </c>
      <c r="F20" s="13"/>
      <c r="G20" s="14"/>
      <c r="H20" s="13"/>
      <c r="I20" s="14"/>
      <c r="J20" s="15"/>
      <c r="K20" s="13"/>
      <c r="L20" s="12"/>
      <c r="M20" s="13" t="s">
        <v>68</v>
      </c>
      <c r="N20" s="16"/>
      <c r="O20" s="17" t="n">
        <f aca="false">IF(B20="","",IFERROR(G20*INDEX(Precios!$D$5:$D$120,MATCH(F20,Precios!$A$5:$A$120,0)),0)+IF(H20="",0,IFERROR(I20*INDEX(Precios!$D$5:$D$120,MATCH(H20,Precios!$A$5:$A$120,0)),0)))</f>
        <v>0</v>
      </c>
      <c r="P20" s="17" t="n">
        <f aca="false">IF(B20="","",N(J20)*Parametros!$B$27)</f>
        <v>0</v>
      </c>
      <c r="Q20" s="17" t="n">
        <f aca="false">IF(B20="","",IFERROR(INDEX(Confeccion!$B$5:$B$100,MATCH(K20,Confeccion!$A$5:$A$100,0)),0))</f>
        <v>0</v>
      </c>
      <c r="R20" s="17" t="n">
        <f aca="false">IF(B20="","",N(L20))</f>
        <v>0</v>
      </c>
      <c r="S20" s="18" t="str">
        <f aca="false">IF(B20="","",IF(AND(F20&lt;&gt;"",ISNUMBER(G20),ISNUMBER(IFERROR(INDEX(Precios!$D$5:$D$120,MATCH(F20,Precios!$A$5:$A$120,0)),"x")),OR(H20="",ISNUMBER(IFERROR(INDEX(Precios!$D$5:$D$120,MATCH(H20,Precios!$A$5:$A$120,0)),"x"))),J20&lt;&gt;"",K20&lt;&gt;"",Q20&gt;0),SUM(O20:R20),""))</f>
        <v/>
      </c>
      <c r="T20" s="17" t="str">
        <f aca="false">IF(AND(S20&lt;&gt;"",ISNUMBER(E20)),E20*Parametros!$B$12,"")</f>
        <v/>
      </c>
      <c r="U20" s="17" t="str">
        <f aca="false">IF(AND(S20&lt;&gt;"",ISNUMBER(E20)),E20*Parametros!$B$13,"")</f>
        <v/>
      </c>
      <c r="V20" s="18" t="str">
        <f aca="false">IF(AND(S20&lt;&gt;"",ISNUMBER(E20)),E20-S20-T20-U20,"")</f>
        <v/>
      </c>
      <c r="W20" s="19" t="str">
        <f aca="false">IF(AND(S20&lt;&gt;"",ISNUMBER(E20)),V20/E20,"")</f>
        <v/>
      </c>
      <c r="X20" s="17" t="str">
        <f aca="false">IF(OR(S20="",Parametros!$B$14&gt;=1),"",S20/(1-Parametros!$B$14))</f>
        <v/>
      </c>
      <c r="Y20" s="17" t="str">
        <f aca="false">IF(OR(S20="",Parametros!$B$14+Parametros!$B$18&gt;=1),"",S20/(1-Parametros!$B$14-Parametros!$B$18))</f>
        <v/>
      </c>
      <c r="Z20" s="20" t="str">
        <f aca="false">IF(B20="","",IF(S20="","FALTAN DATOS",IF(NOT(ISNUMBER(E20)),"FALTA PRECIO",IF(V20&lt;0,"PIERDE",IF(W20&lt;Parametros!$B$18,"BAJO META","OK")))))</f>
        <v>FALTAN DATOS</v>
      </c>
      <c r="AA20" s="21" t="str">
        <f aca="false">IF(B20="","",IF(F20="","Tela. ","")&amp;IF(NOT(ISNUMBER(G20)),"Kg de tela. ","")&amp;IF(AND(F20&lt;&gt;"",NOT(ISNUMBER(IFERROR(INDEX(Precios!$D$5:$D$120,MATCH(F20,Precios!$A$5:$A$120,0)),"x")))),"Tela sin precio. ","")&amp;IF(AND(H20&lt;&gt;"",NOT(ISNUMBER(IFERROR(INDEX(Precios!$D$5:$D$120,MATCH(H20,Precios!$A$5:$A$120,0)),"x")))),"Tela 2 sin precio. ","")&amp;IF(J20="","Metros impresos. ","")&amp;IF(AND(N(J20)&gt;0,Parametros!$B$27=0),"Impresión sin costo. ","")&amp;IF(K20="","Confección. ",IF(Q20=0,"Confección sin valor. ",""))&amp;IF(NOT(ISNUMBER(E20)),"Precio de venta. ",""))</f>
        <v>Tela. Kg de tela. Metros impresos. Confección. </v>
      </c>
    </row>
    <row r="21" customFormat="false" ht="22.35" hidden="false" customHeight="false" outlineLevel="0" collapsed="false">
      <c r="A21" s="11" t="s">
        <v>110</v>
      </c>
      <c r="B21" s="11" t="s">
        <v>111</v>
      </c>
      <c r="C21" s="11" t="s">
        <v>65</v>
      </c>
      <c r="D21" s="11" t="n">
        <v>61</v>
      </c>
      <c r="E21" s="12" t="n">
        <v>12507</v>
      </c>
      <c r="F21" s="13" t="s">
        <v>112</v>
      </c>
      <c r="G21" s="14" t="n">
        <v>0.1842</v>
      </c>
      <c r="H21" s="13"/>
      <c r="I21" s="14"/>
      <c r="J21" s="15" t="n">
        <v>0</v>
      </c>
      <c r="K21" s="13" t="s">
        <v>113</v>
      </c>
      <c r="L21" s="12"/>
      <c r="M21" s="13" t="s">
        <v>68</v>
      </c>
      <c r="N21" s="16" t="s">
        <v>114</v>
      </c>
      <c r="O21" s="17" t="n">
        <f aca="false">IF(B21="","",IFERROR(G21*INDEX(Precios!$D$5:$D$120,MATCH(F21,Precios!$A$5:$A$120,0)),0)+IF(H21="",0,IFERROR(I21*INDEX(Precios!$D$5:$D$120,MATCH(H21,Precios!$A$5:$A$120,0)),0)))</f>
        <v>506.55</v>
      </c>
      <c r="P21" s="17" t="n">
        <f aca="false">IF(B21="","",N(J21)*Parametros!$B$27)</f>
        <v>0</v>
      </c>
      <c r="Q21" s="17" t="n">
        <f aca="false">IF(B21="","",IFERROR(INDEX(Confeccion!$B$5:$B$100,MATCH(K21,Confeccion!$A$5:$A$100,0)),0))</f>
        <v>2200</v>
      </c>
      <c r="R21" s="17" t="n">
        <f aca="false">IF(B21="","",N(L21))</f>
        <v>0</v>
      </c>
      <c r="S21" s="18" t="n">
        <f aca="false">IF(B21="","",IF(AND(F21&lt;&gt;"",ISNUMBER(G21),ISNUMBER(IFERROR(INDEX(Precios!$D$5:$D$120,MATCH(F21,Precios!$A$5:$A$120,0)),"x")),OR(H21="",ISNUMBER(IFERROR(INDEX(Precios!$D$5:$D$120,MATCH(H21,Precios!$A$5:$A$120,0)),"x"))),J21&lt;&gt;"",K21&lt;&gt;"",Q21&gt;0),SUM(O21:R21),""))</f>
        <v>2706.55</v>
      </c>
      <c r="T21" s="17" t="n">
        <f aca="false">IF(AND(S21&lt;&gt;"",ISNUMBER(E21)),E21*Parametros!$B$12,"")</f>
        <v>4414.3024162188</v>
      </c>
      <c r="U21" s="17" t="n">
        <f aca="false">IF(AND(S21&lt;&gt;"",ISNUMBER(E21)),E21*Parametros!$B$13,"")</f>
        <v>1584.59241341053</v>
      </c>
      <c r="V21" s="18" t="n">
        <f aca="false">IF(AND(S21&lt;&gt;"",ISNUMBER(E21)),E21-S21-T21-U21,"")</f>
        <v>3801.55517037067</v>
      </c>
      <c r="W21" s="19" t="n">
        <f aca="false">IF(AND(S21&lt;&gt;"",ISNUMBER(E21)),V21/E21,"")</f>
        <v>0.303954199278058</v>
      </c>
      <c r="X21" s="17" t="n">
        <f aca="false">IF(OR(S21="",Parametros!$B$14&gt;=1),"",S21/(1-Parametros!$B$14))</f>
        <v>5201.33279408452</v>
      </c>
      <c r="Y21" s="17" t="n">
        <f aca="false">IF(OR(S21="",Parametros!$B$14+Parametros!$B$18&gt;=1),"",S21/(1-Parametros!$B$14-Parametros!$B$18))</f>
        <v>6438.69356708024</v>
      </c>
      <c r="Z21" s="20" t="str">
        <f aca="false">IF(B21="","",IF(S21="","FALTAN DATOS",IF(NOT(ISNUMBER(E21)),"FALTA PRECIO",IF(V21&lt;0,"PIERDE",IF(W21&lt;Parametros!$B$18,"BAJO META","OK")))))</f>
        <v>OK</v>
      </c>
      <c r="AA21" s="21" t="str">
        <f aca="false">IF(B21="","",IF(F21="","Tela. ","")&amp;IF(NOT(ISNUMBER(G21)),"Kg de tela. ","")&amp;IF(AND(F21&lt;&gt;"",NOT(ISNUMBER(IFERROR(INDEX(Precios!$D$5:$D$120,MATCH(F21,Precios!$A$5:$A$120,0)),"x")))),"Tela sin precio. ","")&amp;IF(AND(H21&lt;&gt;"",NOT(ISNUMBER(IFERROR(INDEX(Precios!$D$5:$D$120,MATCH(H21,Precios!$A$5:$A$120,0)),"x")))),"Tela 2 sin precio. ","")&amp;IF(J21="","Metros impresos. ","")&amp;IF(AND(N(J21)&gt;0,Parametros!$B$27=0),"Impresión sin costo. ","")&amp;IF(K21="","Confección. ",IF(Q21=0,"Confección sin valor. ",""))&amp;IF(NOT(ISNUMBER(E21)),"Precio de venta. ",""))</f>
        <v/>
      </c>
    </row>
    <row r="22" customFormat="false" ht="15" hidden="false" customHeight="false" outlineLevel="0" collapsed="false">
      <c r="A22" s="11" t="s">
        <v>115</v>
      </c>
      <c r="B22" s="11" t="s">
        <v>116</v>
      </c>
      <c r="C22" s="11" t="s">
        <v>89</v>
      </c>
      <c r="D22" s="11" t="n">
        <v>60</v>
      </c>
      <c r="E22" s="12" t="n">
        <v>41933</v>
      </c>
      <c r="F22" s="13"/>
      <c r="G22" s="14"/>
      <c r="H22" s="13"/>
      <c r="I22" s="14"/>
      <c r="J22" s="15"/>
      <c r="K22" s="13"/>
      <c r="L22" s="12"/>
      <c r="M22" s="13" t="s">
        <v>68</v>
      </c>
      <c r="N22" s="16" t="s">
        <v>100</v>
      </c>
      <c r="O22" s="17" t="n">
        <f aca="false">IF(B22="","",IFERROR(G22*INDEX(Precios!$D$5:$D$120,MATCH(F22,Precios!$A$5:$A$120,0)),0)+IF(H22="",0,IFERROR(I22*INDEX(Precios!$D$5:$D$120,MATCH(H22,Precios!$A$5:$A$120,0)),0)))</f>
        <v>0</v>
      </c>
      <c r="P22" s="17" t="n">
        <f aca="false">IF(B22="","",N(J22)*Parametros!$B$27)</f>
        <v>0</v>
      </c>
      <c r="Q22" s="17" t="n">
        <f aca="false">IF(B22="","",IFERROR(INDEX(Confeccion!$B$5:$B$100,MATCH(K22,Confeccion!$A$5:$A$100,0)),0))</f>
        <v>0</v>
      </c>
      <c r="R22" s="17" t="n">
        <f aca="false">IF(B22="","",N(L22))</f>
        <v>0</v>
      </c>
      <c r="S22" s="18" t="str">
        <f aca="false">IF(B22="","",IF(AND(F22&lt;&gt;"",ISNUMBER(G22),ISNUMBER(IFERROR(INDEX(Precios!$D$5:$D$120,MATCH(F22,Precios!$A$5:$A$120,0)),"x")),OR(H22="",ISNUMBER(IFERROR(INDEX(Precios!$D$5:$D$120,MATCH(H22,Precios!$A$5:$A$120,0)),"x"))),J22&lt;&gt;"",K22&lt;&gt;"",Q22&gt;0),SUM(O22:R22),""))</f>
        <v/>
      </c>
      <c r="T22" s="17" t="str">
        <f aca="false">IF(AND(S22&lt;&gt;"",ISNUMBER(E22)),E22*Parametros!$B$12,"")</f>
        <v/>
      </c>
      <c r="U22" s="17" t="str">
        <f aca="false">IF(AND(S22&lt;&gt;"",ISNUMBER(E22)),E22*Parametros!$B$13,"")</f>
        <v/>
      </c>
      <c r="V22" s="18" t="str">
        <f aca="false">IF(AND(S22&lt;&gt;"",ISNUMBER(E22)),E22-S22-T22-U22,"")</f>
        <v/>
      </c>
      <c r="W22" s="19" t="str">
        <f aca="false">IF(AND(S22&lt;&gt;"",ISNUMBER(E22)),V22/E22,"")</f>
        <v/>
      </c>
      <c r="X22" s="17" t="str">
        <f aca="false">IF(OR(S22="",Parametros!$B$14&gt;=1),"",S22/(1-Parametros!$B$14))</f>
        <v/>
      </c>
      <c r="Y22" s="17" t="str">
        <f aca="false">IF(OR(S22="",Parametros!$B$14+Parametros!$B$18&gt;=1),"",S22/(1-Parametros!$B$14-Parametros!$B$18))</f>
        <v/>
      </c>
      <c r="Z22" s="20" t="str">
        <f aca="false">IF(B22="","",IF(S22="","FALTAN DATOS",IF(NOT(ISNUMBER(E22)),"FALTA PRECIO",IF(V22&lt;0,"PIERDE",IF(W22&lt;Parametros!$B$18,"BAJO META","OK")))))</f>
        <v>FALTAN DATOS</v>
      </c>
      <c r="AA22" s="21" t="str">
        <f aca="false">IF(B22="","",IF(F22="","Tela. ","")&amp;IF(NOT(ISNUMBER(G22)),"Kg de tela. ","")&amp;IF(AND(F22&lt;&gt;"",NOT(ISNUMBER(IFERROR(INDEX(Precios!$D$5:$D$120,MATCH(F22,Precios!$A$5:$A$120,0)),"x")))),"Tela sin precio. ","")&amp;IF(AND(H22&lt;&gt;"",NOT(ISNUMBER(IFERROR(INDEX(Precios!$D$5:$D$120,MATCH(H22,Precios!$A$5:$A$120,0)),"x")))),"Tela 2 sin precio. ","")&amp;IF(J22="","Metros impresos. ","")&amp;IF(AND(N(J22)&gt;0,Parametros!$B$27=0),"Impresión sin costo. ","")&amp;IF(K22="","Confección. ",IF(Q22=0,"Confección sin valor. ",""))&amp;IF(NOT(ISNUMBER(E22)),"Precio de venta. ",""))</f>
        <v>Tela. Kg de tela. Metros impresos. Confección. </v>
      </c>
    </row>
    <row r="23" customFormat="false" ht="22.35" hidden="false" customHeight="false" outlineLevel="0" collapsed="false">
      <c r="A23" s="11" t="s">
        <v>117</v>
      </c>
      <c r="B23" s="11" t="s">
        <v>118</v>
      </c>
      <c r="C23" s="11" t="s">
        <v>65</v>
      </c>
      <c r="D23" s="11" t="n">
        <v>55</v>
      </c>
      <c r="E23" s="12" t="n">
        <v>8059</v>
      </c>
      <c r="F23" s="13" t="s">
        <v>66</v>
      </c>
      <c r="G23" s="14" t="n">
        <v>0.1609</v>
      </c>
      <c r="H23" s="13"/>
      <c r="I23" s="14"/>
      <c r="J23" s="15" t="n">
        <v>0</v>
      </c>
      <c r="K23" s="13" t="s">
        <v>119</v>
      </c>
      <c r="L23" s="12"/>
      <c r="M23" s="13" t="s">
        <v>68</v>
      </c>
      <c r="N23" s="16" t="s">
        <v>120</v>
      </c>
      <c r="O23" s="17" t="n">
        <f aca="false">IF(B23="","",IFERROR(G23*INDEX(Precios!$D$5:$D$120,MATCH(F23,Precios!$A$5:$A$120,0)),0)+IF(H23="",0,IFERROR(I23*INDEX(Precios!$D$5:$D$120,MATCH(H23,Precios!$A$5:$A$120,0)),0)))</f>
        <v>901.04</v>
      </c>
      <c r="P23" s="17" t="n">
        <f aca="false">IF(B23="","",N(J23)*Parametros!$B$27)</f>
        <v>0</v>
      </c>
      <c r="Q23" s="17" t="n">
        <f aca="false">IF(B23="","",IFERROR(INDEX(Confeccion!$B$5:$B$100,MATCH(K23,Confeccion!$A$5:$A$100,0)),0))</f>
        <v>1700</v>
      </c>
      <c r="R23" s="17" t="n">
        <f aca="false">IF(B23="","",N(L23))</f>
        <v>0</v>
      </c>
      <c r="S23" s="18" t="n">
        <f aca="false">IF(B23="","",IF(AND(F23&lt;&gt;"",ISNUMBER(G23),ISNUMBER(IFERROR(INDEX(Precios!$D$5:$D$120,MATCH(F23,Precios!$A$5:$A$120,0)),"x")),OR(H23="",ISNUMBER(IFERROR(INDEX(Precios!$D$5:$D$120,MATCH(H23,Precios!$A$5:$A$120,0)),"x"))),J23&lt;&gt;"",K23&lt;&gt;"",Q23&gt;0),SUM(O23:R23),""))</f>
        <v>2601.04</v>
      </c>
      <c r="T23" s="17" t="n">
        <f aca="false">IF(AND(S23&lt;&gt;"",ISNUMBER(E23)),E23*Parametros!$B$12,"")</f>
        <v>2844.39619191711</v>
      </c>
      <c r="U23" s="17" t="n">
        <f aca="false">IF(AND(S23&lt;&gt;"",ISNUMBER(E23)),E23*Parametros!$B$13,"")</f>
        <v>1021.04663465863</v>
      </c>
      <c r="V23" s="18" t="n">
        <f aca="false">IF(AND(S23&lt;&gt;"",ISNUMBER(E23)),E23-S23-T23-U23,"")</f>
        <v>1592.51717342426</v>
      </c>
      <c r="W23" s="19" t="n">
        <f aca="false">IF(AND(S23&lt;&gt;"",ISNUMBER(E23)),V23/E23,"")</f>
        <v>0.197607292892947</v>
      </c>
      <c r="X23" s="17" t="n">
        <f aca="false">IF(OR(S23="",Parametros!$B$14&gt;=1),"",S23/(1-Parametros!$B$14))</f>
        <v>4998.56815899415</v>
      </c>
      <c r="Y23" s="17" t="n">
        <f aca="false">IF(OR(S23="",Parametros!$B$14+Parametros!$B$18&gt;=1),"",S23/(1-Parametros!$B$14-Parametros!$B$18))</f>
        <v>6187.69264034227</v>
      </c>
      <c r="Z23" s="20" t="str">
        <f aca="false">IF(B23="","",IF(S23="","FALTAN DATOS",IF(NOT(ISNUMBER(E23)),"FALTA PRECIO",IF(V23&lt;0,"PIERDE",IF(W23&lt;Parametros!$B$18,"BAJO META","OK")))))</f>
        <v>OK</v>
      </c>
      <c r="AA23" s="21" t="str">
        <f aca="false">IF(B23="","",IF(F23="","Tela. ","")&amp;IF(NOT(ISNUMBER(G23)),"Kg de tela. ","")&amp;IF(AND(F23&lt;&gt;"",NOT(ISNUMBER(IFERROR(INDEX(Precios!$D$5:$D$120,MATCH(F23,Precios!$A$5:$A$120,0)),"x")))),"Tela sin precio. ","")&amp;IF(AND(H23&lt;&gt;"",NOT(ISNUMBER(IFERROR(INDEX(Precios!$D$5:$D$120,MATCH(H23,Precios!$A$5:$A$120,0)),"x")))),"Tela 2 sin precio. ","")&amp;IF(J23="","Metros impresos. ","")&amp;IF(AND(N(J23)&gt;0,Parametros!$B$27=0),"Impresión sin costo. ","")&amp;IF(K23="","Confección. ",IF(Q23=0,"Confección sin valor. ",""))&amp;IF(NOT(ISNUMBER(E23)),"Precio de venta. ",""))</f>
        <v/>
      </c>
    </row>
    <row r="24" customFormat="false" ht="15" hidden="false" customHeight="false" outlineLevel="0" collapsed="false">
      <c r="A24" s="11" t="s">
        <v>121</v>
      </c>
      <c r="B24" s="11" t="s">
        <v>122</v>
      </c>
      <c r="C24" s="11" t="s">
        <v>65</v>
      </c>
      <c r="D24" s="11" t="n">
        <v>50</v>
      </c>
      <c r="E24" s="12" t="n">
        <v>19244</v>
      </c>
      <c r="F24" s="13"/>
      <c r="G24" s="14"/>
      <c r="H24" s="13"/>
      <c r="I24" s="14"/>
      <c r="J24" s="15"/>
      <c r="K24" s="13" t="s">
        <v>80</v>
      </c>
      <c r="L24" s="12"/>
      <c r="M24" s="13" t="s">
        <v>68</v>
      </c>
      <c r="N24" s="16" t="s">
        <v>81</v>
      </c>
      <c r="O24" s="17" t="n">
        <f aca="false">IF(B24="","",IFERROR(G24*INDEX(Precios!$D$5:$D$120,MATCH(F24,Precios!$A$5:$A$120,0)),0)+IF(H24="",0,IFERROR(I24*INDEX(Precios!$D$5:$D$120,MATCH(H24,Precios!$A$5:$A$120,0)),0)))</f>
        <v>0</v>
      </c>
      <c r="P24" s="17" t="n">
        <f aca="false">IF(B24="","",N(J24)*Parametros!$B$27)</f>
        <v>0</v>
      </c>
      <c r="Q24" s="17" t="n">
        <f aca="false">IF(B24="","",IFERROR(INDEX(Confeccion!$B$5:$B$100,MATCH(K24,Confeccion!$A$5:$A$100,0)),0))</f>
        <v>1700</v>
      </c>
      <c r="R24" s="17" t="n">
        <f aca="false">IF(B24="","",N(L24))</f>
        <v>0</v>
      </c>
      <c r="S24" s="18" t="str">
        <f aca="false">IF(B24="","",IF(AND(F24&lt;&gt;"",ISNUMBER(G24),ISNUMBER(IFERROR(INDEX(Precios!$D$5:$D$120,MATCH(F24,Precios!$A$5:$A$120,0)),"x")),OR(H24="",ISNUMBER(IFERROR(INDEX(Precios!$D$5:$D$120,MATCH(H24,Precios!$A$5:$A$120,0)),"x"))),J24&lt;&gt;"",K24&lt;&gt;"",Q24&gt;0),SUM(O24:R24),""))</f>
        <v/>
      </c>
      <c r="T24" s="17" t="str">
        <f aca="false">IF(AND(S24&lt;&gt;"",ISNUMBER(E24)),E24*Parametros!$B$12,"")</f>
        <v/>
      </c>
      <c r="U24" s="17" t="str">
        <f aca="false">IF(AND(S24&lt;&gt;"",ISNUMBER(E24)),E24*Parametros!$B$13,"")</f>
        <v/>
      </c>
      <c r="V24" s="18" t="str">
        <f aca="false">IF(AND(S24&lt;&gt;"",ISNUMBER(E24)),E24-S24-T24-U24,"")</f>
        <v/>
      </c>
      <c r="W24" s="19" t="str">
        <f aca="false">IF(AND(S24&lt;&gt;"",ISNUMBER(E24)),V24/E24,"")</f>
        <v/>
      </c>
      <c r="X24" s="17" t="str">
        <f aca="false">IF(OR(S24="",Parametros!$B$14&gt;=1),"",S24/(1-Parametros!$B$14))</f>
        <v/>
      </c>
      <c r="Y24" s="17" t="str">
        <f aca="false">IF(OR(S24="",Parametros!$B$14+Parametros!$B$18&gt;=1),"",S24/(1-Parametros!$B$14-Parametros!$B$18))</f>
        <v/>
      </c>
      <c r="Z24" s="20" t="str">
        <f aca="false">IF(B24="","",IF(S24="","FALTAN DATOS",IF(NOT(ISNUMBER(E24)),"FALTA PRECIO",IF(V24&lt;0,"PIERDE",IF(W24&lt;Parametros!$B$18,"BAJO META","OK")))))</f>
        <v>FALTAN DATOS</v>
      </c>
      <c r="AA24" s="21" t="str">
        <f aca="false">IF(B24="","",IF(F24="","Tela. ","")&amp;IF(NOT(ISNUMBER(G24)),"Kg de tela. ","")&amp;IF(AND(F24&lt;&gt;"",NOT(ISNUMBER(IFERROR(INDEX(Precios!$D$5:$D$120,MATCH(F24,Precios!$A$5:$A$120,0)),"x")))),"Tela sin precio. ","")&amp;IF(AND(H24&lt;&gt;"",NOT(ISNUMBER(IFERROR(INDEX(Precios!$D$5:$D$120,MATCH(H24,Precios!$A$5:$A$120,0)),"x")))),"Tela 2 sin precio. ","")&amp;IF(J24="","Metros impresos. ","")&amp;IF(AND(N(J24)&gt;0,Parametros!$B$27=0),"Impresión sin costo. ","")&amp;IF(K24="","Confección. ",IF(Q24=0,"Confección sin valor. ",""))&amp;IF(NOT(ISNUMBER(E24)),"Precio de venta. ",""))</f>
        <v>Tela. Kg de tela. Metros impresos. </v>
      </c>
    </row>
    <row r="25" customFormat="false" ht="15" hidden="false" customHeight="false" outlineLevel="0" collapsed="false">
      <c r="A25" s="11" t="s">
        <v>123</v>
      </c>
      <c r="B25" s="11" t="s">
        <v>124</v>
      </c>
      <c r="C25" s="11" t="s">
        <v>65</v>
      </c>
      <c r="D25" s="11" t="n">
        <v>48</v>
      </c>
      <c r="E25" s="12" t="n">
        <v>8319</v>
      </c>
      <c r="F25" s="13"/>
      <c r="G25" s="14"/>
      <c r="H25" s="13"/>
      <c r="I25" s="14"/>
      <c r="J25" s="15"/>
      <c r="K25" s="13" t="s">
        <v>125</v>
      </c>
      <c r="L25" s="12"/>
      <c r="M25" s="13" t="s">
        <v>68</v>
      </c>
      <c r="N25" s="16" t="s">
        <v>81</v>
      </c>
      <c r="O25" s="17" t="n">
        <f aca="false">IF(B25="","",IFERROR(G25*INDEX(Precios!$D$5:$D$120,MATCH(F25,Precios!$A$5:$A$120,0)),0)+IF(H25="",0,IFERROR(I25*INDEX(Precios!$D$5:$D$120,MATCH(H25,Precios!$A$5:$A$120,0)),0)))</f>
        <v>0</v>
      </c>
      <c r="P25" s="17" t="n">
        <f aca="false">IF(B25="","",N(J25)*Parametros!$B$27)</f>
        <v>0</v>
      </c>
      <c r="Q25" s="17" t="n">
        <f aca="false">IF(B25="","",IFERROR(INDEX(Confeccion!$B$5:$B$100,MATCH(K25,Confeccion!$A$5:$A$100,0)),0))</f>
        <v>1000</v>
      </c>
      <c r="R25" s="17" t="n">
        <f aca="false">IF(B25="","",N(L25))</f>
        <v>0</v>
      </c>
      <c r="S25" s="18" t="str">
        <f aca="false">IF(B25="","",IF(AND(F25&lt;&gt;"",ISNUMBER(G25),ISNUMBER(IFERROR(INDEX(Precios!$D$5:$D$120,MATCH(F25,Precios!$A$5:$A$120,0)),"x")),OR(H25="",ISNUMBER(IFERROR(INDEX(Precios!$D$5:$D$120,MATCH(H25,Precios!$A$5:$A$120,0)),"x"))),J25&lt;&gt;"",K25&lt;&gt;"",Q25&gt;0),SUM(O25:R25),""))</f>
        <v/>
      </c>
      <c r="T25" s="17" t="str">
        <f aca="false">IF(AND(S25&lt;&gt;"",ISNUMBER(E25)),E25*Parametros!$B$12,"")</f>
        <v/>
      </c>
      <c r="U25" s="17" t="str">
        <f aca="false">IF(AND(S25&lt;&gt;"",ISNUMBER(E25)),E25*Parametros!$B$13,"")</f>
        <v/>
      </c>
      <c r="V25" s="18" t="str">
        <f aca="false">IF(AND(S25&lt;&gt;"",ISNUMBER(E25)),E25-S25-T25-U25,"")</f>
        <v/>
      </c>
      <c r="W25" s="19" t="str">
        <f aca="false">IF(AND(S25&lt;&gt;"",ISNUMBER(E25)),V25/E25,"")</f>
        <v/>
      </c>
      <c r="X25" s="17" t="str">
        <f aca="false">IF(OR(S25="",Parametros!$B$14&gt;=1),"",S25/(1-Parametros!$B$14))</f>
        <v/>
      </c>
      <c r="Y25" s="17" t="str">
        <f aca="false">IF(OR(S25="",Parametros!$B$14+Parametros!$B$18&gt;=1),"",S25/(1-Parametros!$B$14-Parametros!$B$18))</f>
        <v/>
      </c>
      <c r="Z25" s="20" t="str">
        <f aca="false">IF(B25="","",IF(S25="","FALTAN DATOS",IF(NOT(ISNUMBER(E25)),"FALTA PRECIO",IF(V25&lt;0,"PIERDE",IF(W25&lt;Parametros!$B$18,"BAJO META","OK")))))</f>
        <v>FALTAN DATOS</v>
      </c>
      <c r="AA25" s="21" t="str">
        <f aca="false">IF(B25="","",IF(F25="","Tela. ","")&amp;IF(NOT(ISNUMBER(G25)),"Kg de tela. ","")&amp;IF(AND(F25&lt;&gt;"",NOT(ISNUMBER(IFERROR(INDEX(Precios!$D$5:$D$120,MATCH(F25,Precios!$A$5:$A$120,0)),"x")))),"Tela sin precio. ","")&amp;IF(AND(H25&lt;&gt;"",NOT(ISNUMBER(IFERROR(INDEX(Precios!$D$5:$D$120,MATCH(H25,Precios!$A$5:$A$120,0)),"x")))),"Tela 2 sin precio. ","")&amp;IF(J25="","Metros impresos. ","")&amp;IF(AND(N(J25)&gt;0,Parametros!$B$27=0),"Impresión sin costo. ","")&amp;IF(K25="","Confección. ",IF(Q25=0,"Confección sin valor. ",""))&amp;IF(NOT(ISNUMBER(E25)),"Precio de venta. ",""))</f>
        <v>Tela. Kg de tela. Metros impresos. </v>
      </c>
    </row>
    <row r="26" customFormat="false" ht="15" hidden="false" customHeight="false" outlineLevel="0" collapsed="false">
      <c r="A26" s="11" t="s">
        <v>126</v>
      </c>
      <c r="B26" s="11" t="s">
        <v>127</v>
      </c>
      <c r="C26" s="11" t="s">
        <v>65</v>
      </c>
      <c r="D26" s="11" t="n">
        <v>48</v>
      </c>
      <c r="E26" s="12" t="n">
        <v>16723</v>
      </c>
      <c r="F26" s="13"/>
      <c r="G26" s="14"/>
      <c r="H26" s="13"/>
      <c r="I26" s="14"/>
      <c r="J26" s="15"/>
      <c r="K26" s="13"/>
      <c r="L26" s="12"/>
      <c r="M26" s="13" t="s">
        <v>68</v>
      </c>
      <c r="N26" s="16"/>
      <c r="O26" s="17" t="n">
        <f aca="false">IF(B26="","",IFERROR(G26*INDEX(Precios!$D$5:$D$120,MATCH(F26,Precios!$A$5:$A$120,0)),0)+IF(H26="",0,IFERROR(I26*INDEX(Precios!$D$5:$D$120,MATCH(H26,Precios!$A$5:$A$120,0)),0)))</f>
        <v>0</v>
      </c>
      <c r="P26" s="17" t="n">
        <f aca="false">IF(B26="","",N(J26)*Parametros!$B$27)</f>
        <v>0</v>
      </c>
      <c r="Q26" s="17" t="n">
        <f aca="false">IF(B26="","",IFERROR(INDEX(Confeccion!$B$5:$B$100,MATCH(K26,Confeccion!$A$5:$A$100,0)),0))</f>
        <v>0</v>
      </c>
      <c r="R26" s="17" t="n">
        <f aca="false">IF(B26="","",N(L26))</f>
        <v>0</v>
      </c>
      <c r="S26" s="18" t="str">
        <f aca="false">IF(B26="","",IF(AND(F26&lt;&gt;"",ISNUMBER(G26),ISNUMBER(IFERROR(INDEX(Precios!$D$5:$D$120,MATCH(F26,Precios!$A$5:$A$120,0)),"x")),OR(H26="",ISNUMBER(IFERROR(INDEX(Precios!$D$5:$D$120,MATCH(H26,Precios!$A$5:$A$120,0)),"x"))),J26&lt;&gt;"",K26&lt;&gt;"",Q26&gt;0),SUM(O26:R26),""))</f>
        <v/>
      </c>
      <c r="T26" s="17" t="str">
        <f aca="false">IF(AND(S26&lt;&gt;"",ISNUMBER(E26)),E26*Parametros!$B$12,"")</f>
        <v/>
      </c>
      <c r="U26" s="17" t="str">
        <f aca="false">IF(AND(S26&lt;&gt;"",ISNUMBER(E26)),E26*Parametros!$B$13,"")</f>
        <v/>
      </c>
      <c r="V26" s="18" t="str">
        <f aca="false">IF(AND(S26&lt;&gt;"",ISNUMBER(E26)),E26-S26-T26-U26,"")</f>
        <v/>
      </c>
      <c r="W26" s="19" t="str">
        <f aca="false">IF(AND(S26&lt;&gt;"",ISNUMBER(E26)),V26/E26,"")</f>
        <v/>
      </c>
      <c r="X26" s="17" t="str">
        <f aca="false">IF(OR(S26="",Parametros!$B$14&gt;=1),"",S26/(1-Parametros!$B$14))</f>
        <v/>
      </c>
      <c r="Y26" s="17" t="str">
        <f aca="false">IF(OR(S26="",Parametros!$B$14+Parametros!$B$18&gt;=1),"",S26/(1-Parametros!$B$14-Parametros!$B$18))</f>
        <v/>
      </c>
      <c r="Z26" s="20" t="str">
        <f aca="false">IF(B26="","",IF(S26="","FALTAN DATOS",IF(NOT(ISNUMBER(E26)),"FALTA PRECIO",IF(V26&lt;0,"PIERDE",IF(W26&lt;Parametros!$B$18,"BAJO META","OK")))))</f>
        <v>FALTAN DATOS</v>
      </c>
      <c r="AA26" s="21" t="str">
        <f aca="false">IF(B26="","",IF(F26="","Tela. ","")&amp;IF(NOT(ISNUMBER(G26)),"Kg de tela. ","")&amp;IF(AND(F26&lt;&gt;"",NOT(ISNUMBER(IFERROR(INDEX(Precios!$D$5:$D$120,MATCH(F26,Precios!$A$5:$A$120,0)),"x")))),"Tela sin precio. ","")&amp;IF(AND(H26&lt;&gt;"",NOT(ISNUMBER(IFERROR(INDEX(Precios!$D$5:$D$120,MATCH(H26,Precios!$A$5:$A$120,0)),"x")))),"Tela 2 sin precio. ","")&amp;IF(J26="","Metros impresos. ","")&amp;IF(AND(N(J26)&gt;0,Parametros!$B$27=0),"Impresión sin costo. ","")&amp;IF(K26="","Confección. ",IF(Q26=0,"Confección sin valor. ",""))&amp;IF(NOT(ISNUMBER(E26)),"Precio de venta. ",""))</f>
        <v>Tela. Kg de tela. Metros impresos. Confección. </v>
      </c>
    </row>
    <row r="27" customFormat="false" ht="15" hidden="false" customHeight="false" outlineLevel="0" collapsed="false">
      <c r="A27" s="11" t="s">
        <v>128</v>
      </c>
      <c r="B27" s="11" t="s">
        <v>129</v>
      </c>
      <c r="C27" s="11" t="s">
        <v>89</v>
      </c>
      <c r="D27" s="11" t="n">
        <v>47</v>
      </c>
      <c r="E27" s="12" t="n">
        <v>26134</v>
      </c>
      <c r="F27" s="13"/>
      <c r="G27" s="14"/>
      <c r="H27" s="13"/>
      <c r="I27" s="14"/>
      <c r="J27" s="15"/>
      <c r="K27" s="13" t="s">
        <v>130</v>
      </c>
      <c r="L27" s="12"/>
      <c r="M27" s="13" t="s">
        <v>68</v>
      </c>
      <c r="N27" s="16" t="s">
        <v>81</v>
      </c>
      <c r="O27" s="17" t="n">
        <f aca="false">IF(B27="","",IFERROR(G27*INDEX(Precios!$D$5:$D$120,MATCH(F27,Precios!$A$5:$A$120,0)),0)+IF(H27="",0,IFERROR(I27*INDEX(Precios!$D$5:$D$120,MATCH(H27,Precios!$A$5:$A$120,0)),0)))</f>
        <v>0</v>
      </c>
      <c r="P27" s="17" t="n">
        <f aca="false">IF(B27="","",N(J27)*Parametros!$B$27)</f>
        <v>0</v>
      </c>
      <c r="Q27" s="17" t="n">
        <f aca="false">IF(B27="","",IFERROR(INDEX(Confeccion!$B$5:$B$100,MATCH(K27,Confeccion!$A$5:$A$100,0)),0))</f>
        <v>3000</v>
      </c>
      <c r="R27" s="17" t="n">
        <f aca="false">IF(B27="","",N(L27))</f>
        <v>0</v>
      </c>
      <c r="S27" s="18" t="str">
        <f aca="false">IF(B27="","",IF(AND(F27&lt;&gt;"",ISNUMBER(G27),ISNUMBER(IFERROR(INDEX(Precios!$D$5:$D$120,MATCH(F27,Precios!$A$5:$A$120,0)),"x")),OR(H27="",ISNUMBER(IFERROR(INDEX(Precios!$D$5:$D$120,MATCH(H27,Precios!$A$5:$A$120,0)),"x"))),J27&lt;&gt;"",K27&lt;&gt;"",Q27&gt;0),SUM(O27:R27),""))</f>
        <v/>
      </c>
      <c r="T27" s="17" t="str">
        <f aca="false">IF(AND(S27&lt;&gt;"",ISNUMBER(E27)),E27*Parametros!$B$12,"")</f>
        <v/>
      </c>
      <c r="U27" s="17" t="str">
        <f aca="false">IF(AND(S27&lt;&gt;"",ISNUMBER(E27)),E27*Parametros!$B$13,"")</f>
        <v/>
      </c>
      <c r="V27" s="18" t="str">
        <f aca="false">IF(AND(S27&lt;&gt;"",ISNUMBER(E27)),E27-S27-T27-U27,"")</f>
        <v/>
      </c>
      <c r="W27" s="19" t="str">
        <f aca="false">IF(AND(S27&lt;&gt;"",ISNUMBER(E27)),V27/E27,"")</f>
        <v/>
      </c>
      <c r="X27" s="17" t="str">
        <f aca="false">IF(OR(S27="",Parametros!$B$14&gt;=1),"",S27/(1-Parametros!$B$14))</f>
        <v/>
      </c>
      <c r="Y27" s="17" t="str">
        <f aca="false">IF(OR(S27="",Parametros!$B$14+Parametros!$B$18&gt;=1),"",S27/(1-Parametros!$B$14-Parametros!$B$18))</f>
        <v/>
      </c>
      <c r="Z27" s="20" t="str">
        <f aca="false">IF(B27="","",IF(S27="","FALTAN DATOS",IF(NOT(ISNUMBER(E27)),"FALTA PRECIO",IF(V27&lt;0,"PIERDE",IF(W27&lt;Parametros!$B$18,"BAJO META","OK")))))</f>
        <v>FALTAN DATOS</v>
      </c>
      <c r="AA27" s="21" t="str">
        <f aca="false">IF(B27="","",IF(F27="","Tela. ","")&amp;IF(NOT(ISNUMBER(G27)),"Kg de tela. ","")&amp;IF(AND(F27&lt;&gt;"",NOT(ISNUMBER(IFERROR(INDEX(Precios!$D$5:$D$120,MATCH(F27,Precios!$A$5:$A$120,0)),"x")))),"Tela sin precio. ","")&amp;IF(AND(H27&lt;&gt;"",NOT(ISNUMBER(IFERROR(INDEX(Precios!$D$5:$D$120,MATCH(H27,Precios!$A$5:$A$120,0)),"x")))),"Tela 2 sin precio. ","")&amp;IF(J27="","Metros impresos. ","")&amp;IF(AND(N(J27)&gt;0,Parametros!$B$27=0),"Impresión sin costo. ","")&amp;IF(K27="","Confección. ",IF(Q27=0,"Confección sin valor. ",""))&amp;IF(NOT(ISNUMBER(E27)),"Precio de venta. ",""))</f>
        <v>Tela. Kg de tela. Metros impresos. </v>
      </c>
    </row>
    <row r="28" customFormat="false" ht="15" hidden="false" customHeight="false" outlineLevel="0" collapsed="false">
      <c r="A28" s="11" t="s">
        <v>131</v>
      </c>
      <c r="B28" s="11" t="s">
        <v>132</v>
      </c>
      <c r="C28" s="11" t="s">
        <v>65</v>
      </c>
      <c r="D28" s="11" t="n">
        <v>44</v>
      </c>
      <c r="E28" s="12" t="n">
        <v>27605</v>
      </c>
      <c r="F28" s="13"/>
      <c r="G28" s="14"/>
      <c r="H28" s="13"/>
      <c r="I28" s="14"/>
      <c r="J28" s="15"/>
      <c r="K28" s="13"/>
      <c r="L28" s="12"/>
      <c r="M28" s="13" t="s">
        <v>68</v>
      </c>
      <c r="N28" s="16"/>
      <c r="O28" s="17" t="n">
        <f aca="false">IF(B28="","",IFERROR(G28*INDEX(Precios!$D$5:$D$120,MATCH(F28,Precios!$A$5:$A$120,0)),0)+IF(H28="",0,IFERROR(I28*INDEX(Precios!$D$5:$D$120,MATCH(H28,Precios!$A$5:$A$120,0)),0)))</f>
        <v>0</v>
      </c>
      <c r="P28" s="17" t="n">
        <f aca="false">IF(B28="","",N(J28)*Parametros!$B$27)</f>
        <v>0</v>
      </c>
      <c r="Q28" s="17" t="n">
        <f aca="false">IF(B28="","",IFERROR(INDEX(Confeccion!$B$5:$B$100,MATCH(K28,Confeccion!$A$5:$A$100,0)),0))</f>
        <v>0</v>
      </c>
      <c r="R28" s="17" t="n">
        <f aca="false">IF(B28="","",N(L28))</f>
        <v>0</v>
      </c>
      <c r="S28" s="18" t="str">
        <f aca="false">IF(B28="","",IF(AND(F28&lt;&gt;"",ISNUMBER(G28),ISNUMBER(IFERROR(INDEX(Precios!$D$5:$D$120,MATCH(F28,Precios!$A$5:$A$120,0)),"x")),OR(H28="",ISNUMBER(IFERROR(INDEX(Precios!$D$5:$D$120,MATCH(H28,Precios!$A$5:$A$120,0)),"x"))),J28&lt;&gt;"",K28&lt;&gt;"",Q28&gt;0),SUM(O28:R28),""))</f>
        <v/>
      </c>
      <c r="T28" s="17" t="str">
        <f aca="false">IF(AND(S28&lt;&gt;"",ISNUMBER(E28)),E28*Parametros!$B$12,"")</f>
        <v/>
      </c>
      <c r="U28" s="17" t="str">
        <f aca="false">IF(AND(S28&lt;&gt;"",ISNUMBER(E28)),E28*Parametros!$B$13,"")</f>
        <v/>
      </c>
      <c r="V28" s="18" t="str">
        <f aca="false">IF(AND(S28&lt;&gt;"",ISNUMBER(E28)),E28-S28-T28-U28,"")</f>
        <v/>
      </c>
      <c r="W28" s="19" t="str">
        <f aca="false">IF(AND(S28&lt;&gt;"",ISNUMBER(E28)),V28/E28,"")</f>
        <v/>
      </c>
      <c r="X28" s="17" t="str">
        <f aca="false">IF(OR(S28="",Parametros!$B$14&gt;=1),"",S28/(1-Parametros!$B$14))</f>
        <v/>
      </c>
      <c r="Y28" s="17" t="str">
        <f aca="false">IF(OR(S28="",Parametros!$B$14+Parametros!$B$18&gt;=1),"",S28/(1-Parametros!$B$14-Parametros!$B$18))</f>
        <v/>
      </c>
      <c r="Z28" s="20" t="str">
        <f aca="false">IF(B28="","",IF(S28="","FALTAN DATOS",IF(NOT(ISNUMBER(E28)),"FALTA PRECIO",IF(V28&lt;0,"PIERDE",IF(W28&lt;Parametros!$B$18,"BAJO META","OK")))))</f>
        <v>FALTAN DATOS</v>
      </c>
      <c r="AA28" s="21" t="str">
        <f aca="false">IF(B28="","",IF(F28="","Tela. ","")&amp;IF(NOT(ISNUMBER(G28)),"Kg de tela. ","")&amp;IF(AND(F28&lt;&gt;"",NOT(ISNUMBER(IFERROR(INDEX(Precios!$D$5:$D$120,MATCH(F28,Precios!$A$5:$A$120,0)),"x")))),"Tela sin precio. ","")&amp;IF(AND(H28&lt;&gt;"",NOT(ISNUMBER(IFERROR(INDEX(Precios!$D$5:$D$120,MATCH(H28,Precios!$A$5:$A$120,0)),"x")))),"Tela 2 sin precio. ","")&amp;IF(J28="","Metros impresos. ","")&amp;IF(AND(N(J28)&gt;0,Parametros!$B$27=0),"Impresión sin costo. ","")&amp;IF(K28="","Confección. ",IF(Q28=0,"Confección sin valor. ",""))&amp;IF(NOT(ISNUMBER(E28)),"Precio de venta. ",""))</f>
        <v>Tela. Kg de tela. Metros impresos. Confección. </v>
      </c>
    </row>
    <row r="29" customFormat="false" ht="15" hidden="false" customHeight="false" outlineLevel="0" collapsed="false">
      <c r="A29" s="11" t="s">
        <v>133</v>
      </c>
      <c r="B29" s="11" t="s">
        <v>134</v>
      </c>
      <c r="C29" s="11" t="s">
        <v>89</v>
      </c>
      <c r="D29" s="11" t="n">
        <v>40</v>
      </c>
      <c r="E29" s="12" t="n">
        <v>32689</v>
      </c>
      <c r="F29" s="13"/>
      <c r="G29" s="14"/>
      <c r="H29" s="13"/>
      <c r="I29" s="14"/>
      <c r="J29" s="15"/>
      <c r="K29" s="13"/>
      <c r="L29" s="12"/>
      <c r="M29" s="13" t="s">
        <v>68</v>
      </c>
      <c r="N29" s="16"/>
      <c r="O29" s="17" t="n">
        <f aca="false">IF(B29="","",IFERROR(G29*INDEX(Precios!$D$5:$D$120,MATCH(F29,Precios!$A$5:$A$120,0)),0)+IF(H29="",0,IFERROR(I29*INDEX(Precios!$D$5:$D$120,MATCH(H29,Precios!$A$5:$A$120,0)),0)))</f>
        <v>0</v>
      </c>
      <c r="P29" s="17" t="n">
        <f aca="false">IF(B29="","",N(J29)*Parametros!$B$27)</f>
        <v>0</v>
      </c>
      <c r="Q29" s="17" t="n">
        <f aca="false">IF(B29="","",IFERROR(INDEX(Confeccion!$B$5:$B$100,MATCH(K29,Confeccion!$A$5:$A$100,0)),0))</f>
        <v>0</v>
      </c>
      <c r="R29" s="17" t="n">
        <f aca="false">IF(B29="","",N(L29))</f>
        <v>0</v>
      </c>
      <c r="S29" s="18" t="str">
        <f aca="false">IF(B29="","",IF(AND(F29&lt;&gt;"",ISNUMBER(G29),ISNUMBER(IFERROR(INDEX(Precios!$D$5:$D$120,MATCH(F29,Precios!$A$5:$A$120,0)),"x")),OR(H29="",ISNUMBER(IFERROR(INDEX(Precios!$D$5:$D$120,MATCH(H29,Precios!$A$5:$A$120,0)),"x"))),J29&lt;&gt;"",K29&lt;&gt;"",Q29&gt;0),SUM(O29:R29),""))</f>
        <v/>
      </c>
      <c r="T29" s="17" t="str">
        <f aca="false">IF(AND(S29&lt;&gt;"",ISNUMBER(E29)),E29*Parametros!$B$12,"")</f>
        <v/>
      </c>
      <c r="U29" s="17" t="str">
        <f aca="false">IF(AND(S29&lt;&gt;"",ISNUMBER(E29)),E29*Parametros!$B$13,"")</f>
        <v/>
      </c>
      <c r="V29" s="18" t="str">
        <f aca="false">IF(AND(S29&lt;&gt;"",ISNUMBER(E29)),E29-S29-T29-U29,"")</f>
        <v/>
      </c>
      <c r="W29" s="19" t="str">
        <f aca="false">IF(AND(S29&lt;&gt;"",ISNUMBER(E29)),V29/E29,"")</f>
        <v/>
      </c>
      <c r="X29" s="17" t="str">
        <f aca="false">IF(OR(S29="",Parametros!$B$14&gt;=1),"",S29/(1-Parametros!$B$14))</f>
        <v/>
      </c>
      <c r="Y29" s="17" t="str">
        <f aca="false">IF(OR(S29="",Parametros!$B$14+Parametros!$B$18&gt;=1),"",S29/(1-Parametros!$B$14-Parametros!$B$18))</f>
        <v/>
      </c>
      <c r="Z29" s="20" t="str">
        <f aca="false">IF(B29="","",IF(S29="","FALTAN DATOS",IF(NOT(ISNUMBER(E29)),"FALTA PRECIO",IF(V29&lt;0,"PIERDE",IF(W29&lt;Parametros!$B$18,"BAJO META","OK")))))</f>
        <v>FALTAN DATOS</v>
      </c>
      <c r="AA29" s="21" t="str">
        <f aca="false">IF(B29="","",IF(F29="","Tela. ","")&amp;IF(NOT(ISNUMBER(G29)),"Kg de tela. ","")&amp;IF(AND(F29&lt;&gt;"",NOT(ISNUMBER(IFERROR(INDEX(Precios!$D$5:$D$120,MATCH(F29,Precios!$A$5:$A$120,0)),"x")))),"Tela sin precio. ","")&amp;IF(AND(H29&lt;&gt;"",NOT(ISNUMBER(IFERROR(INDEX(Precios!$D$5:$D$120,MATCH(H29,Precios!$A$5:$A$120,0)),"x")))),"Tela 2 sin precio. ","")&amp;IF(J29="","Metros impresos. ","")&amp;IF(AND(N(J29)&gt;0,Parametros!$B$27=0),"Impresión sin costo. ","")&amp;IF(K29="","Confección. ",IF(Q29=0,"Confección sin valor. ",""))&amp;IF(NOT(ISNUMBER(E29)),"Precio de venta. ",""))</f>
        <v>Tela. Kg de tela. Metros impresos. Confección. </v>
      </c>
    </row>
    <row r="30" customFormat="false" ht="15" hidden="false" customHeight="false" outlineLevel="0" collapsed="false">
      <c r="A30" s="11" t="s">
        <v>135</v>
      </c>
      <c r="B30" s="11" t="s">
        <v>136</v>
      </c>
      <c r="C30" s="11" t="s">
        <v>65</v>
      </c>
      <c r="D30" s="11" t="n">
        <v>37</v>
      </c>
      <c r="E30" s="12" t="n">
        <v>17563</v>
      </c>
      <c r="F30" s="13"/>
      <c r="G30" s="14"/>
      <c r="H30" s="13"/>
      <c r="I30" s="14"/>
      <c r="J30" s="15"/>
      <c r="K30" s="13" t="s">
        <v>80</v>
      </c>
      <c r="L30" s="12"/>
      <c r="M30" s="13" t="s">
        <v>68</v>
      </c>
      <c r="N30" s="16" t="s">
        <v>81</v>
      </c>
      <c r="O30" s="17" t="n">
        <f aca="false">IF(B30="","",IFERROR(G30*INDEX(Precios!$D$5:$D$120,MATCH(F30,Precios!$A$5:$A$120,0)),0)+IF(H30="",0,IFERROR(I30*INDEX(Precios!$D$5:$D$120,MATCH(H30,Precios!$A$5:$A$120,0)),0)))</f>
        <v>0</v>
      </c>
      <c r="P30" s="17" t="n">
        <f aca="false">IF(B30="","",N(J30)*Parametros!$B$27)</f>
        <v>0</v>
      </c>
      <c r="Q30" s="17" t="n">
        <f aca="false">IF(B30="","",IFERROR(INDEX(Confeccion!$B$5:$B$100,MATCH(K30,Confeccion!$A$5:$A$100,0)),0))</f>
        <v>1700</v>
      </c>
      <c r="R30" s="17" t="n">
        <f aca="false">IF(B30="","",N(L30))</f>
        <v>0</v>
      </c>
      <c r="S30" s="18" t="str">
        <f aca="false">IF(B30="","",IF(AND(F30&lt;&gt;"",ISNUMBER(G30),ISNUMBER(IFERROR(INDEX(Precios!$D$5:$D$120,MATCH(F30,Precios!$A$5:$A$120,0)),"x")),OR(H30="",ISNUMBER(IFERROR(INDEX(Precios!$D$5:$D$120,MATCH(H30,Precios!$A$5:$A$120,0)),"x"))),J30&lt;&gt;"",K30&lt;&gt;"",Q30&gt;0),SUM(O30:R30),""))</f>
        <v/>
      </c>
      <c r="T30" s="17" t="str">
        <f aca="false">IF(AND(S30&lt;&gt;"",ISNUMBER(E30)),E30*Parametros!$B$12,"")</f>
        <v/>
      </c>
      <c r="U30" s="17" t="str">
        <f aca="false">IF(AND(S30&lt;&gt;"",ISNUMBER(E30)),E30*Parametros!$B$13,"")</f>
        <v/>
      </c>
      <c r="V30" s="18" t="str">
        <f aca="false">IF(AND(S30&lt;&gt;"",ISNUMBER(E30)),E30-S30-T30-U30,"")</f>
        <v/>
      </c>
      <c r="W30" s="19" t="str">
        <f aca="false">IF(AND(S30&lt;&gt;"",ISNUMBER(E30)),V30/E30,"")</f>
        <v/>
      </c>
      <c r="X30" s="17" t="str">
        <f aca="false">IF(OR(S30="",Parametros!$B$14&gt;=1),"",S30/(1-Parametros!$B$14))</f>
        <v/>
      </c>
      <c r="Y30" s="17" t="str">
        <f aca="false">IF(OR(S30="",Parametros!$B$14+Parametros!$B$18&gt;=1),"",S30/(1-Parametros!$B$14-Parametros!$B$18))</f>
        <v/>
      </c>
      <c r="Z30" s="20" t="str">
        <f aca="false">IF(B30="","",IF(S30="","FALTAN DATOS",IF(NOT(ISNUMBER(E30)),"FALTA PRECIO",IF(V30&lt;0,"PIERDE",IF(W30&lt;Parametros!$B$18,"BAJO META","OK")))))</f>
        <v>FALTAN DATOS</v>
      </c>
      <c r="AA30" s="21" t="str">
        <f aca="false">IF(B30="","",IF(F30="","Tela. ","")&amp;IF(NOT(ISNUMBER(G30)),"Kg de tela. ","")&amp;IF(AND(F30&lt;&gt;"",NOT(ISNUMBER(IFERROR(INDEX(Precios!$D$5:$D$120,MATCH(F30,Precios!$A$5:$A$120,0)),"x")))),"Tela sin precio. ","")&amp;IF(AND(H30&lt;&gt;"",NOT(ISNUMBER(IFERROR(INDEX(Precios!$D$5:$D$120,MATCH(H30,Precios!$A$5:$A$120,0)),"x")))),"Tela 2 sin precio. ","")&amp;IF(J30="","Metros impresos. ","")&amp;IF(AND(N(J30)&gt;0,Parametros!$B$27=0),"Impresión sin costo. ","")&amp;IF(K30="","Confección. ",IF(Q30=0,"Confección sin valor. ",""))&amp;IF(NOT(ISNUMBER(E30)),"Precio de venta. ",""))</f>
        <v>Tela. Kg de tela. Metros impresos. </v>
      </c>
    </row>
    <row r="31" customFormat="false" ht="15" hidden="false" customHeight="false" outlineLevel="0" collapsed="false">
      <c r="A31" s="11" t="s">
        <v>137</v>
      </c>
      <c r="B31" s="11" t="s">
        <v>138</v>
      </c>
      <c r="C31" s="11" t="s">
        <v>89</v>
      </c>
      <c r="D31" s="11" t="n">
        <v>37</v>
      </c>
      <c r="E31" s="12" t="n">
        <v>54022</v>
      </c>
      <c r="F31" s="13"/>
      <c r="G31" s="14"/>
      <c r="H31" s="13"/>
      <c r="I31" s="14"/>
      <c r="J31" s="15"/>
      <c r="K31" s="13"/>
      <c r="L31" s="12"/>
      <c r="M31" s="13" t="s">
        <v>68</v>
      </c>
      <c r="N31" s="16"/>
      <c r="O31" s="17" t="n">
        <f aca="false">IF(B31="","",IFERROR(G31*INDEX(Precios!$D$5:$D$120,MATCH(F31,Precios!$A$5:$A$120,0)),0)+IF(H31="",0,IFERROR(I31*INDEX(Precios!$D$5:$D$120,MATCH(H31,Precios!$A$5:$A$120,0)),0)))</f>
        <v>0</v>
      </c>
      <c r="P31" s="17" t="n">
        <f aca="false">IF(B31="","",N(J31)*Parametros!$B$27)</f>
        <v>0</v>
      </c>
      <c r="Q31" s="17" t="n">
        <f aca="false">IF(B31="","",IFERROR(INDEX(Confeccion!$B$5:$B$100,MATCH(K31,Confeccion!$A$5:$A$100,0)),0))</f>
        <v>0</v>
      </c>
      <c r="R31" s="17" t="n">
        <f aca="false">IF(B31="","",N(L31))</f>
        <v>0</v>
      </c>
      <c r="S31" s="18" t="str">
        <f aca="false">IF(B31="","",IF(AND(F31&lt;&gt;"",ISNUMBER(G31),ISNUMBER(IFERROR(INDEX(Precios!$D$5:$D$120,MATCH(F31,Precios!$A$5:$A$120,0)),"x")),OR(H31="",ISNUMBER(IFERROR(INDEX(Precios!$D$5:$D$120,MATCH(H31,Precios!$A$5:$A$120,0)),"x"))),J31&lt;&gt;"",K31&lt;&gt;"",Q31&gt;0),SUM(O31:R31),""))</f>
        <v/>
      </c>
      <c r="T31" s="17" t="str">
        <f aca="false">IF(AND(S31&lt;&gt;"",ISNUMBER(E31)),E31*Parametros!$B$12,"")</f>
        <v/>
      </c>
      <c r="U31" s="17" t="str">
        <f aca="false">IF(AND(S31&lt;&gt;"",ISNUMBER(E31)),E31*Parametros!$B$13,"")</f>
        <v/>
      </c>
      <c r="V31" s="18" t="str">
        <f aca="false">IF(AND(S31&lt;&gt;"",ISNUMBER(E31)),E31-S31-T31-U31,"")</f>
        <v/>
      </c>
      <c r="W31" s="19" t="str">
        <f aca="false">IF(AND(S31&lt;&gt;"",ISNUMBER(E31)),V31/E31,"")</f>
        <v/>
      </c>
      <c r="X31" s="17" t="str">
        <f aca="false">IF(OR(S31="",Parametros!$B$14&gt;=1),"",S31/(1-Parametros!$B$14))</f>
        <v/>
      </c>
      <c r="Y31" s="17" t="str">
        <f aca="false">IF(OR(S31="",Parametros!$B$14+Parametros!$B$18&gt;=1),"",S31/(1-Parametros!$B$14-Parametros!$B$18))</f>
        <v/>
      </c>
      <c r="Z31" s="20" t="str">
        <f aca="false">IF(B31="","",IF(S31="","FALTAN DATOS",IF(NOT(ISNUMBER(E31)),"FALTA PRECIO",IF(V31&lt;0,"PIERDE",IF(W31&lt;Parametros!$B$18,"BAJO META","OK")))))</f>
        <v>FALTAN DATOS</v>
      </c>
      <c r="AA31" s="21" t="str">
        <f aca="false">IF(B31="","",IF(F31="","Tela. ","")&amp;IF(NOT(ISNUMBER(G31)),"Kg de tela. ","")&amp;IF(AND(F31&lt;&gt;"",NOT(ISNUMBER(IFERROR(INDEX(Precios!$D$5:$D$120,MATCH(F31,Precios!$A$5:$A$120,0)),"x")))),"Tela sin precio. ","")&amp;IF(AND(H31&lt;&gt;"",NOT(ISNUMBER(IFERROR(INDEX(Precios!$D$5:$D$120,MATCH(H31,Precios!$A$5:$A$120,0)),"x")))),"Tela 2 sin precio. ","")&amp;IF(J31="","Metros impresos. ","")&amp;IF(AND(N(J31)&gt;0,Parametros!$B$27=0),"Impresión sin costo. ","")&amp;IF(K31="","Confección. ",IF(Q31=0,"Confección sin valor. ",""))&amp;IF(NOT(ISNUMBER(E31)),"Precio de venta. ",""))</f>
        <v>Tela. Kg de tela. Metros impresos. Confección. </v>
      </c>
    </row>
    <row r="32" customFormat="false" ht="15" hidden="false" customHeight="false" outlineLevel="0" collapsed="false">
      <c r="A32" s="11" t="s">
        <v>139</v>
      </c>
      <c r="B32" s="11" t="s">
        <v>140</v>
      </c>
      <c r="C32" s="11" t="s">
        <v>65</v>
      </c>
      <c r="D32" s="11" t="n">
        <v>35</v>
      </c>
      <c r="E32" s="12" t="n">
        <v>14202</v>
      </c>
      <c r="F32" s="13"/>
      <c r="G32" s="14"/>
      <c r="H32" s="13"/>
      <c r="I32" s="14"/>
      <c r="J32" s="15"/>
      <c r="K32" s="13" t="s">
        <v>113</v>
      </c>
      <c r="L32" s="12"/>
      <c r="M32" s="13" t="s">
        <v>68</v>
      </c>
      <c r="N32" s="16" t="s">
        <v>81</v>
      </c>
      <c r="O32" s="17" t="n">
        <f aca="false">IF(B32="","",IFERROR(G32*INDEX(Precios!$D$5:$D$120,MATCH(F32,Precios!$A$5:$A$120,0)),0)+IF(H32="",0,IFERROR(I32*INDEX(Precios!$D$5:$D$120,MATCH(H32,Precios!$A$5:$A$120,0)),0)))</f>
        <v>0</v>
      </c>
      <c r="P32" s="17" t="n">
        <f aca="false">IF(B32="","",N(J32)*Parametros!$B$27)</f>
        <v>0</v>
      </c>
      <c r="Q32" s="17" t="n">
        <f aca="false">IF(B32="","",IFERROR(INDEX(Confeccion!$B$5:$B$100,MATCH(K32,Confeccion!$A$5:$A$100,0)),0))</f>
        <v>2200</v>
      </c>
      <c r="R32" s="17" t="n">
        <f aca="false">IF(B32="","",N(L32))</f>
        <v>0</v>
      </c>
      <c r="S32" s="18" t="str">
        <f aca="false">IF(B32="","",IF(AND(F32&lt;&gt;"",ISNUMBER(G32),ISNUMBER(IFERROR(INDEX(Precios!$D$5:$D$120,MATCH(F32,Precios!$A$5:$A$120,0)),"x")),OR(H32="",ISNUMBER(IFERROR(INDEX(Precios!$D$5:$D$120,MATCH(H32,Precios!$A$5:$A$120,0)),"x"))),J32&lt;&gt;"",K32&lt;&gt;"",Q32&gt;0),SUM(O32:R32),""))</f>
        <v/>
      </c>
      <c r="T32" s="17" t="str">
        <f aca="false">IF(AND(S32&lt;&gt;"",ISNUMBER(E32)),E32*Parametros!$B$12,"")</f>
        <v/>
      </c>
      <c r="U32" s="17" t="str">
        <f aca="false">IF(AND(S32&lt;&gt;"",ISNUMBER(E32)),E32*Parametros!$B$13,"")</f>
        <v/>
      </c>
      <c r="V32" s="18" t="str">
        <f aca="false">IF(AND(S32&lt;&gt;"",ISNUMBER(E32)),E32-S32-T32-U32,"")</f>
        <v/>
      </c>
      <c r="W32" s="19" t="str">
        <f aca="false">IF(AND(S32&lt;&gt;"",ISNUMBER(E32)),V32/E32,"")</f>
        <v/>
      </c>
      <c r="X32" s="17" t="str">
        <f aca="false">IF(OR(S32="",Parametros!$B$14&gt;=1),"",S32/(1-Parametros!$B$14))</f>
        <v/>
      </c>
      <c r="Y32" s="17" t="str">
        <f aca="false">IF(OR(S32="",Parametros!$B$14+Parametros!$B$18&gt;=1),"",S32/(1-Parametros!$B$14-Parametros!$B$18))</f>
        <v/>
      </c>
      <c r="Z32" s="20" t="str">
        <f aca="false">IF(B32="","",IF(S32="","FALTAN DATOS",IF(NOT(ISNUMBER(E32)),"FALTA PRECIO",IF(V32&lt;0,"PIERDE",IF(W32&lt;Parametros!$B$18,"BAJO META","OK")))))</f>
        <v>FALTAN DATOS</v>
      </c>
      <c r="AA32" s="21" t="str">
        <f aca="false">IF(B32="","",IF(F32="","Tela. ","")&amp;IF(NOT(ISNUMBER(G32)),"Kg de tela. ","")&amp;IF(AND(F32&lt;&gt;"",NOT(ISNUMBER(IFERROR(INDEX(Precios!$D$5:$D$120,MATCH(F32,Precios!$A$5:$A$120,0)),"x")))),"Tela sin precio. ","")&amp;IF(AND(H32&lt;&gt;"",NOT(ISNUMBER(IFERROR(INDEX(Precios!$D$5:$D$120,MATCH(H32,Precios!$A$5:$A$120,0)),"x")))),"Tela 2 sin precio. ","")&amp;IF(J32="","Metros impresos. ","")&amp;IF(AND(N(J32)&gt;0,Parametros!$B$27=0),"Impresión sin costo. ","")&amp;IF(K32="","Confección. ",IF(Q32=0,"Confección sin valor. ",""))&amp;IF(NOT(ISNUMBER(E32)),"Precio de venta. ",""))</f>
        <v>Tela. Kg de tela. Metros impresos. </v>
      </c>
    </row>
    <row r="33" customFormat="false" ht="15" hidden="false" customHeight="false" outlineLevel="0" collapsed="false">
      <c r="A33" s="11" t="s">
        <v>141</v>
      </c>
      <c r="B33" s="11" t="s">
        <v>142</v>
      </c>
      <c r="C33" s="11" t="s">
        <v>89</v>
      </c>
      <c r="D33" s="11" t="n">
        <v>35</v>
      </c>
      <c r="E33" s="12" t="n">
        <v>27647</v>
      </c>
      <c r="F33" s="13"/>
      <c r="G33" s="14"/>
      <c r="H33" s="13"/>
      <c r="I33" s="14"/>
      <c r="J33" s="15"/>
      <c r="K33" s="13"/>
      <c r="L33" s="12"/>
      <c r="M33" s="13" t="s">
        <v>68</v>
      </c>
      <c r="N33" s="16"/>
      <c r="O33" s="17" t="n">
        <f aca="false">IF(B33="","",IFERROR(G33*INDEX(Precios!$D$5:$D$120,MATCH(F33,Precios!$A$5:$A$120,0)),0)+IF(H33="",0,IFERROR(I33*INDEX(Precios!$D$5:$D$120,MATCH(H33,Precios!$A$5:$A$120,0)),0)))</f>
        <v>0</v>
      </c>
      <c r="P33" s="17" t="n">
        <f aca="false">IF(B33="","",N(J33)*Parametros!$B$27)</f>
        <v>0</v>
      </c>
      <c r="Q33" s="17" t="n">
        <f aca="false">IF(B33="","",IFERROR(INDEX(Confeccion!$B$5:$B$100,MATCH(K33,Confeccion!$A$5:$A$100,0)),0))</f>
        <v>0</v>
      </c>
      <c r="R33" s="17" t="n">
        <f aca="false">IF(B33="","",N(L33))</f>
        <v>0</v>
      </c>
      <c r="S33" s="18" t="str">
        <f aca="false">IF(B33="","",IF(AND(F33&lt;&gt;"",ISNUMBER(G33),ISNUMBER(IFERROR(INDEX(Precios!$D$5:$D$120,MATCH(F33,Precios!$A$5:$A$120,0)),"x")),OR(H33="",ISNUMBER(IFERROR(INDEX(Precios!$D$5:$D$120,MATCH(H33,Precios!$A$5:$A$120,0)),"x"))),J33&lt;&gt;"",K33&lt;&gt;"",Q33&gt;0),SUM(O33:R33),""))</f>
        <v/>
      </c>
      <c r="T33" s="17" t="str">
        <f aca="false">IF(AND(S33&lt;&gt;"",ISNUMBER(E33)),E33*Parametros!$B$12,"")</f>
        <v/>
      </c>
      <c r="U33" s="17" t="str">
        <f aca="false">IF(AND(S33&lt;&gt;"",ISNUMBER(E33)),E33*Parametros!$B$13,"")</f>
        <v/>
      </c>
      <c r="V33" s="18" t="str">
        <f aca="false">IF(AND(S33&lt;&gt;"",ISNUMBER(E33)),E33-S33-T33-U33,"")</f>
        <v/>
      </c>
      <c r="W33" s="19" t="str">
        <f aca="false">IF(AND(S33&lt;&gt;"",ISNUMBER(E33)),V33/E33,"")</f>
        <v/>
      </c>
      <c r="X33" s="17" t="str">
        <f aca="false">IF(OR(S33="",Parametros!$B$14&gt;=1),"",S33/(1-Parametros!$B$14))</f>
        <v/>
      </c>
      <c r="Y33" s="17" t="str">
        <f aca="false">IF(OR(S33="",Parametros!$B$14+Parametros!$B$18&gt;=1),"",S33/(1-Parametros!$B$14-Parametros!$B$18))</f>
        <v/>
      </c>
      <c r="Z33" s="20" t="str">
        <f aca="false">IF(B33="","",IF(S33="","FALTAN DATOS",IF(NOT(ISNUMBER(E33)),"FALTA PRECIO",IF(V33&lt;0,"PIERDE",IF(W33&lt;Parametros!$B$18,"BAJO META","OK")))))</f>
        <v>FALTAN DATOS</v>
      </c>
      <c r="AA33" s="21" t="str">
        <f aca="false">IF(B33="","",IF(F33="","Tela. ","")&amp;IF(NOT(ISNUMBER(G33)),"Kg de tela. ","")&amp;IF(AND(F33&lt;&gt;"",NOT(ISNUMBER(IFERROR(INDEX(Precios!$D$5:$D$120,MATCH(F33,Precios!$A$5:$A$120,0)),"x")))),"Tela sin precio. ","")&amp;IF(AND(H33&lt;&gt;"",NOT(ISNUMBER(IFERROR(INDEX(Precios!$D$5:$D$120,MATCH(H33,Precios!$A$5:$A$120,0)),"x")))),"Tela 2 sin precio. ","")&amp;IF(J33="","Metros impresos. ","")&amp;IF(AND(N(J33)&gt;0,Parametros!$B$27=0),"Impresión sin costo. ","")&amp;IF(K33="","Confección. ",IF(Q33=0,"Confección sin valor. ",""))&amp;IF(NOT(ISNUMBER(E33)),"Precio de venta. ",""))</f>
        <v>Tela. Kg de tela. Metros impresos. Confección. </v>
      </c>
    </row>
    <row r="34" customFormat="false" ht="15" hidden="false" customHeight="false" outlineLevel="0" collapsed="false">
      <c r="A34" s="11" t="s">
        <v>143</v>
      </c>
      <c r="B34" s="11" t="s">
        <v>144</v>
      </c>
      <c r="C34" s="11" t="s">
        <v>65</v>
      </c>
      <c r="D34" s="11" t="n">
        <v>34</v>
      </c>
      <c r="E34" s="12" t="n">
        <v>19664</v>
      </c>
      <c r="F34" s="13"/>
      <c r="G34" s="14"/>
      <c r="H34" s="13"/>
      <c r="I34" s="14"/>
      <c r="J34" s="15"/>
      <c r="K34" s="13"/>
      <c r="L34" s="12"/>
      <c r="M34" s="13" t="s">
        <v>68</v>
      </c>
      <c r="N34" s="16"/>
      <c r="O34" s="17" t="n">
        <f aca="false">IF(B34="","",IFERROR(G34*INDEX(Precios!$D$5:$D$120,MATCH(F34,Precios!$A$5:$A$120,0)),0)+IF(H34="",0,IFERROR(I34*INDEX(Precios!$D$5:$D$120,MATCH(H34,Precios!$A$5:$A$120,0)),0)))</f>
        <v>0</v>
      </c>
      <c r="P34" s="17" t="n">
        <f aca="false">IF(B34="","",N(J34)*Parametros!$B$27)</f>
        <v>0</v>
      </c>
      <c r="Q34" s="17" t="n">
        <f aca="false">IF(B34="","",IFERROR(INDEX(Confeccion!$B$5:$B$100,MATCH(K34,Confeccion!$A$5:$A$100,0)),0))</f>
        <v>0</v>
      </c>
      <c r="R34" s="17" t="n">
        <f aca="false">IF(B34="","",N(L34))</f>
        <v>0</v>
      </c>
      <c r="S34" s="18" t="str">
        <f aca="false">IF(B34="","",IF(AND(F34&lt;&gt;"",ISNUMBER(G34),ISNUMBER(IFERROR(INDEX(Precios!$D$5:$D$120,MATCH(F34,Precios!$A$5:$A$120,0)),"x")),OR(H34="",ISNUMBER(IFERROR(INDEX(Precios!$D$5:$D$120,MATCH(H34,Precios!$A$5:$A$120,0)),"x"))),J34&lt;&gt;"",K34&lt;&gt;"",Q34&gt;0),SUM(O34:R34),""))</f>
        <v/>
      </c>
      <c r="T34" s="17" t="str">
        <f aca="false">IF(AND(S34&lt;&gt;"",ISNUMBER(E34)),E34*Parametros!$B$12,"")</f>
        <v/>
      </c>
      <c r="U34" s="17" t="str">
        <f aca="false">IF(AND(S34&lt;&gt;"",ISNUMBER(E34)),E34*Parametros!$B$13,"")</f>
        <v/>
      </c>
      <c r="V34" s="18" t="str">
        <f aca="false">IF(AND(S34&lt;&gt;"",ISNUMBER(E34)),E34-S34-T34-U34,"")</f>
        <v/>
      </c>
      <c r="W34" s="19" t="str">
        <f aca="false">IF(AND(S34&lt;&gt;"",ISNUMBER(E34)),V34/E34,"")</f>
        <v/>
      </c>
      <c r="X34" s="17" t="str">
        <f aca="false">IF(OR(S34="",Parametros!$B$14&gt;=1),"",S34/(1-Parametros!$B$14))</f>
        <v/>
      </c>
      <c r="Y34" s="17" t="str">
        <f aca="false">IF(OR(S34="",Parametros!$B$14+Parametros!$B$18&gt;=1),"",S34/(1-Parametros!$B$14-Parametros!$B$18))</f>
        <v/>
      </c>
      <c r="Z34" s="20" t="str">
        <f aca="false">IF(B34="","",IF(S34="","FALTAN DATOS",IF(NOT(ISNUMBER(E34)),"FALTA PRECIO",IF(V34&lt;0,"PIERDE",IF(W34&lt;Parametros!$B$18,"BAJO META","OK")))))</f>
        <v>FALTAN DATOS</v>
      </c>
      <c r="AA34" s="21" t="str">
        <f aca="false">IF(B34="","",IF(F34="","Tela. ","")&amp;IF(NOT(ISNUMBER(G34)),"Kg de tela. ","")&amp;IF(AND(F34&lt;&gt;"",NOT(ISNUMBER(IFERROR(INDEX(Precios!$D$5:$D$120,MATCH(F34,Precios!$A$5:$A$120,0)),"x")))),"Tela sin precio. ","")&amp;IF(AND(H34&lt;&gt;"",NOT(ISNUMBER(IFERROR(INDEX(Precios!$D$5:$D$120,MATCH(H34,Precios!$A$5:$A$120,0)),"x")))),"Tela 2 sin precio. ","")&amp;IF(J34="","Metros impresos. ","")&amp;IF(AND(N(J34)&gt;0,Parametros!$B$27=0),"Impresión sin costo. ","")&amp;IF(K34="","Confección. ",IF(Q34=0,"Confección sin valor. ",""))&amp;IF(NOT(ISNUMBER(E34)),"Precio de venta. ",""))</f>
        <v>Tela. Kg de tela. Metros impresos. Confección. </v>
      </c>
    </row>
    <row r="35" customFormat="false" ht="15" hidden="false" customHeight="false" outlineLevel="0" collapsed="false">
      <c r="A35" s="11" t="s">
        <v>145</v>
      </c>
      <c r="B35" s="11" t="s">
        <v>146</v>
      </c>
      <c r="C35" s="11" t="s">
        <v>65</v>
      </c>
      <c r="D35" s="11" t="n">
        <v>34</v>
      </c>
      <c r="E35" s="12" t="n">
        <v>17563</v>
      </c>
      <c r="F35" s="13" t="s">
        <v>66</v>
      </c>
      <c r="G35" s="14"/>
      <c r="H35" s="13"/>
      <c r="I35" s="14"/>
      <c r="J35" s="15"/>
      <c r="K35" s="13" t="s">
        <v>67</v>
      </c>
      <c r="L35" s="12"/>
      <c r="M35" s="13" t="s">
        <v>68</v>
      </c>
      <c r="N35" s="16" t="s">
        <v>147</v>
      </c>
      <c r="O35" s="17" t="n">
        <f aca="false">IF(B35="","",IFERROR(G35*INDEX(Precios!$D$5:$D$120,MATCH(F35,Precios!$A$5:$A$120,0)),0)+IF(H35="",0,IFERROR(I35*INDEX(Precios!$D$5:$D$120,MATCH(H35,Precios!$A$5:$A$120,0)),0)))</f>
        <v>0</v>
      </c>
      <c r="P35" s="17" t="n">
        <f aca="false">IF(B35="","",N(J35)*Parametros!$B$27)</f>
        <v>0</v>
      </c>
      <c r="Q35" s="17" t="n">
        <f aca="false">IF(B35="","",IFERROR(INDEX(Confeccion!$B$5:$B$100,MATCH(K35,Confeccion!$A$5:$A$100,0)),0))</f>
        <v>2000</v>
      </c>
      <c r="R35" s="17" t="n">
        <f aca="false">IF(B35="","",N(L35))</f>
        <v>0</v>
      </c>
      <c r="S35" s="18" t="str">
        <f aca="false">IF(B35="","",IF(AND(F35&lt;&gt;"",ISNUMBER(G35),ISNUMBER(IFERROR(INDEX(Precios!$D$5:$D$120,MATCH(F35,Precios!$A$5:$A$120,0)),"x")),OR(H35="",ISNUMBER(IFERROR(INDEX(Precios!$D$5:$D$120,MATCH(H35,Precios!$A$5:$A$120,0)),"x"))),J35&lt;&gt;"",K35&lt;&gt;"",Q35&gt;0),SUM(O35:R35),""))</f>
        <v/>
      </c>
      <c r="T35" s="17" t="str">
        <f aca="false">IF(AND(S35&lt;&gt;"",ISNUMBER(E35)),E35*Parametros!$B$12,"")</f>
        <v/>
      </c>
      <c r="U35" s="17" t="str">
        <f aca="false">IF(AND(S35&lt;&gt;"",ISNUMBER(E35)),E35*Parametros!$B$13,"")</f>
        <v/>
      </c>
      <c r="V35" s="18" t="str">
        <f aca="false">IF(AND(S35&lt;&gt;"",ISNUMBER(E35)),E35-S35-T35-U35,"")</f>
        <v/>
      </c>
      <c r="W35" s="19" t="str">
        <f aca="false">IF(AND(S35&lt;&gt;"",ISNUMBER(E35)),V35/E35,"")</f>
        <v/>
      </c>
      <c r="X35" s="17" t="str">
        <f aca="false">IF(OR(S35="",Parametros!$B$14&gt;=1),"",S35/(1-Parametros!$B$14))</f>
        <v/>
      </c>
      <c r="Y35" s="17" t="str">
        <f aca="false">IF(OR(S35="",Parametros!$B$14+Parametros!$B$18&gt;=1),"",S35/(1-Parametros!$B$14-Parametros!$B$18))</f>
        <v/>
      </c>
      <c r="Z35" s="20" t="str">
        <f aca="false">IF(B35="","",IF(S35="","FALTAN DATOS",IF(NOT(ISNUMBER(E35)),"FALTA PRECIO",IF(V35&lt;0,"PIERDE",IF(W35&lt;Parametros!$B$18,"BAJO META","OK")))))</f>
        <v>FALTAN DATOS</v>
      </c>
      <c r="AA35" s="21" t="str">
        <f aca="false">IF(B35="","",IF(F35="","Tela. ","")&amp;IF(NOT(ISNUMBER(G35)),"Kg de tela. ","")&amp;IF(AND(F35&lt;&gt;"",NOT(ISNUMBER(IFERROR(INDEX(Precios!$D$5:$D$120,MATCH(F35,Precios!$A$5:$A$120,0)),"x")))),"Tela sin precio. ","")&amp;IF(AND(H35&lt;&gt;"",NOT(ISNUMBER(IFERROR(INDEX(Precios!$D$5:$D$120,MATCH(H35,Precios!$A$5:$A$120,0)),"x")))),"Tela 2 sin precio. ","")&amp;IF(J35="","Metros impresos. ","")&amp;IF(AND(N(J35)&gt;0,Parametros!$B$27=0),"Impresión sin costo. ","")&amp;IF(K35="","Confección. ",IF(Q35=0,"Confección sin valor. ",""))&amp;IF(NOT(ISNUMBER(E35)),"Precio de venta. ",""))</f>
        <v>Kg de tela. Metros impresos. </v>
      </c>
    </row>
    <row r="36" customFormat="false" ht="15" hidden="false" customHeight="false" outlineLevel="0" collapsed="false">
      <c r="A36" s="11" t="s">
        <v>148</v>
      </c>
      <c r="B36" s="11" t="s">
        <v>149</v>
      </c>
      <c r="C36" s="11" t="s">
        <v>65</v>
      </c>
      <c r="D36" s="11" t="n">
        <v>31</v>
      </c>
      <c r="E36" s="12" t="n">
        <v>12521</v>
      </c>
      <c r="F36" s="13"/>
      <c r="G36" s="14"/>
      <c r="H36" s="13"/>
      <c r="I36" s="14"/>
      <c r="J36" s="15"/>
      <c r="K36" s="13"/>
      <c r="L36" s="12"/>
      <c r="M36" s="13" t="s">
        <v>68</v>
      </c>
      <c r="N36" s="16"/>
      <c r="O36" s="17" t="n">
        <f aca="false">IF(B36="","",IFERROR(G36*INDEX(Precios!$D$5:$D$120,MATCH(F36,Precios!$A$5:$A$120,0)),0)+IF(H36="",0,IFERROR(I36*INDEX(Precios!$D$5:$D$120,MATCH(H36,Precios!$A$5:$A$120,0)),0)))</f>
        <v>0</v>
      </c>
      <c r="P36" s="17" t="n">
        <f aca="false">IF(B36="","",N(J36)*Parametros!$B$27)</f>
        <v>0</v>
      </c>
      <c r="Q36" s="17" t="n">
        <f aca="false">IF(B36="","",IFERROR(INDEX(Confeccion!$B$5:$B$100,MATCH(K36,Confeccion!$A$5:$A$100,0)),0))</f>
        <v>0</v>
      </c>
      <c r="R36" s="17" t="n">
        <f aca="false">IF(B36="","",N(L36))</f>
        <v>0</v>
      </c>
      <c r="S36" s="18" t="str">
        <f aca="false">IF(B36="","",IF(AND(F36&lt;&gt;"",ISNUMBER(G36),ISNUMBER(IFERROR(INDEX(Precios!$D$5:$D$120,MATCH(F36,Precios!$A$5:$A$120,0)),"x")),OR(H36="",ISNUMBER(IFERROR(INDEX(Precios!$D$5:$D$120,MATCH(H36,Precios!$A$5:$A$120,0)),"x"))),J36&lt;&gt;"",K36&lt;&gt;"",Q36&gt;0),SUM(O36:R36),""))</f>
        <v/>
      </c>
      <c r="T36" s="17" t="str">
        <f aca="false">IF(AND(S36&lt;&gt;"",ISNUMBER(E36)),E36*Parametros!$B$12,"")</f>
        <v/>
      </c>
      <c r="U36" s="17" t="str">
        <f aca="false">IF(AND(S36&lt;&gt;"",ISNUMBER(E36)),E36*Parametros!$B$13,"")</f>
        <v/>
      </c>
      <c r="V36" s="18" t="str">
        <f aca="false">IF(AND(S36&lt;&gt;"",ISNUMBER(E36)),E36-S36-T36-U36,"")</f>
        <v/>
      </c>
      <c r="W36" s="19" t="str">
        <f aca="false">IF(AND(S36&lt;&gt;"",ISNUMBER(E36)),V36/E36,"")</f>
        <v/>
      </c>
      <c r="X36" s="17" t="str">
        <f aca="false">IF(OR(S36="",Parametros!$B$14&gt;=1),"",S36/(1-Parametros!$B$14))</f>
        <v/>
      </c>
      <c r="Y36" s="17" t="str">
        <f aca="false">IF(OR(S36="",Parametros!$B$14+Parametros!$B$18&gt;=1),"",S36/(1-Parametros!$B$14-Parametros!$B$18))</f>
        <v/>
      </c>
      <c r="Z36" s="20" t="str">
        <f aca="false">IF(B36="","",IF(S36="","FALTAN DATOS",IF(NOT(ISNUMBER(E36)),"FALTA PRECIO",IF(V36&lt;0,"PIERDE",IF(W36&lt;Parametros!$B$18,"BAJO META","OK")))))</f>
        <v>FALTAN DATOS</v>
      </c>
      <c r="AA36" s="21" t="str">
        <f aca="false">IF(B36="","",IF(F36="","Tela. ","")&amp;IF(NOT(ISNUMBER(G36)),"Kg de tela. ","")&amp;IF(AND(F36&lt;&gt;"",NOT(ISNUMBER(IFERROR(INDEX(Precios!$D$5:$D$120,MATCH(F36,Precios!$A$5:$A$120,0)),"x")))),"Tela sin precio. ","")&amp;IF(AND(H36&lt;&gt;"",NOT(ISNUMBER(IFERROR(INDEX(Precios!$D$5:$D$120,MATCH(H36,Precios!$A$5:$A$120,0)),"x")))),"Tela 2 sin precio. ","")&amp;IF(J36="","Metros impresos. ","")&amp;IF(AND(N(J36)&gt;0,Parametros!$B$27=0),"Impresión sin costo. ","")&amp;IF(K36="","Confección. ",IF(Q36=0,"Confección sin valor. ",""))&amp;IF(NOT(ISNUMBER(E36)),"Precio de venta. ",""))</f>
        <v>Tela. Kg de tela. Metros impresos. Confección. </v>
      </c>
    </row>
    <row r="37" customFormat="false" ht="15" hidden="false" customHeight="false" outlineLevel="0" collapsed="false">
      <c r="A37" s="11" t="s">
        <v>150</v>
      </c>
      <c r="B37" s="11" t="s">
        <v>151</v>
      </c>
      <c r="C37" s="11" t="s">
        <v>65</v>
      </c>
      <c r="D37" s="11" t="n">
        <v>29</v>
      </c>
      <c r="E37" s="12" t="n">
        <v>21204</v>
      </c>
      <c r="F37" s="13"/>
      <c r="G37" s="14"/>
      <c r="H37" s="13"/>
      <c r="I37" s="14"/>
      <c r="J37" s="15"/>
      <c r="K37" s="13"/>
      <c r="L37" s="12"/>
      <c r="M37" s="13" t="s">
        <v>68</v>
      </c>
      <c r="N37" s="16"/>
      <c r="O37" s="17" t="n">
        <f aca="false">IF(B37="","",IFERROR(G37*INDEX(Precios!$D$5:$D$120,MATCH(F37,Precios!$A$5:$A$120,0)),0)+IF(H37="",0,IFERROR(I37*INDEX(Precios!$D$5:$D$120,MATCH(H37,Precios!$A$5:$A$120,0)),0)))</f>
        <v>0</v>
      </c>
      <c r="P37" s="17" t="n">
        <f aca="false">IF(B37="","",N(J37)*Parametros!$B$27)</f>
        <v>0</v>
      </c>
      <c r="Q37" s="17" t="n">
        <f aca="false">IF(B37="","",IFERROR(INDEX(Confeccion!$B$5:$B$100,MATCH(K37,Confeccion!$A$5:$A$100,0)),0))</f>
        <v>0</v>
      </c>
      <c r="R37" s="17" t="n">
        <f aca="false">IF(B37="","",N(L37))</f>
        <v>0</v>
      </c>
      <c r="S37" s="18" t="str">
        <f aca="false">IF(B37="","",IF(AND(F37&lt;&gt;"",ISNUMBER(G37),ISNUMBER(IFERROR(INDEX(Precios!$D$5:$D$120,MATCH(F37,Precios!$A$5:$A$120,0)),"x")),OR(H37="",ISNUMBER(IFERROR(INDEX(Precios!$D$5:$D$120,MATCH(H37,Precios!$A$5:$A$120,0)),"x"))),J37&lt;&gt;"",K37&lt;&gt;"",Q37&gt;0),SUM(O37:R37),""))</f>
        <v/>
      </c>
      <c r="T37" s="17" t="str">
        <f aca="false">IF(AND(S37&lt;&gt;"",ISNUMBER(E37)),E37*Parametros!$B$12,"")</f>
        <v/>
      </c>
      <c r="U37" s="17" t="str">
        <f aca="false">IF(AND(S37&lt;&gt;"",ISNUMBER(E37)),E37*Parametros!$B$13,"")</f>
        <v/>
      </c>
      <c r="V37" s="18" t="str">
        <f aca="false">IF(AND(S37&lt;&gt;"",ISNUMBER(E37)),E37-S37-T37-U37,"")</f>
        <v/>
      </c>
      <c r="W37" s="19" t="str">
        <f aca="false">IF(AND(S37&lt;&gt;"",ISNUMBER(E37)),V37/E37,"")</f>
        <v/>
      </c>
      <c r="X37" s="17" t="str">
        <f aca="false">IF(OR(S37="",Parametros!$B$14&gt;=1),"",S37/(1-Parametros!$B$14))</f>
        <v/>
      </c>
      <c r="Y37" s="17" t="str">
        <f aca="false">IF(OR(S37="",Parametros!$B$14+Parametros!$B$18&gt;=1),"",S37/(1-Parametros!$B$14-Parametros!$B$18))</f>
        <v/>
      </c>
      <c r="Z37" s="20" t="str">
        <f aca="false">IF(B37="","",IF(S37="","FALTAN DATOS",IF(NOT(ISNUMBER(E37)),"FALTA PRECIO",IF(V37&lt;0,"PIERDE",IF(W37&lt;Parametros!$B$18,"BAJO META","OK")))))</f>
        <v>FALTAN DATOS</v>
      </c>
      <c r="AA37" s="21" t="str">
        <f aca="false">IF(B37="","",IF(F37="","Tela. ","")&amp;IF(NOT(ISNUMBER(G37)),"Kg de tela. ","")&amp;IF(AND(F37&lt;&gt;"",NOT(ISNUMBER(IFERROR(INDEX(Precios!$D$5:$D$120,MATCH(F37,Precios!$A$5:$A$120,0)),"x")))),"Tela sin precio. ","")&amp;IF(AND(H37&lt;&gt;"",NOT(ISNUMBER(IFERROR(INDEX(Precios!$D$5:$D$120,MATCH(H37,Precios!$A$5:$A$120,0)),"x")))),"Tela 2 sin precio. ","")&amp;IF(J37="","Metros impresos. ","")&amp;IF(AND(N(J37)&gt;0,Parametros!$B$27=0),"Impresión sin costo. ","")&amp;IF(K37="","Confección. ",IF(Q37=0,"Confección sin valor. ",""))&amp;IF(NOT(ISNUMBER(E37)),"Precio de venta. ",""))</f>
        <v>Tela. Kg de tela. Metros impresos. Confección. </v>
      </c>
    </row>
    <row r="38" customFormat="false" ht="15" hidden="false" customHeight="false" outlineLevel="0" collapsed="false">
      <c r="A38" s="11" t="s">
        <v>152</v>
      </c>
      <c r="B38" s="11" t="s">
        <v>153</v>
      </c>
      <c r="C38" s="11" t="s">
        <v>89</v>
      </c>
      <c r="D38" s="11" t="n">
        <v>29</v>
      </c>
      <c r="E38" s="12" t="n">
        <v>22605</v>
      </c>
      <c r="F38" s="13"/>
      <c r="G38" s="14"/>
      <c r="H38" s="13"/>
      <c r="I38" s="14"/>
      <c r="J38" s="15"/>
      <c r="K38" s="13" t="s">
        <v>80</v>
      </c>
      <c r="L38" s="12"/>
      <c r="M38" s="13" t="s">
        <v>68</v>
      </c>
      <c r="N38" s="16" t="s">
        <v>81</v>
      </c>
      <c r="O38" s="17" t="n">
        <f aca="false">IF(B38="","",IFERROR(G38*INDEX(Precios!$D$5:$D$120,MATCH(F38,Precios!$A$5:$A$120,0)),0)+IF(H38="",0,IFERROR(I38*INDEX(Precios!$D$5:$D$120,MATCH(H38,Precios!$A$5:$A$120,0)),0)))</f>
        <v>0</v>
      </c>
      <c r="P38" s="17" t="n">
        <f aca="false">IF(B38="","",N(J38)*Parametros!$B$27)</f>
        <v>0</v>
      </c>
      <c r="Q38" s="17" t="n">
        <f aca="false">IF(B38="","",IFERROR(INDEX(Confeccion!$B$5:$B$100,MATCH(K38,Confeccion!$A$5:$A$100,0)),0))</f>
        <v>1700</v>
      </c>
      <c r="R38" s="17" t="n">
        <f aca="false">IF(B38="","",N(L38))</f>
        <v>0</v>
      </c>
      <c r="S38" s="18" t="str">
        <f aca="false">IF(B38="","",IF(AND(F38&lt;&gt;"",ISNUMBER(G38),ISNUMBER(IFERROR(INDEX(Precios!$D$5:$D$120,MATCH(F38,Precios!$A$5:$A$120,0)),"x")),OR(H38="",ISNUMBER(IFERROR(INDEX(Precios!$D$5:$D$120,MATCH(H38,Precios!$A$5:$A$120,0)),"x"))),J38&lt;&gt;"",K38&lt;&gt;"",Q38&gt;0),SUM(O38:R38),""))</f>
        <v/>
      </c>
      <c r="T38" s="17" t="str">
        <f aca="false">IF(AND(S38&lt;&gt;"",ISNUMBER(E38)),E38*Parametros!$B$12,"")</f>
        <v/>
      </c>
      <c r="U38" s="17" t="str">
        <f aca="false">IF(AND(S38&lt;&gt;"",ISNUMBER(E38)),E38*Parametros!$B$13,"")</f>
        <v/>
      </c>
      <c r="V38" s="18" t="str">
        <f aca="false">IF(AND(S38&lt;&gt;"",ISNUMBER(E38)),E38-S38-T38-U38,"")</f>
        <v/>
      </c>
      <c r="W38" s="19" t="str">
        <f aca="false">IF(AND(S38&lt;&gt;"",ISNUMBER(E38)),V38/E38,"")</f>
        <v/>
      </c>
      <c r="X38" s="17" t="str">
        <f aca="false">IF(OR(S38="",Parametros!$B$14&gt;=1),"",S38/(1-Parametros!$B$14))</f>
        <v/>
      </c>
      <c r="Y38" s="17" t="str">
        <f aca="false">IF(OR(S38="",Parametros!$B$14+Parametros!$B$18&gt;=1),"",S38/(1-Parametros!$B$14-Parametros!$B$18))</f>
        <v/>
      </c>
      <c r="Z38" s="20" t="str">
        <f aca="false">IF(B38="","",IF(S38="","FALTAN DATOS",IF(NOT(ISNUMBER(E38)),"FALTA PRECIO",IF(V38&lt;0,"PIERDE",IF(W38&lt;Parametros!$B$18,"BAJO META","OK")))))</f>
        <v>FALTAN DATOS</v>
      </c>
      <c r="AA38" s="21" t="str">
        <f aca="false">IF(B38="","",IF(F38="","Tela. ","")&amp;IF(NOT(ISNUMBER(G38)),"Kg de tela. ","")&amp;IF(AND(F38&lt;&gt;"",NOT(ISNUMBER(IFERROR(INDEX(Precios!$D$5:$D$120,MATCH(F38,Precios!$A$5:$A$120,0)),"x")))),"Tela sin precio. ","")&amp;IF(AND(H38&lt;&gt;"",NOT(ISNUMBER(IFERROR(INDEX(Precios!$D$5:$D$120,MATCH(H38,Precios!$A$5:$A$120,0)),"x")))),"Tela 2 sin precio. ","")&amp;IF(J38="","Metros impresos. ","")&amp;IF(AND(N(J38)&gt;0,Parametros!$B$27=0),"Impresión sin costo. ","")&amp;IF(K38="","Confección. ",IF(Q38=0,"Confección sin valor. ",""))&amp;IF(NOT(ISNUMBER(E38)),"Precio de venta. ",""))</f>
        <v>Tela. Kg de tela. Metros impresos. </v>
      </c>
    </row>
    <row r="39" customFormat="false" ht="15" hidden="false" customHeight="false" outlineLevel="0" collapsed="false">
      <c r="A39" s="11" t="s">
        <v>154</v>
      </c>
      <c r="B39" s="11" t="s">
        <v>155</v>
      </c>
      <c r="C39" s="11" t="s">
        <v>65</v>
      </c>
      <c r="D39" s="11" t="n">
        <v>29</v>
      </c>
      <c r="E39" s="12" t="n">
        <v>16723</v>
      </c>
      <c r="F39" s="13"/>
      <c r="G39" s="14"/>
      <c r="H39" s="13"/>
      <c r="I39" s="14"/>
      <c r="J39" s="15"/>
      <c r="K39" s="13" t="s">
        <v>80</v>
      </c>
      <c r="L39" s="12"/>
      <c r="M39" s="13" t="s">
        <v>68</v>
      </c>
      <c r="N39" s="16" t="s">
        <v>81</v>
      </c>
      <c r="O39" s="17" t="n">
        <f aca="false">IF(B39="","",IFERROR(G39*INDEX(Precios!$D$5:$D$120,MATCH(F39,Precios!$A$5:$A$120,0)),0)+IF(H39="",0,IFERROR(I39*INDEX(Precios!$D$5:$D$120,MATCH(H39,Precios!$A$5:$A$120,0)),0)))</f>
        <v>0</v>
      </c>
      <c r="P39" s="17" t="n">
        <f aca="false">IF(B39="","",N(J39)*Parametros!$B$27)</f>
        <v>0</v>
      </c>
      <c r="Q39" s="17" t="n">
        <f aca="false">IF(B39="","",IFERROR(INDEX(Confeccion!$B$5:$B$100,MATCH(K39,Confeccion!$A$5:$A$100,0)),0))</f>
        <v>1700</v>
      </c>
      <c r="R39" s="17" t="n">
        <f aca="false">IF(B39="","",N(L39))</f>
        <v>0</v>
      </c>
      <c r="S39" s="18" t="str">
        <f aca="false">IF(B39="","",IF(AND(F39&lt;&gt;"",ISNUMBER(G39),ISNUMBER(IFERROR(INDEX(Precios!$D$5:$D$120,MATCH(F39,Precios!$A$5:$A$120,0)),"x")),OR(H39="",ISNUMBER(IFERROR(INDEX(Precios!$D$5:$D$120,MATCH(H39,Precios!$A$5:$A$120,0)),"x"))),J39&lt;&gt;"",K39&lt;&gt;"",Q39&gt;0),SUM(O39:R39),""))</f>
        <v/>
      </c>
      <c r="T39" s="17" t="str">
        <f aca="false">IF(AND(S39&lt;&gt;"",ISNUMBER(E39)),E39*Parametros!$B$12,"")</f>
        <v/>
      </c>
      <c r="U39" s="17" t="str">
        <f aca="false">IF(AND(S39&lt;&gt;"",ISNUMBER(E39)),E39*Parametros!$B$13,"")</f>
        <v/>
      </c>
      <c r="V39" s="18" t="str">
        <f aca="false">IF(AND(S39&lt;&gt;"",ISNUMBER(E39)),E39-S39-T39-U39,"")</f>
        <v/>
      </c>
      <c r="W39" s="19" t="str">
        <f aca="false">IF(AND(S39&lt;&gt;"",ISNUMBER(E39)),V39/E39,"")</f>
        <v/>
      </c>
      <c r="X39" s="17" t="str">
        <f aca="false">IF(OR(S39="",Parametros!$B$14&gt;=1),"",S39/(1-Parametros!$B$14))</f>
        <v/>
      </c>
      <c r="Y39" s="17" t="str">
        <f aca="false">IF(OR(S39="",Parametros!$B$14+Parametros!$B$18&gt;=1),"",S39/(1-Parametros!$B$14-Parametros!$B$18))</f>
        <v/>
      </c>
      <c r="Z39" s="20" t="str">
        <f aca="false">IF(B39="","",IF(S39="","FALTAN DATOS",IF(NOT(ISNUMBER(E39)),"FALTA PRECIO",IF(V39&lt;0,"PIERDE",IF(W39&lt;Parametros!$B$18,"BAJO META","OK")))))</f>
        <v>FALTAN DATOS</v>
      </c>
      <c r="AA39" s="21" t="str">
        <f aca="false">IF(B39="","",IF(F39="","Tela. ","")&amp;IF(NOT(ISNUMBER(G39)),"Kg de tela. ","")&amp;IF(AND(F39&lt;&gt;"",NOT(ISNUMBER(IFERROR(INDEX(Precios!$D$5:$D$120,MATCH(F39,Precios!$A$5:$A$120,0)),"x")))),"Tela sin precio. ","")&amp;IF(AND(H39&lt;&gt;"",NOT(ISNUMBER(IFERROR(INDEX(Precios!$D$5:$D$120,MATCH(H39,Precios!$A$5:$A$120,0)),"x")))),"Tela 2 sin precio. ","")&amp;IF(J39="","Metros impresos. ","")&amp;IF(AND(N(J39)&gt;0,Parametros!$B$27=0),"Impresión sin costo. ","")&amp;IF(K39="","Confección. ",IF(Q39=0,"Confección sin valor. ",""))&amp;IF(NOT(ISNUMBER(E39)),"Precio de venta. ",""))</f>
        <v>Tela. Kg de tela. Metros impresos. </v>
      </c>
    </row>
    <row r="40" customFormat="false" ht="15" hidden="false" customHeight="false" outlineLevel="0" collapsed="false">
      <c r="A40" s="11" t="s">
        <v>156</v>
      </c>
      <c r="B40" s="11" t="s">
        <v>157</v>
      </c>
      <c r="C40" s="11" t="s">
        <v>65</v>
      </c>
      <c r="D40" s="11" t="n">
        <v>26</v>
      </c>
      <c r="E40" s="12" t="n">
        <v>23488</v>
      </c>
      <c r="F40" s="13"/>
      <c r="G40" s="14"/>
      <c r="H40" s="13"/>
      <c r="I40" s="14"/>
      <c r="J40" s="15"/>
      <c r="K40" s="13"/>
      <c r="L40" s="12"/>
      <c r="M40" s="13" t="s">
        <v>68</v>
      </c>
      <c r="N40" s="16"/>
      <c r="O40" s="17" t="n">
        <f aca="false">IF(B40="","",IFERROR(G40*INDEX(Precios!$D$5:$D$120,MATCH(F40,Precios!$A$5:$A$120,0)),0)+IF(H40="",0,IFERROR(I40*INDEX(Precios!$D$5:$D$120,MATCH(H40,Precios!$A$5:$A$120,0)),0)))</f>
        <v>0</v>
      </c>
      <c r="P40" s="17" t="n">
        <f aca="false">IF(B40="","",N(J40)*Parametros!$B$27)</f>
        <v>0</v>
      </c>
      <c r="Q40" s="17" t="n">
        <f aca="false">IF(B40="","",IFERROR(INDEX(Confeccion!$B$5:$B$100,MATCH(K40,Confeccion!$A$5:$A$100,0)),0))</f>
        <v>0</v>
      </c>
      <c r="R40" s="17" t="n">
        <f aca="false">IF(B40="","",N(L40))</f>
        <v>0</v>
      </c>
      <c r="S40" s="18" t="str">
        <f aca="false">IF(B40="","",IF(AND(F40&lt;&gt;"",ISNUMBER(G40),ISNUMBER(IFERROR(INDEX(Precios!$D$5:$D$120,MATCH(F40,Precios!$A$5:$A$120,0)),"x")),OR(H40="",ISNUMBER(IFERROR(INDEX(Precios!$D$5:$D$120,MATCH(H40,Precios!$A$5:$A$120,0)),"x"))),J40&lt;&gt;"",K40&lt;&gt;"",Q40&gt;0),SUM(O40:R40),""))</f>
        <v/>
      </c>
      <c r="T40" s="17" t="str">
        <f aca="false">IF(AND(S40&lt;&gt;"",ISNUMBER(E40)),E40*Parametros!$B$12,"")</f>
        <v/>
      </c>
      <c r="U40" s="17" t="str">
        <f aca="false">IF(AND(S40&lt;&gt;"",ISNUMBER(E40)),E40*Parametros!$B$13,"")</f>
        <v/>
      </c>
      <c r="V40" s="18" t="str">
        <f aca="false">IF(AND(S40&lt;&gt;"",ISNUMBER(E40)),E40-S40-T40-U40,"")</f>
        <v/>
      </c>
      <c r="W40" s="19" t="str">
        <f aca="false">IF(AND(S40&lt;&gt;"",ISNUMBER(E40)),V40/E40,"")</f>
        <v/>
      </c>
      <c r="X40" s="17" t="str">
        <f aca="false">IF(OR(S40="",Parametros!$B$14&gt;=1),"",S40/(1-Parametros!$B$14))</f>
        <v/>
      </c>
      <c r="Y40" s="17" t="str">
        <f aca="false">IF(OR(S40="",Parametros!$B$14+Parametros!$B$18&gt;=1),"",S40/(1-Parametros!$B$14-Parametros!$B$18))</f>
        <v/>
      </c>
      <c r="Z40" s="20" t="str">
        <f aca="false">IF(B40="","",IF(S40="","FALTAN DATOS",IF(NOT(ISNUMBER(E40)),"FALTA PRECIO",IF(V40&lt;0,"PIERDE",IF(W40&lt;Parametros!$B$18,"BAJO META","OK")))))</f>
        <v>FALTAN DATOS</v>
      </c>
      <c r="AA40" s="21" t="str">
        <f aca="false">IF(B40="","",IF(F40="","Tela. ","")&amp;IF(NOT(ISNUMBER(G40)),"Kg de tela. ","")&amp;IF(AND(F40&lt;&gt;"",NOT(ISNUMBER(IFERROR(INDEX(Precios!$D$5:$D$120,MATCH(F40,Precios!$A$5:$A$120,0)),"x")))),"Tela sin precio. ","")&amp;IF(AND(H40&lt;&gt;"",NOT(ISNUMBER(IFERROR(INDEX(Precios!$D$5:$D$120,MATCH(H40,Precios!$A$5:$A$120,0)),"x")))),"Tela 2 sin precio. ","")&amp;IF(J40="","Metros impresos. ","")&amp;IF(AND(N(J40)&gt;0,Parametros!$B$27=0),"Impresión sin costo. ","")&amp;IF(K40="","Confección. ",IF(Q40=0,"Confección sin valor. ",""))&amp;IF(NOT(ISNUMBER(E40)),"Precio de venta. ",""))</f>
        <v>Tela. Kg de tela. Metros impresos. Confección. </v>
      </c>
    </row>
    <row r="41" customFormat="false" ht="15" hidden="false" customHeight="false" outlineLevel="0" collapsed="false">
      <c r="A41" s="11" t="s">
        <v>158</v>
      </c>
      <c r="B41" s="11" t="s">
        <v>159</v>
      </c>
      <c r="C41" s="11" t="s">
        <v>65</v>
      </c>
      <c r="D41" s="11" t="n">
        <v>25</v>
      </c>
      <c r="E41" s="12" t="n">
        <v>19244</v>
      </c>
      <c r="F41" s="13" t="s">
        <v>105</v>
      </c>
      <c r="G41" s="14"/>
      <c r="H41" s="13"/>
      <c r="I41" s="14"/>
      <c r="J41" s="15"/>
      <c r="K41" s="13" t="s">
        <v>160</v>
      </c>
      <c r="L41" s="12"/>
      <c r="M41" s="13" t="s">
        <v>68</v>
      </c>
      <c r="N41" s="16" t="s">
        <v>161</v>
      </c>
      <c r="O41" s="17" t="n">
        <f aca="false">IF(B41="","",IFERROR(G41*INDEX(Precios!$D$5:$D$120,MATCH(F41,Precios!$A$5:$A$120,0)),0)+IF(H41="",0,IFERROR(I41*INDEX(Precios!$D$5:$D$120,MATCH(H41,Precios!$A$5:$A$120,0)),0)))</f>
        <v>0</v>
      </c>
      <c r="P41" s="17" t="n">
        <f aca="false">IF(B41="","",N(J41)*Parametros!$B$27)</f>
        <v>0</v>
      </c>
      <c r="Q41" s="17" t="n">
        <f aca="false">IF(B41="","",IFERROR(INDEX(Confeccion!$B$5:$B$100,MATCH(K41,Confeccion!$A$5:$A$100,0)),0))</f>
        <v>2000</v>
      </c>
      <c r="R41" s="17" t="n">
        <f aca="false">IF(B41="","",N(L41))</f>
        <v>0</v>
      </c>
      <c r="S41" s="18" t="str">
        <f aca="false">IF(B41="","",IF(AND(F41&lt;&gt;"",ISNUMBER(G41),ISNUMBER(IFERROR(INDEX(Precios!$D$5:$D$120,MATCH(F41,Precios!$A$5:$A$120,0)),"x")),OR(H41="",ISNUMBER(IFERROR(INDEX(Precios!$D$5:$D$120,MATCH(H41,Precios!$A$5:$A$120,0)),"x"))),J41&lt;&gt;"",K41&lt;&gt;"",Q41&gt;0),SUM(O41:R41),""))</f>
        <v/>
      </c>
      <c r="T41" s="17" t="str">
        <f aca="false">IF(AND(S41&lt;&gt;"",ISNUMBER(E41)),E41*Parametros!$B$12,"")</f>
        <v/>
      </c>
      <c r="U41" s="17" t="str">
        <f aca="false">IF(AND(S41&lt;&gt;"",ISNUMBER(E41)),E41*Parametros!$B$13,"")</f>
        <v/>
      </c>
      <c r="V41" s="18" t="str">
        <f aca="false">IF(AND(S41&lt;&gt;"",ISNUMBER(E41)),E41-S41-T41-U41,"")</f>
        <v/>
      </c>
      <c r="W41" s="19" t="str">
        <f aca="false">IF(AND(S41&lt;&gt;"",ISNUMBER(E41)),V41/E41,"")</f>
        <v/>
      </c>
      <c r="X41" s="17" t="str">
        <f aca="false">IF(OR(S41="",Parametros!$B$14&gt;=1),"",S41/(1-Parametros!$B$14))</f>
        <v/>
      </c>
      <c r="Y41" s="17" t="str">
        <f aca="false">IF(OR(S41="",Parametros!$B$14+Parametros!$B$18&gt;=1),"",S41/(1-Parametros!$B$14-Parametros!$B$18))</f>
        <v/>
      </c>
      <c r="Z41" s="20" t="str">
        <f aca="false">IF(B41="","",IF(S41="","FALTAN DATOS",IF(NOT(ISNUMBER(E41)),"FALTA PRECIO",IF(V41&lt;0,"PIERDE",IF(W41&lt;Parametros!$B$18,"BAJO META","OK")))))</f>
        <v>FALTAN DATOS</v>
      </c>
      <c r="AA41" s="21" t="str">
        <f aca="false">IF(B41="","",IF(F41="","Tela. ","")&amp;IF(NOT(ISNUMBER(G41)),"Kg de tela. ","")&amp;IF(AND(F41&lt;&gt;"",NOT(ISNUMBER(IFERROR(INDEX(Precios!$D$5:$D$120,MATCH(F41,Precios!$A$5:$A$120,0)),"x")))),"Tela sin precio. ","")&amp;IF(AND(H41&lt;&gt;"",NOT(ISNUMBER(IFERROR(INDEX(Precios!$D$5:$D$120,MATCH(H41,Precios!$A$5:$A$120,0)),"x")))),"Tela 2 sin precio. ","")&amp;IF(J41="","Metros impresos. ","")&amp;IF(AND(N(J41)&gt;0,Parametros!$B$27=0),"Impresión sin costo. ","")&amp;IF(K41="","Confección. ",IF(Q41=0,"Confección sin valor. ",""))&amp;IF(NOT(ISNUMBER(E41)),"Precio de venta. ",""))</f>
        <v>Kg de tela. Metros impresos. </v>
      </c>
    </row>
    <row r="42" customFormat="false" ht="15" hidden="false" customHeight="false" outlineLevel="0" collapsed="false">
      <c r="A42" s="11" t="s">
        <v>162</v>
      </c>
      <c r="B42" s="11" t="s">
        <v>163</v>
      </c>
      <c r="C42" s="11" t="s">
        <v>89</v>
      </c>
      <c r="D42" s="11" t="n">
        <v>25</v>
      </c>
      <c r="E42" s="12" t="n">
        <v>15882</v>
      </c>
      <c r="F42" s="13"/>
      <c r="G42" s="14"/>
      <c r="H42" s="13"/>
      <c r="I42" s="14"/>
      <c r="J42" s="15"/>
      <c r="K42" s="13" t="s">
        <v>164</v>
      </c>
      <c r="L42" s="12"/>
      <c r="M42" s="13" t="s">
        <v>68</v>
      </c>
      <c r="N42" s="16" t="s">
        <v>81</v>
      </c>
      <c r="O42" s="17" t="n">
        <f aca="false">IF(B42="","",IFERROR(G42*INDEX(Precios!$D$5:$D$120,MATCH(F42,Precios!$A$5:$A$120,0)),0)+IF(H42="",0,IFERROR(I42*INDEX(Precios!$D$5:$D$120,MATCH(H42,Precios!$A$5:$A$120,0)),0)))</f>
        <v>0</v>
      </c>
      <c r="P42" s="17" t="n">
        <f aca="false">IF(B42="","",N(J42)*Parametros!$B$27)</f>
        <v>0</v>
      </c>
      <c r="Q42" s="17" t="n">
        <f aca="false">IF(B42="","",IFERROR(INDEX(Confeccion!$B$5:$B$100,MATCH(K42,Confeccion!$A$5:$A$100,0)),0))</f>
        <v>2200</v>
      </c>
      <c r="R42" s="17" t="n">
        <f aca="false">IF(B42="","",N(L42))</f>
        <v>0</v>
      </c>
      <c r="S42" s="18" t="str">
        <f aca="false">IF(B42="","",IF(AND(F42&lt;&gt;"",ISNUMBER(G42),ISNUMBER(IFERROR(INDEX(Precios!$D$5:$D$120,MATCH(F42,Precios!$A$5:$A$120,0)),"x")),OR(H42="",ISNUMBER(IFERROR(INDEX(Precios!$D$5:$D$120,MATCH(H42,Precios!$A$5:$A$120,0)),"x"))),J42&lt;&gt;"",K42&lt;&gt;"",Q42&gt;0),SUM(O42:R42),""))</f>
        <v/>
      </c>
      <c r="T42" s="17" t="str">
        <f aca="false">IF(AND(S42&lt;&gt;"",ISNUMBER(E42)),E42*Parametros!$B$12,"")</f>
        <v/>
      </c>
      <c r="U42" s="17" t="str">
        <f aca="false">IF(AND(S42&lt;&gt;"",ISNUMBER(E42)),E42*Parametros!$B$13,"")</f>
        <v/>
      </c>
      <c r="V42" s="18" t="str">
        <f aca="false">IF(AND(S42&lt;&gt;"",ISNUMBER(E42)),E42-S42-T42-U42,"")</f>
        <v/>
      </c>
      <c r="W42" s="19" t="str">
        <f aca="false">IF(AND(S42&lt;&gt;"",ISNUMBER(E42)),V42/E42,"")</f>
        <v/>
      </c>
      <c r="X42" s="17" t="str">
        <f aca="false">IF(OR(S42="",Parametros!$B$14&gt;=1),"",S42/(1-Parametros!$B$14))</f>
        <v/>
      </c>
      <c r="Y42" s="17" t="str">
        <f aca="false">IF(OR(S42="",Parametros!$B$14+Parametros!$B$18&gt;=1),"",S42/(1-Parametros!$B$14-Parametros!$B$18))</f>
        <v/>
      </c>
      <c r="Z42" s="20" t="str">
        <f aca="false">IF(B42="","",IF(S42="","FALTAN DATOS",IF(NOT(ISNUMBER(E42)),"FALTA PRECIO",IF(V42&lt;0,"PIERDE",IF(W42&lt;Parametros!$B$18,"BAJO META","OK")))))</f>
        <v>FALTAN DATOS</v>
      </c>
      <c r="AA42" s="21" t="str">
        <f aca="false">IF(B42="","",IF(F42="","Tela. ","")&amp;IF(NOT(ISNUMBER(G42)),"Kg de tela. ","")&amp;IF(AND(F42&lt;&gt;"",NOT(ISNUMBER(IFERROR(INDEX(Precios!$D$5:$D$120,MATCH(F42,Precios!$A$5:$A$120,0)),"x")))),"Tela sin precio. ","")&amp;IF(AND(H42&lt;&gt;"",NOT(ISNUMBER(IFERROR(INDEX(Precios!$D$5:$D$120,MATCH(H42,Precios!$A$5:$A$120,0)),"x")))),"Tela 2 sin precio. ","")&amp;IF(J42="","Metros impresos. ","")&amp;IF(AND(N(J42)&gt;0,Parametros!$B$27=0),"Impresión sin costo. ","")&amp;IF(K42="","Confección. ",IF(Q42=0,"Confección sin valor. ",""))&amp;IF(NOT(ISNUMBER(E42)),"Precio de venta. ",""))</f>
        <v>Tela. Kg de tela. Metros impresos. </v>
      </c>
    </row>
    <row r="43" customFormat="false" ht="15" hidden="false" customHeight="false" outlineLevel="0" collapsed="false">
      <c r="A43" s="11" t="s">
        <v>165</v>
      </c>
      <c r="B43" s="11" t="s">
        <v>166</v>
      </c>
      <c r="C43" s="11" t="s">
        <v>65</v>
      </c>
      <c r="D43" s="11" t="n">
        <v>24</v>
      </c>
      <c r="E43" s="12" t="n">
        <v>18403</v>
      </c>
      <c r="F43" s="13"/>
      <c r="G43" s="14"/>
      <c r="H43" s="13"/>
      <c r="I43" s="14"/>
      <c r="J43" s="15"/>
      <c r="K43" s="13" t="s">
        <v>67</v>
      </c>
      <c r="L43" s="12"/>
      <c r="M43" s="13" t="s">
        <v>68</v>
      </c>
      <c r="N43" s="16" t="s">
        <v>81</v>
      </c>
      <c r="O43" s="17" t="n">
        <f aca="false">IF(B43="","",IFERROR(G43*INDEX(Precios!$D$5:$D$120,MATCH(F43,Precios!$A$5:$A$120,0)),0)+IF(H43="",0,IFERROR(I43*INDEX(Precios!$D$5:$D$120,MATCH(H43,Precios!$A$5:$A$120,0)),0)))</f>
        <v>0</v>
      </c>
      <c r="P43" s="17" t="n">
        <f aca="false">IF(B43="","",N(J43)*Parametros!$B$27)</f>
        <v>0</v>
      </c>
      <c r="Q43" s="17" t="n">
        <f aca="false">IF(B43="","",IFERROR(INDEX(Confeccion!$B$5:$B$100,MATCH(K43,Confeccion!$A$5:$A$100,0)),0))</f>
        <v>2000</v>
      </c>
      <c r="R43" s="17" t="n">
        <f aca="false">IF(B43="","",N(L43))</f>
        <v>0</v>
      </c>
      <c r="S43" s="18" t="str">
        <f aca="false">IF(B43="","",IF(AND(F43&lt;&gt;"",ISNUMBER(G43),ISNUMBER(IFERROR(INDEX(Precios!$D$5:$D$120,MATCH(F43,Precios!$A$5:$A$120,0)),"x")),OR(H43="",ISNUMBER(IFERROR(INDEX(Precios!$D$5:$D$120,MATCH(H43,Precios!$A$5:$A$120,0)),"x"))),J43&lt;&gt;"",K43&lt;&gt;"",Q43&gt;0),SUM(O43:R43),""))</f>
        <v/>
      </c>
      <c r="T43" s="17" t="str">
        <f aca="false">IF(AND(S43&lt;&gt;"",ISNUMBER(E43)),E43*Parametros!$B$12,"")</f>
        <v/>
      </c>
      <c r="U43" s="17" t="str">
        <f aca="false">IF(AND(S43&lt;&gt;"",ISNUMBER(E43)),E43*Parametros!$B$13,"")</f>
        <v/>
      </c>
      <c r="V43" s="18" t="str">
        <f aca="false">IF(AND(S43&lt;&gt;"",ISNUMBER(E43)),E43-S43-T43-U43,"")</f>
        <v/>
      </c>
      <c r="W43" s="19" t="str">
        <f aca="false">IF(AND(S43&lt;&gt;"",ISNUMBER(E43)),V43/E43,"")</f>
        <v/>
      </c>
      <c r="X43" s="17" t="str">
        <f aca="false">IF(OR(S43="",Parametros!$B$14&gt;=1),"",S43/(1-Parametros!$B$14))</f>
        <v/>
      </c>
      <c r="Y43" s="17" t="str">
        <f aca="false">IF(OR(S43="",Parametros!$B$14+Parametros!$B$18&gt;=1),"",S43/(1-Parametros!$B$14-Parametros!$B$18))</f>
        <v/>
      </c>
      <c r="Z43" s="20" t="str">
        <f aca="false">IF(B43="","",IF(S43="","FALTAN DATOS",IF(NOT(ISNUMBER(E43)),"FALTA PRECIO",IF(V43&lt;0,"PIERDE",IF(W43&lt;Parametros!$B$18,"BAJO META","OK")))))</f>
        <v>FALTAN DATOS</v>
      </c>
      <c r="AA43" s="21" t="str">
        <f aca="false">IF(B43="","",IF(F43="","Tela. ","")&amp;IF(NOT(ISNUMBER(G43)),"Kg de tela. ","")&amp;IF(AND(F43&lt;&gt;"",NOT(ISNUMBER(IFERROR(INDEX(Precios!$D$5:$D$120,MATCH(F43,Precios!$A$5:$A$120,0)),"x")))),"Tela sin precio. ","")&amp;IF(AND(H43&lt;&gt;"",NOT(ISNUMBER(IFERROR(INDEX(Precios!$D$5:$D$120,MATCH(H43,Precios!$A$5:$A$120,0)),"x")))),"Tela 2 sin precio. ","")&amp;IF(J43="","Metros impresos. ","")&amp;IF(AND(N(J43)&gt;0,Parametros!$B$27=0),"Impresión sin costo. ","")&amp;IF(K43="","Confección. ",IF(Q43=0,"Confección sin valor. ",""))&amp;IF(NOT(ISNUMBER(E43)),"Precio de venta. ",""))</f>
        <v>Tela. Kg de tela. Metros impresos. </v>
      </c>
    </row>
    <row r="44" customFormat="false" ht="15" hidden="false" customHeight="false" outlineLevel="0" collapsed="false">
      <c r="A44" s="11" t="s">
        <v>167</v>
      </c>
      <c r="B44" s="11" t="s">
        <v>168</v>
      </c>
      <c r="C44" s="11" t="s">
        <v>65</v>
      </c>
      <c r="D44" s="11" t="n">
        <v>23</v>
      </c>
      <c r="E44" s="12" t="n">
        <v>19244</v>
      </c>
      <c r="F44" s="13" t="s">
        <v>75</v>
      </c>
      <c r="G44" s="14" t="n">
        <v>0.12</v>
      </c>
      <c r="H44" s="13" t="s">
        <v>76</v>
      </c>
      <c r="I44" s="14" t="n">
        <v>0.0775</v>
      </c>
      <c r="J44" s="15" t="n">
        <v>1.9</v>
      </c>
      <c r="K44" s="13" t="s">
        <v>67</v>
      </c>
      <c r="L44" s="12"/>
      <c r="M44" s="13" t="s">
        <v>68</v>
      </c>
      <c r="N44" s="16" t="s">
        <v>169</v>
      </c>
      <c r="O44" s="17" t="n">
        <f aca="false">IF(B44="","",IFERROR(G44*INDEX(Precios!$D$5:$D$120,MATCH(F44,Precios!$A$5:$A$120,0)),0)+IF(H44="",0,IFERROR(I44*INDEX(Precios!$D$5:$D$120,MATCH(H44,Precios!$A$5:$A$120,0)),0)))</f>
        <v>1020.47</v>
      </c>
      <c r="P44" s="17" t="n">
        <f aca="false">IF(B44="","",N(J44)*Parametros!$B$27)</f>
        <v>0</v>
      </c>
      <c r="Q44" s="17" t="n">
        <f aca="false">IF(B44="","",IFERROR(INDEX(Confeccion!$B$5:$B$100,MATCH(K44,Confeccion!$A$5:$A$100,0)),0))</f>
        <v>2000</v>
      </c>
      <c r="R44" s="17" t="n">
        <f aca="false">IF(B44="","",N(L44))</f>
        <v>0</v>
      </c>
      <c r="S44" s="18" t="n">
        <f aca="false">IF(B44="","",IF(AND(F44&lt;&gt;"",ISNUMBER(G44),ISNUMBER(IFERROR(INDEX(Precios!$D$5:$D$120,MATCH(F44,Precios!$A$5:$A$120,0)),"x")),OR(H44="",ISNUMBER(IFERROR(INDEX(Precios!$D$5:$D$120,MATCH(H44,Precios!$A$5:$A$120,0)),"x"))),J44&lt;&gt;"",K44&lt;&gt;"",Q44&gt;0),SUM(O44:R44),""))</f>
        <v>3020.47</v>
      </c>
      <c r="T44" s="17" t="n">
        <f aca="false">IF(AND(S44&lt;&gt;"",ISNUMBER(E44)),E44*Parametros!$B$12,"")</f>
        <v>6792.1032779815</v>
      </c>
      <c r="U44" s="17" t="n">
        <f aca="false">IF(AND(S44&lt;&gt;"",ISNUMBER(E44)),E44*Parametros!$B$13,"")</f>
        <v>2438.14635033759</v>
      </c>
      <c r="V44" s="18" t="n">
        <f aca="false">IF(AND(S44&lt;&gt;"",ISNUMBER(E44)),E44-S44-T44-U44,"")</f>
        <v>6993.28037168091</v>
      </c>
      <c r="W44" s="19" t="n">
        <f aca="false">IF(AND(S44&lt;&gt;"",ISNUMBER(E44)),V44/E44,"")</f>
        <v>0.363400559742304</v>
      </c>
      <c r="X44" s="17" t="n">
        <f aca="false">IF(OR(S44="",Parametros!$B$14&gt;=1),"",S44/(1-Parametros!$B$14))</f>
        <v>5804.61091224935</v>
      </c>
      <c r="Y44" s="17" t="n">
        <f aca="false">IF(OR(S44="",Parametros!$B$14+Parametros!$B$18&gt;=1),"",S44/(1-Parametros!$B$14-Parametros!$B$18))</f>
        <v>7185.48733943908</v>
      </c>
      <c r="Z44" s="20" t="str">
        <f aca="false">IF(B44="","",IF(S44="","FALTAN DATOS",IF(NOT(ISNUMBER(E44)),"FALTA PRECIO",IF(V44&lt;0,"PIERDE",IF(W44&lt;Parametros!$B$18,"BAJO META","OK")))))</f>
        <v>OK</v>
      </c>
      <c r="AA44" s="21" t="str">
        <f aca="false">IF(B44="","",IF(F44="","Tela. ","")&amp;IF(NOT(ISNUMBER(G44)),"Kg de tela. ","")&amp;IF(AND(F44&lt;&gt;"",NOT(ISNUMBER(IFERROR(INDEX(Precios!$D$5:$D$120,MATCH(F44,Precios!$A$5:$A$120,0)),"x")))),"Tela sin precio. ","")&amp;IF(AND(H44&lt;&gt;"",NOT(ISNUMBER(IFERROR(INDEX(Precios!$D$5:$D$120,MATCH(H44,Precios!$A$5:$A$120,0)),"x")))),"Tela 2 sin precio. ","")&amp;IF(J44="","Metros impresos. ","")&amp;IF(AND(N(J44)&gt;0,Parametros!$B$27=0),"Impresión sin costo. ","")&amp;IF(K44="","Confección. ",IF(Q44=0,"Confección sin valor. ",""))&amp;IF(NOT(ISNUMBER(E44)),"Precio de venta. ",""))</f>
        <v>Impresión sin costo. </v>
      </c>
    </row>
    <row r="45" customFormat="false" ht="22.35" hidden="false" customHeight="false" outlineLevel="0" collapsed="false">
      <c r="A45" s="11" t="s">
        <v>170</v>
      </c>
      <c r="B45" s="11" t="s">
        <v>171</v>
      </c>
      <c r="C45" s="11" t="s">
        <v>65</v>
      </c>
      <c r="D45" s="11" t="n">
        <v>21</v>
      </c>
      <c r="E45" s="12" t="n">
        <v>17563</v>
      </c>
      <c r="F45" s="13" t="s">
        <v>172</v>
      </c>
      <c r="G45" s="14" t="n">
        <v>0.2029</v>
      </c>
      <c r="H45" s="13"/>
      <c r="I45" s="14"/>
      <c r="J45" s="15"/>
      <c r="K45" s="13" t="s">
        <v>173</v>
      </c>
      <c r="L45" s="12"/>
      <c r="M45" s="13" t="s">
        <v>68</v>
      </c>
      <c r="N45" s="16" t="s">
        <v>174</v>
      </c>
      <c r="O45" s="17" t="n">
        <f aca="false">IF(B45="","",IFERROR(G45*INDEX(Precios!$D$5:$D$120,MATCH(F45,Precios!$A$5:$A$120,0)),0)+IF(H45="",0,IFERROR(I45*INDEX(Precios!$D$5:$D$120,MATCH(H45,Precios!$A$5:$A$120,0)),0)))</f>
        <v>1419.4884</v>
      </c>
      <c r="P45" s="17" t="n">
        <f aca="false">IF(B45="","",N(J45)*Parametros!$B$27)</f>
        <v>0</v>
      </c>
      <c r="Q45" s="17" t="n">
        <f aca="false">IF(B45="","",IFERROR(INDEX(Confeccion!$B$5:$B$100,MATCH(K45,Confeccion!$A$5:$A$100,0)),0))</f>
        <v>1900</v>
      </c>
      <c r="R45" s="17" t="n">
        <f aca="false">IF(B45="","",N(L45))</f>
        <v>0</v>
      </c>
      <c r="S45" s="18" t="str">
        <f aca="false">IF(B45="","",IF(AND(F45&lt;&gt;"",ISNUMBER(G45),ISNUMBER(IFERROR(INDEX(Precios!$D$5:$D$120,MATCH(F45,Precios!$A$5:$A$120,0)),"x")),OR(H45="",ISNUMBER(IFERROR(INDEX(Precios!$D$5:$D$120,MATCH(H45,Precios!$A$5:$A$120,0)),"x"))),J45&lt;&gt;"",K45&lt;&gt;"",Q45&gt;0),SUM(O45:R45),""))</f>
        <v/>
      </c>
      <c r="T45" s="17" t="str">
        <f aca="false">IF(AND(S45&lt;&gt;"",ISNUMBER(E45)),E45*Parametros!$B$12,"")</f>
        <v/>
      </c>
      <c r="U45" s="17" t="str">
        <f aca="false">IF(AND(S45&lt;&gt;"",ISNUMBER(E45)),E45*Parametros!$B$13,"")</f>
        <v/>
      </c>
      <c r="V45" s="18" t="str">
        <f aca="false">IF(AND(S45&lt;&gt;"",ISNUMBER(E45)),E45-S45-T45-U45,"")</f>
        <v/>
      </c>
      <c r="W45" s="19" t="str">
        <f aca="false">IF(AND(S45&lt;&gt;"",ISNUMBER(E45)),V45/E45,"")</f>
        <v/>
      </c>
      <c r="X45" s="17" t="str">
        <f aca="false">IF(OR(S45="",Parametros!$B$14&gt;=1),"",S45/(1-Parametros!$B$14))</f>
        <v/>
      </c>
      <c r="Y45" s="17" t="str">
        <f aca="false">IF(OR(S45="",Parametros!$B$14+Parametros!$B$18&gt;=1),"",S45/(1-Parametros!$B$14-Parametros!$B$18))</f>
        <v/>
      </c>
      <c r="Z45" s="20" t="str">
        <f aca="false">IF(B45="","",IF(S45="","FALTAN DATOS",IF(NOT(ISNUMBER(E45)),"FALTA PRECIO",IF(V45&lt;0,"PIERDE",IF(W45&lt;Parametros!$B$18,"BAJO META","OK")))))</f>
        <v>FALTAN DATOS</v>
      </c>
      <c r="AA45" s="21" t="str">
        <f aca="false">IF(B45="","",IF(F45="","Tela. ","")&amp;IF(NOT(ISNUMBER(G45)),"Kg de tela. ","")&amp;IF(AND(F45&lt;&gt;"",NOT(ISNUMBER(IFERROR(INDEX(Precios!$D$5:$D$120,MATCH(F45,Precios!$A$5:$A$120,0)),"x")))),"Tela sin precio. ","")&amp;IF(AND(H45&lt;&gt;"",NOT(ISNUMBER(IFERROR(INDEX(Precios!$D$5:$D$120,MATCH(H45,Precios!$A$5:$A$120,0)),"x")))),"Tela 2 sin precio. ","")&amp;IF(J45="","Metros impresos. ","")&amp;IF(AND(N(J45)&gt;0,Parametros!$B$27=0),"Impresión sin costo. ","")&amp;IF(K45="","Confección. ",IF(Q45=0,"Confección sin valor. ",""))&amp;IF(NOT(ISNUMBER(E45)),"Precio de venta. ",""))</f>
        <v>Metros impresos. </v>
      </c>
    </row>
    <row r="46" customFormat="false" ht="15" hidden="false" customHeight="false" outlineLevel="0" collapsed="false">
      <c r="A46" s="11" t="s">
        <v>175</v>
      </c>
      <c r="B46" s="11" t="s">
        <v>176</v>
      </c>
      <c r="C46" s="11" t="s">
        <v>65</v>
      </c>
      <c r="D46" s="11" t="n">
        <v>20</v>
      </c>
      <c r="E46" s="12" t="n">
        <v>12521</v>
      </c>
      <c r="F46" s="13" t="s">
        <v>66</v>
      </c>
      <c r="G46" s="14" t="n">
        <v>0.1609</v>
      </c>
      <c r="H46" s="13"/>
      <c r="I46" s="14"/>
      <c r="J46" s="15"/>
      <c r="K46" s="13" t="s">
        <v>119</v>
      </c>
      <c r="L46" s="12"/>
      <c r="M46" s="13" t="s">
        <v>68</v>
      </c>
      <c r="N46" s="16" t="s">
        <v>177</v>
      </c>
      <c r="O46" s="17" t="n">
        <f aca="false">IF(B46="","",IFERROR(G46*INDEX(Precios!$D$5:$D$120,MATCH(F46,Precios!$A$5:$A$120,0)),0)+IF(H46="",0,IFERROR(I46*INDEX(Precios!$D$5:$D$120,MATCH(H46,Precios!$A$5:$A$120,0)),0)))</f>
        <v>901.04</v>
      </c>
      <c r="P46" s="17" t="n">
        <f aca="false">IF(B46="","",N(J46)*Parametros!$B$27)</f>
        <v>0</v>
      </c>
      <c r="Q46" s="17" t="n">
        <f aca="false">IF(B46="","",IFERROR(INDEX(Confeccion!$B$5:$B$100,MATCH(K46,Confeccion!$A$5:$A$100,0)),0))</f>
        <v>1700</v>
      </c>
      <c r="R46" s="17" t="n">
        <f aca="false">IF(B46="","",N(L46))</f>
        <v>0</v>
      </c>
      <c r="S46" s="18" t="str">
        <f aca="false">IF(B46="","",IF(AND(F46&lt;&gt;"",ISNUMBER(G46),ISNUMBER(IFERROR(INDEX(Precios!$D$5:$D$120,MATCH(F46,Precios!$A$5:$A$120,0)),"x")),OR(H46="",ISNUMBER(IFERROR(INDEX(Precios!$D$5:$D$120,MATCH(H46,Precios!$A$5:$A$120,0)),"x"))),J46&lt;&gt;"",K46&lt;&gt;"",Q46&gt;0),SUM(O46:R46),""))</f>
        <v/>
      </c>
      <c r="T46" s="17" t="str">
        <f aca="false">IF(AND(S46&lt;&gt;"",ISNUMBER(E46)),E46*Parametros!$B$12,"")</f>
        <v/>
      </c>
      <c r="U46" s="17" t="str">
        <f aca="false">IF(AND(S46&lt;&gt;"",ISNUMBER(E46)),E46*Parametros!$B$13,"")</f>
        <v/>
      </c>
      <c r="V46" s="18" t="str">
        <f aca="false">IF(AND(S46&lt;&gt;"",ISNUMBER(E46)),E46-S46-T46-U46,"")</f>
        <v/>
      </c>
      <c r="W46" s="19" t="str">
        <f aca="false">IF(AND(S46&lt;&gt;"",ISNUMBER(E46)),V46/E46,"")</f>
        <v/>
      </c>
      <c r="X46" s="17" t="str">
        <f aca="false">IF(OR(S46="",Parametros!$B$14&gt;=1),"",S46/(1-Parametros!$B$14))</f>
        <v/>
      </c>
      <c r="Y46" s="17" t="str">
        <f aca="false">IF(OR(S46="",Parametros!$B$14+Parametros!$B$18&gt;=1),"",S46/(1-Parametros!$B$14-Parametros!$B$18))</f>
        <v/>
      </c>
      <c r="Z46" s="20" t="str">
        <f aca="false">IF(B46="","",IF(S46="","FALTAN DATOS",IF(NOT(ISNUMBER(E46)),"FALTA PRECIO",IF(V46&lt;0,"PIERDE",IF(W46&lt;Parametros!$B$18,"BAJO META","OK")))))</f>
        <v>FALTAN DATOS</v>
      </c>
      <c r="AA46" s="21" t="str">
        <f aca="false">IF(B46="","",IF(F46="","Tela. ","")&amp;IF(NOT(ISNUMBER(G46)),"Kg de tela. ","")&amp;IF(AND(F46&lt;&gt;"",NOT(ISNUMBER(IFERROR(INDEX(Precios!$D$5:$D$120,MATCH(F46,Precios!$A$5:$A$120,0)),"x")))),"Tela sin precio. ","")&amp;IF(AND(H46&lt;&gt;"",NOT(ISNUMBER(IFERROR(INDEX(Precios!$D$5:$D$120,MATCH(H46,Precios!$A$5:$A$120,0)),"x")))),"Tela 2 sin precio. ","")&amp;IF(J46="","Metros impresos. ","")&amp;IF(AND(N(J46)&gt;0,Parametros!$B$27=0),"Impresión sin costo. ","")&amp;IF(K46="","Confección. ",IF(Q46=0,"Confección sin valor. ",""))&amp;IF(NOT(ISNUMBER(E46)),"Precio de venta. ",""))</f>
        <v>Metros impresos. </v>
      </c>
    </row>
    <row r="47" customFormat="false" ht="15" hidden="false" customHeight="false" outlineLevel="0" collapsed="false">
      <c r="A47" s="11" t="s">
        <v>178</v>
      </c>
      <c r="B47" s="11" t="s">
        <v>179</v>
      </c>
      <c r="C47" s="11" t="s">
        <v>65</v>
      </c>
      <c r="D47" s="11" t="n">
        <v>20</v>
      </c>
      <c r="E47" s="12" t="n">
        <v>18403</v>
      </c>
      <c r="F47" s="13"/>
      <c r="G47" s="14"/>
      <c r="H47" s="13"/>
      <c r="I47" s="14"/>
      <c r="J47" s="15"/>
      <c r="K47" s="13" t="s">
        <v>80</v>
      </c>
      <c r="L47" s="12"/>
      <c r="M47" s="13" t="s">
        <v>68</v>
      </c>
      <c r="N47" s="16" t="s">
        <v>81</v>
      </c>
      <c r="O47" s="17" t="n">
        <f aca="false">IF(B47="","",IFERROR(G47*INDEX(Precios!$D$5:$D$120,MATCH(F47,Precios!$A$5:$A$120,0)),0)+IF(H47="",0,IFERROR(I47*INDEX(Precios!$D$5:$D$120,MATCH(H47,Precios!$A$5:$A$120,0)),0)))</f>
        <v>0</v>
      </c>
      <c r="P47" s="17" t="n">
        <f aca="false">IF(B47="","",N(J47)*Parametros!$B$27)</f>
        <v>0</v>
      </c>
      <c r="Q47" s="17" t="n">
        <f aca="false">IF(B47="","",IFERROR(INDEX(Confeccion!$B$5:$B$100,MATCH(K47,Confeccion!$A$5:$A$100,0)),0))</f>
        <v>1700</v>
      </c>
      <c r="R47" s="17" t="n">
        <f aca="false">IF(B47="","",N(L47))</f>
        <v>0</v>
      </c>
      <c r="S47" s="18" t="str">
        <f aca="false">IF(B47="","",IF(AND(F47&lt;&gt;"",ISNUMBER(G47),ISNUMBER(IFERROR(INDEX(Precios!$D$5:$D$120,MATCH(F47,Precios!$A$5:$A$120,0)),"x")),OR(H47="",ISNUMBER(IFERROR(INDEX(Precios!$D$5:$D$120,MATCH(H47,Precios!$A$5:$A$120,0)),"x"))),J47&lt;&gt;"",K47&lt;&gt;"",Q47&gt;0),SUM(O47:R47),""))</f>
        <v/>
      </c>
      <c r="T47" s="17" t="str">
        <f aca="false">IF(AND(S47&lt;&gt;"",ISNUMBER(E47)),E47*Parametros!$B$12,"")</f>
        <v/>
      </c>
      <c r="U47" s="17" t="str">
        <f aca="false">IF(AND(S47&lt;&gt;"",ISNUMBER(E47)),E47*Parametros!$B$13,"")</f>
        <v/>
      </c>
      <c r="V47" s="18" t="str">
        <f aca="false">IF(AND(S47&lt;&gt;"",ISNUMBER(E47)),E47-S47-T47-U47,"")</f>
        <v/>
      </c>
      <c r="W47" s="19" t="str">
        <f aca="false">IF(AND(S47&lt;&gt;"",ISNUMBER(E47)),V47/E47,"")</f>
        <v/>
      </c>
      <c r="X47" s="17" t="str">
        <f aca="false">IF(OR(S47="",Parametros!$B$14&gt;=1),"",S47/(1-Parametros!$B$14))</f>
        <v/>
      </c>
      <c r="Y47" s="17" t="str">
        <f aca="false">IF(OR(S47="",Parametros!$B$14+Parametros!$B$18&gt;=1),"",S47/(1-Parametros!$B$14-Parametros!$B$18))</f>
        <v/>
      </c>
      <c r="Z47" s="20" t="str">
        <f aca="false">IF(B47="","",IF(S47="","FALTAN DATOS",IF(NOT(ISNUMBER(E47)),"FALTA PRECIO",IF(V47&lt;0,"PIERDE",IF(W47&lt;Parametros!$B$18,"BAJO META","OK")))))</f>
        <v>FALTAN DATOS</v>
      </c>
      <c r="AA47" s="21" t="str">
        <f aca="false">IF(B47="","",IF(F47="","Tela. ","")&amp;IF(NOT(ISNUMBER(G47)),"Kg de tela. ","")&amp;IF(AND(F47&lt;&gt;"",NOT(ISNUMBER(IFERROR(INDEX(Precios!$D$5:$D$120,MATCH(F47,Precios!$A$5:$A$120,0)),"x")))),"Tela sin precio. ","")&amp;IF(AND(H47&lt;&gt;"",NOT(ISNUMBER(IFERROR(INDEX(Precios!$D$5:$D$120,MATCH(H47,Precios!$A$5:$A$120,0)),"x")))),"Tela 2 sin precio. ","")&amp;IF(J47="","Metros impresos. ","")&amp;IF(AND(N(J47)&gt;0,Parametros!$B$27=0),"Impresión sin costo. ","")&amp;IF(K47="","Confección. ",IF(Q47=0,"Confección sin valor. ",""))&amp;IF(NOT(ISNUMBER(E47)),"Precio de venta. ",""))</f>
        <v>Tela. Kg de tela. Metros impresos. </v>
      </c>
    </row>
    <row r="48" customFormat="false" ht="15" hidden="false" customHeight="false" outlineLevel="0" collapsed="false">
      <c r="A48" s="11" t="s">
        <v>180</v>
      </c>
      <c r="B48" s="11" t="s">
        <v>181</v>
      </c>
      <c r="C48" s="11" t="s">
        <v>65</v>
      </c>
      <c r="D48" s="11" t="n">
        <v>20</v>
      </c>
      <c r="E48" s="12" t="n">
        <v>30000</v>
      </c>
      <c r="F48" s="13"/>
      <c r="G48" s="14"/>
      <c r="H48" s="13"/>
      <c r="I48" s="14"/>
      <c r="J48" s="15"/>
      <c r="K48" s="13"/>
      <c r="L48" s="12"/>
      <c r="M48" s="13" t="s">
        <v>68</v>
      </c>
      <c r="N48" s="16"/>
      <c r="O48" s="17" t="n">
        <f aca="false">IF(B48="","",IFERROR(G48*INDEX(Precios!$D$5:$D$120,MATCH(F48,Precios!$A$5:$A$120,0)),0)+IF(H48="",0,IFERROR(I48*INDEX(Precios!$D$5:$D$120,MATCH(H48,Precios!$A$5:$A$120,0)),0)))</f>
        <v>0</v>
      </c>
      <c r="P48" s="17" t="n">
        <f aca="false">IF(B48="","",N(J48)*Parametros!$B$27)</f>
        <v>0</v>
      </c>
      <c r="Q48" s="17" t="n">
        <f aca="false">IF(B48="","",IFERROR(INDEX(Confeccion!$B$5:$B$100,MATCH(K48,Confeccion!$A$5:$A$100,0)),0))</f>
        <v>0</v>
      </c>
      <c r="R48" s="17" t="n">
        <f aca="false">IF(B48="","",N(L48))</f>
        <v>0</v>
      </c>
      <c r="S48" s="18" t="str">
        <f aca="false">IF(B48="","",IF(AND(F48&lt;&gt;"",ISNUMBER(G48),ISNUMBER(IFERROR(INDEX(Precios!$D$5:$D$120,MATCH(F48,Precios!$A$5:$A$120,0)),"x")),OR(H48="",ISNUMBER(IFERROR(INDEX(Precios!$D$5:$D$120,MATCH(H48,Precios!$A$5:$A$120,0)),"x"))),J48&lt;&gt;"",K48&lt;&gt;"",Q48&gt;0),SUM(O48:R48),""))</f>
        <v/>
      </c>
      <c r="T48" s="17" t="str">
        <f aca="false">IF(AND(S48&lt;&gt;"",ISNUMBER(E48)),E48*Parametros!$B$12,"")</f>
        <v/>
      </c>
      <c r="U48" s="17" t="str">
        <f aca="false">IF(AND(S48&lt;&gt;"",ISNUMBER(E48)),E48*Parametros!$B$13,"")</f>
        <v/>
      </c>
      <c r="V48" s="18" t="str">
        <f aca="false">IF(AND(S48&lt;&gt;"",ISNUMBER(E48)),E48-S48-T48-U48,"")</f>
        <v/>
      </c>
      <c r="W48" s="19" t="str">
        <f aca="false">IF(AND(S48&lt;&gt;"",ISNUMBER(E48)),V48/E48,"")</f>
        <v/>
      </c>
      <c r="X48" s="17" t="str">
        <f aca="false">IF(OR(S48="",Parametros!$B$14&gt;=1),"",S48/(1-Parametros!$B$14))</f>
        <v/>
      </c>
      <c r="Y48" s="17" t="str">
        <f aca="false">IF(OR(S48="",Parametros!$B$14+Parametros!$B$18&gt;=1),"",S48/(1-Parametros!$B$14-Parametros!$B$18))</f>
        <v/>
      </c>
      <c r="Z48" s="20" t="str">
        <f aca="false">IF(B48="","",IF(S48="","FALTAN DATOS",IF(NOT(ISNUMBER(E48)),"FALTA PRECIO",IF(V48&lt;0,"PIERDE",IF(W48&lt;Parametros!$B$18,"BAJO META","OK")))))</f>
        <v>FALTAN DATOS</v>
      </c>
      <c r="AA48" s="21" t="str">
        <f aca="false">IF(B48="","",IF(F48="","Tela. ","")&amp;IF(NOT(ISNUMBER(G48)),"Kg de tela. ","")&amp;IF(AND(F48&lt;&gt;"",NOT(ISNUMBER(IFERROR(INDEX(Precios!$D$5:$D$120,MATCH(F48,Precios!$A$5:$A$120,0)),"x")))),"Tela sin precio. ","")&amp;IF(AND(H48&lt;&gt;"",NOT(ISNUMBER(IFERROR(INDEX(Precios!$D$5:$D$120,MATCH(H48,Precios!$A$5:$A$120,0)),"x")))),"Tela 2 sin precio. ","")&amp;IF(J48="","Metros impresos. ","")&amp;IF(AND(N(J48)&gt;0,Parametros!$B$27=0),"Impresión sin costo. ","")&amp;IF(K48="","Confección. ",IF(Q48=0,"Confección sin valor. ",""))&amp;IF(NOT(ISNUMBER(E48)),"Precio de venta. ",""))</f>
        <v>Tela. Kg de tela. Metros impresos. Confección. </v>
      </c>
    </row>
    <row r="49" customFormat="false" ht="15" hidden="false" customHeight="false" outlineLevel="0" collapsed="false">
      <c r="A49" s="11" t="s">
        <v>182</v>
      </c>
      <c r="B49" s="11" t="s">
        <v>183</v>
      </c>
      <c r="C49" s="11" t="s">
        <v>65</v>
      </c>
      <c r="D49" s="11" t="n">
        <v>20</v>
      </c>
      <c r="E49" s="12" t="n">
        <v>6000</v>
      </c>
      <c r="F49" s="13"/>
      <c r="G49" s="14"/>
      <c r="H49" s="13"/>
      <c r="I49" s="14"/>
      <c r="J49" s="15"/>
      <c r="K49" s="13" t="s">
        <v>125</v>
      </c>
      <c r="L49" s="12"/>
      <c r="M49" s="13" t="s">
        <v>68</v>
      </c>
      <c r="N49" s="16" t="s">
        <v>81</v>
      </c>
      <c r="O49" s="17" t="n">
        <f aca="false">IF(B49="","",IFERROR(G49*INDEX(Precios!$D$5:$D$120,MATCH(F49,Precios!$A$5:$A$120,0)),0)+IF(H49="",0,IFERROR(I49*INDEX(Precios!$D$5:$D$120,MATCH(H49,Precios!$A$5:$A$120,0)),0)))</f>
        <v>0</v>
      </c>
      <c r="P49" s="17" t="n">
        <f aca="false">IF(B49="","",N(J49)*Parametros!$B$27)</f>
        <v>0</v>
      </c>
      <c r="Q49" s="17" t="n">
        <f aca="false">IF(B49="","",IFERROR(INDEX(Confeccion!$B$5:$B$100,MATCH(K49,Confeccion!$A$5:$A$100,0)),0))</f>
        <v>1000</v>
      </c>
      <c r="R49" s="17" t="n">
        <f aca="false">IF(B49="","",N(L49))</f>
        <v>0</v>
      </c>
      <c r="S49" s="18" t="str">
        <f aca="false">IF(B49="","",IF(AND(F49&lt;&gt;"",ISNUMBER(G49),ISNUMBER(IFERROR(INDEX(Precios!$D$5:$D$120,MATCH(F49,Precios!$A$5:$A$120,0)),"x")),OR(H49="",ISNUMBER(IFERROR(INDEX(Precios!$D$5:$D$120,MATCH(H49,Precios!$A$5:$A$120,0)),"x"))),J49&lt;&gt;"",K49&lt;&gt;"",Q49&gt;0),SUM(O49:R49),""))</f>
        <v/>
      </c>
      <c r="T49" s="17" t="str">
        <f aca="false">IF(AND(S49&lt;&gt;"",ISNUMBER(E49)),E49*Parametros!$B$12,"")</f>
        <v/>
      </c>
      <c r="U49" s="17" t="str">
        <f aca="false">IF(AND(S49&lt;&gt;"",ISNUMBER(E49)),E49*Parametros!$B$13,"")</f>
        <v/>
      </c>
      <c r="V49" s="18" t="str">
        <f aca="false">IF(AND(S49&lt;&gt;"",ISNUMBER(E49)),E49-S49-T49-U49,"")</f>
        <v/>
      </c>
      <c r="W49" s="19" t="str">
        <f aca="false">IF(AND(S49&lt;&gt;"",ISNUMBER(E49)),V49/E49,"")</f>
        <v/>
      </c>
      <c r="X49" s="17" t="str">
        <f aca="false">IF(OR(S49="",Parametros!$B$14&gt;=1),"",S49/(1-Parametros!$B$14))</f>
        <v/>
      </c>
      <c r="Y49" s="17" t="str">
        <f aca="false">IF(OR(S49="",Parametros!$B$14+Parametros!$B$18&gt;=1),"",S49/(1-Parametros!$B$14-Parametros!$B$18))</f>
        <v/>
      </c>
      <c r="Z49" s="20" t="str">
        <f aca="false">IF(B49="","",IF(S49="","FALTAN DATOS",IF(NOT(ISNUMBER(E49)),"FALTA PRECIO",IF(V49&lt;0,"PIERDE",IF(W49&lt;Parametros!$B$18,"BAJO META","OK")))))</f>
        <v>FALTAN DATOS</v>
      </c>
      <c r="AA49" s="21" t="str">
        <f aca="false">IF(B49="","",IF(F49="","Tela. ","")&amp;IF(NOT(ISNUMBER(G49)),"Kg de tela. ","")&amp;IF(AND(F49&lt;&gt;"",NOT(ISNUMBER(IFERROR(INDEX(Precios!$D$5:$D$120,MATCH(F49,Precios!$A$5:$A$120,0)),"x")))),"Tela sin precio. ","")&amp;IF(AND(H49&lt;&gt;"",NOT(ISNUMBER(IFERROR(INDEX(Precios!$D$5:$D$120,MATCH(H49,Precios!$A$5:$A$120,0)),"x")))),"Tela 2 sin precio. ","")&amp;IF(J49="","Metros impresos. ","")&amp;IF(AND(N(J49)&gt;0,Parametros!$B$27=0),"Impresión sin costo. ","")&amp;IF(K49="","Confección. ",IF(Q49=0,"Confección sin valor. ",""))&amp;IF(NOT(ISNUMBER(E49)),"Precio de venta. ",""))</f>
        <v>Tela. Kg de tela. Metros impresos. </v>
      </c>
    </row>
    <row r="50" customFormat="false" ht="15" hidden="false" customHeight="false" outlineLevel="0" collapsed="false">
      <c r="A50" s="11" t="s">
        <v>184</v>
      </c>
      <c r="B50" s="11" t="s">
        <v>185</v>
      </c>
      <c r="C50" s="11" t="s">
        <v>65</v>
      </c>
      <c r="D50" s="11" t="n">
        <v>19</v>
      </c>
      <c r="E50" s="12" t="n">
        <v>15882</v>
      </c>
      <c r="F50" s="13"/>
      <c r="G50" s="14"/>
      <c r="H50" s="13"/>
      <c r="I50" s="14"/>
      <c r="J50" s="15"/>
      <c r="K50" s="13" t="s">
        <v>106</v>
      </c>
      <c r="L50" s="12"/>
      <c r="M50" s="13" t="s">
        <v>68</v>
      </c>
      <c r="N50" s="16" t="s">
        <v>81</v>
      </c>
      <c r="O50" s="17" t="n">
        <f aca="false">IF(B50="","",IFERROR(G50*INDEX(Precios!$D$5:$D$120,MATCH(F50,Precios!$A$5:$A$120,0)),0)+IF(H50="",0,IFERROR(I50*INDEX(Precios!$D$5:$D$120,MATCH(H50,Precios!$A$5:$A$120,0)),0)))</f>
        <v>0</v>
      </c>
      <c r="P50" s="17" t="n">
        <f aca="false">IF(B50="","",N(J50)*Parametros!$B$27)</f>
        <v>0</v>
      </c>
      <c r="Q50" s="17" t="n">
        <f aca="false">IF(B50="","",IFERROR(INDEX(Confeccion!$B$5:$B$100,MATCH(K50,Confeccion!$A$5:$A$100,0)),0))</f>
        <v>1800</v>
      </c>
      <c r="R50" s="17" t="n">
        <f aca="false">IF(B50="","",N(L50))</f>
        <v>0</v>
      </c>
      <c r="S50" s="18" t="str">
        <f aca="false">IF(B50="","",IF(AND(F50&lt;&gt;"",ISNUMBER(G50),ISNUMBER(IFERROR(INDEX(Precios!$D$5:$D$120,MATCH(F50,Precios!$A$5:$A$120,0)),"x")),OR(H50="",ISNUMBER(IFERROR(INDEX(Precios!$D$5:$D$120,MATCH(H50,Precios!$A$5:$A$120,0)),"x"))),J50&lt;&gt;"",K50&lt;&gt;"",Q50&gt;0),SUM(O50:R50),""))</f>
        <v/>
      </c>
      <c r="T50" s="17" t="str">
        <f aca="false">IF(AND(S50&lt;&gt;"",ISNUMBER(E50)),E50*Parametros!$B$12,"")</f>
        <v/>
      </c>
      <c r="U50" s="17" t="str">
        <f aca="false">IF(AND(S50&lt;&gt;"",ISNUMBER(E50)),E50*Parametros!$B$13,"")</f>
        <v/>
      </c>
      <c r="V50" s="18" t="str">
        <f aca="false">IF(AND(S50&lt;&gt;"",ISNUMBER(E50)),E50-S50-T50-U50,"")</f>
        <v/>
      </c>
      <c r="W50" s="19" t="str">
        <f aca="false">IF(AND(S50&lt;&gt;"",ISNUMBER(E50)),V50/E50,"")</f>
        <v/>
      </c>
      <c r="X50" s="17" t="str">
        <f aca="false">IF(OR(S50="",Parametros!$B$14&gt;=1),"",S50/(1-Parametros!$B$14))</f>
        <v/>
      </c>
      <c r="Y50" s="17" t="str">
        <f aca="false">IF(OR(S50="",Parametros!$B$14+Parametros!$B$18&gt;=1),"",S50/(1-Parametros!$B$14-Parametros!$B$18))</f>
        <v/>
      </c>
      <c r="Z50" s="20" t="str">
        <f aca="false">IF(B50="","",IF(S50="","FALTAN DATOS",IF(NOT(ISNUMBER(E50)),"FALTA PRECIO",IF(V50&lt;0,"PIERDE",IF(W50&lt;Parametros!$B$18,"BAJO META","OK")))))</f>
        <v>FALTAN DATOS</v>
      </c>
      <c r="AA50" s="21" t="str">
        <f aca="false">IF(B50="","",IF(F50="","Tela. ","")&amp;IF(NOT(ISNUMBER(G50)),"Kg de tela. ","")&amp;IF(AND(F50&lt;&gt;"",NOT(ISNUMBER(IFERROR(INDEX(Precios!$D$5:$D$120,MATCH(F50,Precios!$A$5:$A$120,0)),"x")))),"Tela sin precio. ","")&amp;IF(AND(H50&lt;&gt;"",NOT(ISNUMBER(IFERROR(INDEX(Precios!$D$5:$D$120,MATCH(H50,Precios!$A$5:$A$120,0)),"x")))),"Tela 2 sin precio. ","")&amp;IF(J50="","Metros impresos. ","")&amp;IF(AND(N(J50)&gt;0,Parametros!$B$27=0),"Impresión sin costo. ","")&amp;IF(K50="","Confección. ",IF(Q50=0,"Confección sin valor. ",""))&amp;IF(NOT(ISNUMBER(E50)),"Precio de venta. ",""))</f>
        <v>Tela. Kg de tela. Metros impresos. </v>
      </c>
    </row>
    <row r="51" customFormat="false" ht="15" hidden="false" customHeight="false" outlineLevel="0" collapsed="false">
      <c r="A51" s="11" t="s">
        <v>186</v>
      </c>
      <c r="B51" s="11" t="s">
        <v>187</v>
      </c>
      <c r="C51" s="11" t="s">
        <v>89</v>
      </c>
      <c r="D51" s="11" t="n">
        <v>19</v>
      </c>
      <c r="E51" s="12" t="n">
        <v>15042</v>
      </c>
      <c r="F51" s="13"/>
      <c r="G51" s="14"/>
      <c r="H51" s="13"/>
      <c r="I51" s="14"/>
      <c r="J51" s="15"/>
      <c r="K51" s="13" t="s">
        <v>188</v>
      </c>
      <c r="L51" s="12"/>
      <c r="M51" s="13" t="s">
        <v>68</v>
      </c>
      <c r="N51" s="16" t="s">
        <v>81</v>
      </c>
      <c r="O51" s="17" t="n">
        <f aca="false">IF(B51="","",IFERROR(G51*INDEX(Precios!$D$5:$D$120,MATCH(F51,Precios!$A$5:$A$120,0)),0)+IF(H51="",0,IFERROR(I51*INDEX(Precios!$D$5:$D$120,MATCH(H51,Precios!$A$5:$A$120,0)),0)))</f>
        <v>0</v>
      </c>
      <c r="P51" s="17" t="n">
        <f aca="false">IF(B51="","",N(J51)*Parametros!$B$27)</f>
        <v>0</v>
      </c>
      <c r="Q51" s="17" t="n">
        <f aca="false">IF(B51="","",IFERROR(INDEX(Confeccion!$B$5:$B$100,MATCH(K51,Confeccion!$A$5:$A$100,0)),0))</f>
        <v>3200</v>
      </c>
      <c r="R51" s="17" t="n">
        <f aca="false">IF(B51="","",N(L51))</f>
        <v>0</v>
      </c>
      <c r="S51" s="18" t="str">
        <f aca="false">IF(B51="","",IF(AND(F51&lt;&gt;"",ISNUMBER(G51),ISNUMBER(IFERROR(INDEX(Precios!$D$5:$D$120,MATCH(F51,Precios!$A$5:$A$120,0)),"x")),OR(H51="",ISNUMBER(IFERROR(INDEX(Precios!$D$5:$D$120,MATCH(H51,Precios!$A$5:$A$120,0)),"x"))),J51&lt;&gt;"",K51&lt;&gt;"",Q51&gt;0),SUM(O51:R51),""))</f>
        <v/>
      </c>
      <c r="T51" s="17" t="str">
        <f aca="false">IF(AND(S51&lt;&gt;"",ISNUMBER(E51)),E51*Parametros!$B$12,"")</f>
        <v/>
      </c>
      <c r="U51" s="17" t="str">
        <f aca="false">IF(AND(S51&lt;&gt;"",ISNUMBER(E51)),E51*Parametros!$B$13,"")</f>
        <v/>
      </c>
      <c r="V51" s="18" t="str">
        <f aca="false">IF(AND(S51&lt;&gt;"",ISNUMBER(E51)),E51-S51-T51-U51,"")</f>
        <v/>
      </c>
      <c r="W51" s="19" t="str">
        <f aca="false">IF(AND(S51&lt;&gt;"",ISNUMBER(E51)),V51/E51,"")</f>
        <v/>
      </c>
      <c r="X51" s="17" t="str">
        <f aca="false">IF(OR(S51="",Parametros!$B$14&gt;=1),"",S51/(1-Parametros!$B$14))</f>
        <v/>
      </c>
      <c r="Y51" s="17" t="str">
        <f aca="false">IF(OR(S51="",Parametros!$B$14+Parametros!$B$18&gt;=1),"",S51/(1-Parametros!$B$14-Parametros!$B$18))</f>
        <v/>
      </c>
      <c r="Z51" s="20" t="str">
        <f aca="false">IF(B51="","",IF(S51="","FALTAN DATOS",IF(NOT(ISNUMBER(E51)),"FALTA PRECIO",IF(V51&lt;0,"PIERDE",IF(W51&lt;Parametros!$B$18,"BAJO META","OK")))))</f>
        <v>FALTAN DATOS</v>
      </c>
      <c r="AA51" s="21" t="str">
        <f aca="false">IF(B51="","",IF(F51="","Tela. ","")&amp;IF(NOT(ISNUMBER(G51)),"Kg de tela. ","")&amp;IF(AND(F51&lt;&gt;"",NOT(ISNUMBER(IFERROR(INDEX(Precios!$D$5:$D$120,MATCH(F51,Precios!$A$5:$A$120,0)),"x")))),"Tela sin precio. ","")&amp;IF(AND(H51&lt;&gt;"",NOT(ISNUMBER(IFERROR(INDEX(Precios!$D$5:$D$120,MATCH(H51,Precios!$A$5:$A$120,0)),"x")))),"Tela 2 sin precio. ","")&amp;IF(J51="","Metros impresos. ","")&amp;IF(AND(N(J51)&gt;0,Parametros!$B$27=0),"Impresión sin costo. ","")&amp;IF(K51="","Confección. ",IF(Q51=0,"Confección sin valor. ",""))&amp;IF(NOT(ISNUMBER(E51)),"Precio de venta. ",""))</f>
        <v>Tela. Kg de tela. Metros impresos. </v>
      </c>
    </row>
    <row r="52" customFormat="false" ht="15" hidden="false" customHeight="false" outlineLevel="0" collapsed="false">
      <c r="A52" s="11" t="s">
        <v>189</v>
      </c>
      <c r="B52" s="11" t="s">
        <v>190</v>
      </c>
      <c r="C52" s="11" t="s">
        <v>89</v>
      </c>
      <c r="D52" s="11" t="n">
        <v>17</v>
      </c>
      <c r="E52" s="12" t="n">
        <v>24328</v>
      </c>
      <c r="F52" s="13"/>
      <c r="G52" s="14"/>
      <c r="H52" s="13"/>
      <c r="I52" s="14"/>
      <c r="J52" s="15"/>
      <c r="K52" s="13" t="s">
        <v>191</v>
      </c>
      <c r="L52" s="12"/>
      <c r="M52" s="13" t="s">
        <v>68</v>
      </c>
      <c r="N52" s="16" t="s">
        <v>81</v>
      </c>
      <c r="O52" s="17" t="n">
        <f aca="false">IF(B52="","",IFERROR(G52*INDEX(Precios!$D$5:$D$120,MATCH(F52,Precios!$A$5:$A$120,0)),0)+IF(H52="",0,IFERROR(I52*INDEX(Precios!$D$5:$D$120,MATCH(H52,Precios!$A$5:$A$120,0)),0)))</f>
        <v>0</v>
      </c>
      <c r="P52" s="17" t="n">
        <f aca="false">IF(B52="","",N(J52)*Parametros!$B$27)</f>
        <v>0</v>
      </c>
      <c r="Q52" s="17" t="n">
        <f aca="false">IF(B52="","",IFERROR(INDEX(Confeccion!$B$5:$B$100,MATCH(K52,Confeccion!$A$5:$A$100,0)),0))</f>
        <v>3500</v>
      </c>
      <c r="R52" s="17" t="n">
        <f aca="false">IF(B52="","",N(L52))</f>
        <v>0</v>
      </c>
      <c r="S52" s="18" t="str">
        <f aca="false">IF(B52="","",IF(AND(F52&lt;&gt;"",ISNUMBER(G52),ISNUMBER(IFERROR(INDEX(Precios!$D$5:$D$120,MATCH(F52,Precios!$A$5:$A$120,0)),"x")),OR(H52="",ISNUMBER(IFERROR(INDEX(Precios!$D$5:$D$120,MATCH(H52,Precios!$A$5:$A$120,0)),"x"))),J52&lt;&gt;"",K52&lt;&gt;"",Q52&gt;0),SUM(O52:R52),""))</f>
        <v/>
      </c>
      <c r="T52" s="17" t="str">
        <f aca="false">IF(AND(S52&lt;&gt;"",ISNUMBER(E52)),E52*Parametros!$B$12,"")</f>
        <v/>
      </c>
      <c r="U52" s="17" t="str">
        <f aca="false">IF(AND(S52&lt;&gt;"",ISNUMBER(E52)),E52*Parametros!$B$13,"")</f>
        <v/>
      </c>
      <c r="V52" s="18" t="str">
        <f aca="false">IF(AND(S52&lt;&gt;"",ISNUMBER(E52)),E52-S52-T52-U52,"")</f>
        <v/>
      </c>
      <c r="W52" s="19" t="str">
        <f aca="false">IF(AND(S52&lt;&gt;"",ISNUMBER(E52)),V52/E52,"")</f>
        <v/>
      </c>
      <c r="X52" s="17" t="str">
        <f aca="false">IF(OR(S52="",Parametros!$B$14&gt;=1),"",S52/(1-Parametros!$B$14))</f>
        <v/>
      </c>
      <c r="Y52" s="17" t="str">
        <f aca="false">IF(OR(S52="",Parametros!$B$14+Parametros!$B$18&gt;=1),"",S52/(1-Parametros!$B$14-Parametros!$B$18))</f>
        <v/>
      </c>
      <c r="Z52" s="20" t="str">
        <f aca="false">IF(B52="","",IF(S52="","FALTAN DATOS",IF(NOT(ISNUMBER(E52)),"FALTA PRECIO",IF(V52&lt;0,"PIERDE",IF(W52&lt;Parametros!$B$18,"BAJO META","OK")))))</f>
        <v>FALTAN DATOS</v>
      </c>
      <c r="AA52" s="21" t="str">
        <f aca="false">IF(B52="","",IF(F52="","Tela. ","")&amp;IF(NOT(ISNUMBER(G52)),"Kg de tela. ","")&amp;IF(AND(F52&lt;&gt;"",NOT(ISNUMBER(IFERROR(INDEX(Precios!$D$5:$D$120,MATCH(F52,Precios!$A$5:$A$120,0)),"x")))),"Tela sin precio. ","")&amp;IF(AND(H52&lt;&gt;"",NOT(ISNUMBER(IFERROR(INDEX(Precios!$D$5:$D$120,MATCH(H52,Precios!$A$5:$A$120,0)),"x")))),"Tela 2 sin precio. ","")&amp;IF(J52="","Metros impresos. ","")&amp;IF(AND(N(J52)&gt;0,Parametros!$B$27=0),"Impresión sin costo. ","")&amp;IF(K52="","Confección. ",IF(Q52=0,"Confección sin valor. ",""))&amp;IF(NOT(ISNUMBER(E52)),"Precio de venta. ",""))</f>
        <v>Tela. Kg de tela. Metros impresos. </v>
      </c>
    </row>
    <row r="53" customFormat="false" ht="15" hidden="false" customHeight="false" outlineLevel="0" collapsed="false">
      <c r="A53" s="11" t="s">
        <v>192</v>
      </c>
      <c r="B53" s="11" t="s">
        <v>193</v>
      </c>
      <c r="C53" s="11" t="s">
        <v>65</v>
      </c>
      <c r="D53" s="11" t="n">
        <v>16</v>
      </c>
      <c r="E53" s="12" t="n">
        <v>15882</v>
      </c>
      <c r="F53" s="13"/>
      <c r="G53" s="14"/>
      <c r="H53" s="13"/>
      <c r="I53" s="14"/>
      <c r="J53" s="15"/>
      <c r="K53" s="13" t="s">
        <v>160</v>
      </c>
      <c r="L53" s="12"/>
      <c r="M53" s="13" t="s">
        <v>68</v>
      </c>
      <c r="N53" s="16" t="s">
        <v>81</v>
      </c>
      <c r="O53" s="17" t="n">
        <f aca="false">IF(B53="","",IFERROR(G53*INDEX(Precios!$D$5:$D$120,MATCH(F53,Precios!$A$5:$A$120,0)),0)+IF(H53="",0,IFERROR(I53*INDEX(Precios!$D$5:$D$120,MATCH(H53,Precios!$A$5:$A$120,0)),0)))</f>
        <v>0</v>
      </c>
      <c r="P53" s="17" t="n">
        <f aca="false">IF(B53="","",N(J53)*Parametros!$B$27)</f>
        <v>0</v>
      </c>
      <c r="Q53" s="17" t="n">
        <f aca="false">IF(B53="","",IFERROR(INDEX(Confeccion!$B$5:$B$100,MATCH(K53,Confeccion!$A$5:$A$100,0)),0))</f>
        <v>2000</v>
      </c>
      <c r="R53" s="17" t="n">
        <f aca="false">IF(B53="","",N(L53))</f>
        <v>0</v>
      </c>
      <c r="S53" s="18" t="str">
        <f aca="false">IF(B53="","",IF(AND(F53&lt;&gt;"",ISNUMBER(G53),ISNUMBER(IFERROR(INDEX(Precios!$D$5:$D$120,MATCH(F53,Precios!$A$5:$A$120,0)),"x")),OR(H53="",ISNUMBER(IFERROR(INDEX(Precios!$D$5:$D$120,MATCH(H53,Precios!$A$5:$A$120,0)),"x"))),J53&lt;&gt;"",K53&lt;&gt;"",Q53&gt;0),SUM(O53:R53),""))</f>
        <v/>
      </c>
      <c r="T53" s="17" t="str">
        <f aca="false">IF(AND(S53&lt;&gt;"",ISNUMBER(E53)),E53*Parametros!$B$12,"")</f>
        <v/>
      </c>
      <c r="U53" s="17" t="str">
        <f aca="false">IF(AND(S53&lt;&gt;"",ISNUMBER(E53)),E53*Parametros!$B$13,"")</f>
        <v/>
      </c>
      <c r="V53" s="18" t="str">
        <f aca="false">IF(AND(S53&lt;&gt;"",ISNUMBER(E53)),E53-S53-T53-U53,"")</f>
        <v/>
      </c>
      <c r="W53" s="19" t="str">
        <f aca="false">IF(AND(S53&lt;&gt;"",ISNUMBER(E53)),V53/E53,"")</f>
        <v/>
      </c>
      <c r="X53" s="17" t="str">
        <f aca="false">IF(OR(S53="",Parametros!$B$14&gt;=1),"",S53/(1-Parametros!$B$14))</f>
        <v/>
      </c>
      <c r="Y53" s="17" t="str">
        <f aca="false">IF(OR(S53="",Parametros!$B$14+Parametros!$B$18&gt;=1),"",S53/(1-Parametros!$B$14-Parametros!$B$18))</f>
        <v/>
      </c>
      <c r="Z53" s="20" t="str">
        <f aca="false">IF(B53="","",IF(S53="","FALTAN DATOS",IF(NOT(ISNUMBER(E53)),"FALTA PRECIO",IF(V53&lt;0,"PIERDE",IF(W53&lt;Parametros!$B$18,"BAJO META","OK")))))</f>
        <v>FALTAN DATOS</v>
      </c>
      <c r="AA53" s="21" t="str">
        <f aca="false">IF(B53="","",IF(F53="","Tela. ","")&amp;IF(NOT(ISNUMBER(G53)),"Kg de tela. ","")&amp;IF(AND(F53&lt;&gt;"",NOT(ISNUMBER(IFERROR(INDEX(Precios!$D$5:$D$120,MATCH(F53,Precios!$A$5:$A$120,0)),"x")))),"Tela sin precio. ","")&amp;IF(AND(H53&lt;&gt;"",NOT(ISNUMBER(IFERROR(INDEX(Precios!$D$5:$D$120,MATCH(H53,Precios!$A$5:$A$120,0)),"x")))),"Tela 2 sin precio. ","")&amp;IF(J53="","Metros impresos. ","")&amp;IF(AND(N(J53)&gt;0,Parametros!$B$27=0),"Impresión sin costo. ","")&amp;IF(K53="","Confección. ",IF(Q53=0,"Confección sin valor. ",""))&amp;IF(NOT(ISNUMBER(E53)),"Precio de venta. ",""))</f>
        <v>Tela. Kg de tela. Metros impresos. </v>
      </c>
    </row>
    <row r="54" customFormat="false" ht="15" hidden="false" customHeight="false" outlineLevel="0" collapsed="false">
      <c r="A54" s="11" t="s">
        <v>194</v>
      </c>
      <c r="B54" s="11" t="s">
        <v>195</v>
      </c>
      <c r="C54" s="11" t="s">
        <v>65</v>
      </c>
      <c r="D54" s="11" t="n">
        <v>15</v>
      </c>
      <c r="E54" s="12" t="n">
        <v>17563</v>
      </c>
      <c r="F54" s="13"/>
      <c r="G54" s="14"/>
      <c r="H54" s="13"/>
      <c r="I54" s="14"/>
      <c r="J54" s="15"/>
      <c r="K54" s="13" t="s">
        <v>196</v>
      </c>
      <c r="L54" s="12"/>
      <c r="M54" s="13" t="s">
        <v>68</v>
      </c>
      <c r="N54" s="16" t="s">
        <v>81</v>
      </c>
      <c r="O54" s="17" t="n">
        <f aca="false">IF(B54="","",IFERROR(G54*INDEX(Precios!$D$5:$D$120,MATCH(F54,Precios!$A$5:$A$120,0)),0)+IF(H54="",0,IFERROR(I54*INDEX(Precios!$D$5:$D$120,MATCH(H54,Precios!$A$5:$A$120,0)),0)))</f>
        <v>0</v>
      </c>
      <c r="P54" s="17" t="n">
        <f aca="false">IF(B54="","",N(J54)*Parametros!$B$27)</f>
        <v>0</v>
      </c>
      <c r="Q54" s="17" t="n">
        <f aca="false">IF(B54="","",IFERROR(INDEX(Confeccion!$B$5:$B$100,MATCH(K54,Confeccion!$A$5:$A$100,0)),0))</f>
        <v>1800</v>
      </c>
      <c r="R54" s="17" t="n">
        <f aca="false">IF(B54="","",N(L54))</f>
        <v>0</v>
      </c>
      <c r="S54" s="18" t="str">
        <f aca="false">IF(B54="","",IF(AND(F54&lt;&gt;"",ISNUMBER(G54),ISNUMBER(IFERROR(INDEX(Precios!$D$5:$D$120,MATCH(F54,Precios!$A$5:$A$120,0)),"x")),OR(H54="",ISNUMBER(IFERROR(INDEX(Precios!$D$5:$D$120,MATCH(H54,Precios!$A$5:$A$120,0)),"x"))),J54&lt;&gt;"",K54&lt;&gt;"",Q54&gt;0),SUM(O54:R54),""))</f>
        <v/>
      </c>
      <c r="T54" s="17" t="str">
        <f aca="false">IF(AND(S54&lt;&gt;"",ISNUMBER(E54)),E54*Parametros!$B$12,"")</f>
        <v/>
      </c>
      <c r="U54" s="17" t="str">
        <f aca="false">IF(AND(S54&lt;&gt;"",ISNUMBER(E54)),E54*Parametros!$B$13,"")</f>
        <v/>
      </c>
      <c r="V54" s="18" t="str">
        <f aca="false">IF(AND(S54&lt;&gt;"",ISNUMBER(E54)),E54-S54-T54-U54,"")</f>
        <v/>
      </c>
      <c r="W54" s="19" t="str">
        <f aca="false">IF(AND(S54&lt;&gt;"",ISNUMBER(E54)),V54/E54,"")</f>
        <v/>
      </c>
      <c r="X54" s="17" t="str">
        <f aca="false">IF(OR(S54="",Parametros!$B$14&gt;=1),"",S54/(1-Parametros!$B$14))</f>
        <v/>
      </c>
      <c r="Y54" s="17" t="str">
        <f aca="false">IF(OR(S54="",Parametros!$B$14+Parametros!$B$18&gt;=1),"",S54/(1-Parametros!$B$14-Parametros!$B$18))</f>
        <v/>
      </c>
      <c r="Z54" s="20" t="str">
        <f aca="false">IF(B54="","",IF(S54="","FALTAN DATOS",IF(NOT(ISNUMBER(E54)),"FALTA PRECIO",IF(V54&lt;0,"PIERDE",IF(W54&lt;Parametros!$B$18,"BAJO META","OK")))))</f>
        <v>FALTAN DATOS</v>
      </c>
      <c r="AA54" s="21" t="str">
        <f aca="false">IF(B54="","",IF(F54="","Tela. ","")&amp;IF(NOT(ISNUMBER(G54)),"Kg de tela. ","")&amp;IF(AND(F54&lt;&gt;"",NOT(ISNUMBER(IFERROR(INDEX(Precios!$D$5:$D$120,MATCH(F54,Precios!$A$5:$A$120,0)),"x")))),"Tela sin precio. ","")&amp;IF(AND(H54&lt;&gt;"",NOT(ISNUMBER(IFERROR(INDEX(Precios!$D$5:$D$120,MATCH(H54,Precios!$A$5:$A$120,0)),"x")))),"Tela 2 sin precio. ","")&amp;IF(J54="","Metros impresos. ","")&amp;IF(AND(N(J54)&gt;0,Parametros!$B$27=0),"Impresión sin costo. ","")&amp;IF(K54="","Confección. ",IF(Q54=0,"Confección sin valor. ",""))&amp;IF(NOT(ISNUMBER(E54)),"Precio de venta. ",""))</f>
        <v>Tela. Kg de tela. Metros impresos. </v>
      </c>
    </row>
    <row r="55" customFormat="false" ht="15" hidden="false" customHeight="false" outlineLevel="0" collapsed="false">
      <c r="A55" s="11" t="s">
        <v>197</v>
      </c>
      <c r="B55" s="11" t="s">
        <v>198</v>
      </c>
      <c r="C55" s="11" t="s">
        <v>65</v>
      </c>
      <c r="D55" s="11" t="n">
        <v>15</v>
      </c>
      <c r="E55" s="12" t="n">
        <v>14202</v>
      </c>
      <c r="F55" s="13"/>
      <c r="G55" s="14"/>
      <c r="H55" s="13"/>
      <c r="I55" s="14"/>
      <c r="J55" s="15"/>
      <c r="K55" s="13" t="s">
        <v>196</v>
      </c>
      <c r="L55" s="12"/>
      <c r="M55" s="13" t="s">
        <v>68</v>
      </c>
      <c r="N55" s="16" t="s">
        <v>81</v>
      </c>
      <c r="O55" s="17" t="n">
        <f aca="false">IF(B55="","",IFERROR(G55*INDEX(Precios!$D$5:$D$120,MATCH(F55,Precios!$A$5:$A$120,0)),0)+IF(H55="",0,IFERROR(I55*INDEX(Precios!$D$5:$D$120,MATCH(H55,Precios!$A$5:$A$120,0)),0)))</f>
        <v>0</v>
      </c>
      <c r="P55" s="17" t="n">
        <f aca="false">IF(B55="","",N(J55)*Parametros!$B$27)</f>
        <v>0</v>
      </c>
      <c r="Q55" s="17" t="n">
        <f aca="false">IF(B55="","",IFERROR(INDEX(Confeccion!$B$5:$B$100,MATCH(K55,Confeccion!$A$5:$A$100,0)),0))</f>
        <v>1800</v>
      </c>
      <c r="R55" s="17" t="n">
        <f aca="false">IF(B55="","",N(L55))</f>
        <v>0</v>
      </c>
      <c r="S55" s="18" t="str">
        <f aca="false">IF(B55="","",IF(AND(F55&lt;&gt;"",ISNUMBER(G55),ISNUMBER(IFERROR(INDEX(Precios!$D$5:$D$120,MATCH(F55,Precios!$A$5:$A$120,0)),"x")),OR(H55="",ISNUMBER(IFERROR(INDEX(Precios!$D$5:$D$120,MATCH(H55,Precios!$A$5:$A$120,0)),"x"))),J55&lt;&gt;"",K55&lt;&gt;"",Q55&gt;0),SUM(O55:R55),""))</f>
        <v/>
      </c>
      <c r="T55" s="17" t="str">
        <f aca="false">IF(AND(S55&lt;&gt;"",ISNUMBER(E55)),E55*Parametros!$B$12,"")</f>
        <v/>
      </c>
      <c r="U55" s="17" t="str">
        <f aca="false">IF(AND(S55&lt;&gt;"",ISNUMBER(E55)),E55*Parametros!$B$13,"")</f>
        <v/>
      </c>
      <c r="V55" s="18" t="str">
        <f aca="false">IF(AND(S55&lt;&gt;"",ISNUMBER(E55)),E55-S55-T55-U55,"")</f>
        <v/>
      </c>
      <c r="W55" s="19" t="str">
        <f aca="false">IF(AND(S55&lt;&gt;"",ISNUMBER(E55)),V55/E55,"")</f>
        <v/>
      </c>
      <c r="X55" s="17" t="str">
        <f aca="false">IF(OR(S55="",Parametros!$B$14&gt;=1),"",S55/(1-Parametros!$B$14))</f>
        <v/>
      </c>
      <c r="Y55" s="17" t="str">
        <f aca="false">IF(OR(S55="",Parametros!$B$14+Parametros!$B$18&gt;=1),"",S55/(1-Parametros!$B$14-Parametros!$B$18))</f>
        <v/>
      </c>
      <c r="Z55" s="20" t="str">
        <f aca="false">IF(B55="","",IF(S55="","FALTAN DATOS",IF(NOT(ISNUMBER(E55)),"FALTA PRECIO",IF(V55&lt;0,"PIERDE",IF(W55&lt;Parametros!$B$18,"BAJO META","OK")))))</f>
        <v>FALTAN DATOS</v>
      </c>
      <c r="AA55" s="21" t="str">
        <f aca="false">IF(B55="","",IF(F55="","Tela. ","")&amp;IF(NOT(ISNUMBER(G55)),"Kg de tela. ","")&amp;IF(AND(F55&lt;&gt;"",NOT(ISNUMBER(IFERROR(INDEX(Precios!$D$5:$D$120,MATCH(F55,Precios!$A$5:$A$120,0)),"x")))),"Tela sin precio. ","")&amp;IF(AND(H55&lt;&gt;"",NOT(ISNUMBER(IFERROR(INDEX(Precios!$D$5:$D$120,MATCH(H55,Precios!$A$5:$A$120,0)),"x")))),"Tela 2 sin precio. ","")&amp;IF(J55="","Metros impresos. ","")&amp;IF(AND(N(J55)&gt;0,Parametros!$B$27=0),"Impresión sin costo. ","")&amp;IF(K55="","Confección. ",IF(Q55=0,"Confección sin valor. ",""))&amp;IF(NOT(ISNUMBER(E55)),"Precio de venta. ",""))</f>
        <v>Tela. Kg de tela. Metros impresos. </v>
      </c>
    </row>
    <row r="56" customFormat="false" ht="15" hidden="false" customHeight="false" outlineLevel="0" collapsed="false">
      <c r="A56" s="11" t="s">
        <v>199</v>
      </c>
      <c r="B56" s="11" t="s">
        <v>200</v>
      </c>
      <c r="C56" s="11" t="s">
        <v>65</v>
      </c>
      <c r="D56" s="11" t="n">
        <v>14</v>
      </c>
      <c r="E56" s="12" t="n">
        <v>11681</v>
      </c>
      <c r="F56" s="13"/>
      <c r="G56" s="14"/>
      <c r="H56" s="13"/>
      <c r="I56" s="14"/>
      <c r="J56" s="15"/>
      <c r="K56" s="13" t="s">
        <v>201</v>
      </c>
      <c r="L56" s="12"/>
      <c r="M56" s="13" t="s">
        <v>68</v>
      </c>
      <c r="N56" s="16" t="s">
        <v>81</v>
      </c>
      <c r="O56" s="17" t="n">
        <f aca="false">IF(B56="","",IFERROR(G56*INDEX(Precios!$D$5:$D$120,MATCH(F56,Precios!$A$5:$A$120,0)),0)+IF(H56="",0,IFERROR(I56*INDEX(Precios!$D$5:$D$120,MATCH(H56,Precios!$A$5:$A$120,0)),0)))</f>
        <v>0</v>
      </c>
      <c r="P56" s="17" t="n">
        <f aca="false">IF(B56="","",N(J56)*Parametros!$B$27)</f>
        <v>0</v>
      </c>
      <c r="Q56" s="17" t="n">
        <f aca="false">IF(B56="","",IFERROR(INDEX(Confeccion!$B$5:$B$100,MATCH(K56,Confeccion!$A$5:$A$100,0)),0))</f>
        <v>1800</v>
      </c>
      <c r="R56" s="17" t="n">
        <f aca="false">IF(B56="","",N(L56))</f>
        <v>0</v>
      </c>
      <c r="S56" s="18" t="str">
        <f aca="false">IF(B56="","",IF(AND(F56&lt;&gt;"",ISNUMBER(G56),ISNUMBER(IFERROR(INDEX(Precios!$D$5:$D$120,MATCH(F56,Precios!$A$5:$A$120,0)),"x")),OR(H56="",ISNUMBER(IFERROR(INDEX(Precios!$D$5:$D$120,MATCH(H56,Precios!$A$5:$A$120,0)),"x"))),J56&lt;&gt;"",K56&lt;&gt;"",Q56&gt;0),SUM(O56:R56),""))</f>
        <v/>
      </c>
      <c r="T56" s="17" t="str">
        <f aca="false">IF(AND(S56&lt;&gt;"",ISNUMBER(E56)),E56*Parametros!$B$12,"")</f>
        <v/>
      </c>
      <c r="U56" s="17" t="str">
        <f aca="false">IF(AND(S56&lt;&gt;"",ISNUMBER(E56)),E56*Parametros!$B$13,"")</f>
        <v/>
      </c>
      <c r="V56" s="18" t="str">
        <f aca="false">IF(AND(S56&lt;&gt;"",ISNUMBER(E56)),E56-S56-T56-U56,"")</f>
        <v/>
      </c>
      <c r="W56" s="19" t="str">
        <f aca="false">IF(AND(S56&lt;&gt;"",ISNUMBER(E56)),V56/E56,"")</f>
        <v/>
      </c>
      <c r="X56" s="17" t="str">
        <f aca="false">IF(OR(S56="",Parametros!$B$14&gt;=1),"",S56/(1-Parametros!$B$14))</f>
        <v/>
      </c>
      <c r="Y56" s="17" t="str">
        <f aca="false">IF(OR(S56="",Parametros!$B$14+Parametros!$B$18&gt;=1),"",S56/(1-Parametros!$B$14-Parametros!$B$18))</f>
        <v/>
      </c>
      <c r="Z56" s="20" t="str">
        <f aca="false">IF(B56="","",IF(S56="","FALTAN DATOS",IF(NOT(ISNUMBER(E56)),"FALTA PRECIO",IF(V56&lt;0,"PIERDE",IF(W56&lt;Parametros!$B$18,"BAJO META","OK")))))</f>
        <v>FALTAN DATOS</v>
      </c>
      <c r="AA56" s="21" t="str">
        <f aca="false">IF(B56="","",IF(F56="","Tela. ","")&amp;IF(NOT(ISNUMBER(G56)),"Kg de tela. ","")&amp;IF(AND(F56&lt;&gt;"",NOT(ISNUMBER(IFERROR(INDEX(Precios!$D$5:$D$120,MATCH(F56,Precios!$A$5:$A$120,0)),"x")))),"Tela sin precio. ","")&amp;IF(AND(H56&lt;&gt;"",NOT(ISNUMBER(IFERROR(INDEX(Precios!$D$5:$D$120,MATCH(H56,Precios!$A$5:$A$120,0)),"x")))),"Tela 2 sin precio. ","")&amp;IF(J56="","Metros impresos. ","")&amp;IF(AND(N(J56)&gt;0,Parametros!$B$27=0),"Impresión sin costo. ","")&amp;IF(K56="","Confección. ",IF(Q56=0,"Confección sin valor. ",""))&amp;IF(NOT(ISNUMBER(E56)),"Precio de venta. ",""))</f>
        <v>Tela. Kg de tela. Metros impresos. </v>
      </c>
    </row>
    <row r="57" customFormat="false" ht="15" hidden="false" customHeight="false" outlineLevel="0" collapsed="false">
      <c r="A57" s="11" t="s">
        <v>202</v>
      </c>
      <c r="B57" s="11" t="s">
        <v>203</v>
      </c>
      <c r="C57" s="11" t="s">
        <v>89</v>
      </c>
      <c r="D57" s="11" t="n">
        <v>14</v>
      </c>
      <c r="E57" s="12" t="n">
        <v>31092</v>
      </c>
      <c r="F57" s="13"/>
      <c r="G57" s="14"/>
      <c r="H57" s="13"/>
      <c r="I57" s="14"/>
      <c r="J57" s="15"/>
      <c r="K57" s="13" t="s">
        <v>130</v>
      </c>
      <c r="L57" s="12"/>
      <c r="M57" s="13" t="s">
        <v>68</v>
      </c>
      <c r="N57" s="16" t="s">
        <v>81</v>
      </c>
      <c r="O57" s="17" t="n">
        <f aca="false">IF(B57="","",IFERROR(G57*INDEX(Precios!$D$5:$D$120,MATCH(F57,Precios!$A$5:$A$120,0)),0)+IF(H57="",0,IFERROR(I57*INDEX(Precios!$D$5:$D$120,MATCH(H57,Precios!$A$5:$A$120,0)),0)))</f>
        <v>0</v>
      </c>
      <c r="P57" s="17" t="n">
        <f aca="false">IF(B57="","",N(J57)*Parametros!$B$27)</f>
        <v>0</v>
      </c>
      <c r="Q57" s="17" t="n">
        <f aca="false">IF(B57="","",IFERROR(INDEX(Confeccion!$B$5:$B$100,MATCH(K57,Confeccion!$A$5:$A$100,0)),0))</f>
        <v>3000</v>
      </c>
      <c r="R57" s="17" t="n">
        <f aca="false">IF(B57="","",N(L57))</f>
        <v>0</v>
      </c>
      <c r="S57" s="18" t="str">
        <f aca="false">IF(B57="","",IF(AND(F57&lt;&gt;"",ISNUMBER(G57),ISNUMBER(IFERROR(INDEX(Precios!$D$5:$D$120,MATCH(F57,Precios!$A$5:$A$120,0)),"x")),OR(H57="",ISNUMBER(IFERROR(INDEX(Precios!$D$5:$D$120,MATCH(H57,Precios!$A$5:$A$120,0)),"x"))),J57&lt;&gt;"",K57&lt;&gt;"",Q57&gt;0),SUM(O57:R57),""))</f>
        <v/>
      </c>
      <c r="T57" s="17" t="str">
        <f aca="false">IF(AND(S57&lt;&gt;"",ISNUMBER(E57)),E57*Parametros!$B$12,"")</f>
        <v/>
      </c>
      <c r="U57" s="17" t="str">
        <f aca="false">IF(AND(S57&lt;&gt;"",ISNUMBER(E57)),E57*Parametros!$B$13,"")</f>
        <v/>
      </c>
      <c r="V57" s="18" t="str">
        <f aca="false">IF(AND(S57&lt;&gt;"",ISNUMBER(E57)),E57-S57-T57-U57,"")</f>
        <v/>
      </c>
      <c r="W57" s="19" t="str">
        <f aca="false">IF(AND(S57&lt;&gt;"",ISNUMBER(E57)),V57/E57,"")</f>
        <v/>
      </c>
      <c r="X57" s="17" t="str">
        <f aca="false">IF(OR(S57="",Parametros!$B$14&gt;=1),"",S57/(1-Parametros!$B$14))</f>
        <v/>
      </c>
      <c r="Y57" s="17" t="str">
        <f aca="false">IF(OR(S57="",Parametros!$B$14+Parametros!$B$18&gt;=1),"",S57/(1-Parametros!$B$14-Parametros!$B$18))</f>
        <v/>
      </c>
      <c r="Z57" s="20" t="str">
        <f aca="false">IF(B57="","",IF(S57="","FALTAN DATOS",IF(NOT(ISNUMBER(E57)),"FALTA PRECIO",IF(V57&lt;0,"PIERDE",IF(W57&lt;Parametros!$B$18,"BAJO META","OK")))))</f>
        <v>FALTAN DATOS</v>
      </c>
      <c r="AA57" s="21" t="str">
        <f aca="false">IF(B57="","",IF(F57="","Tela. ","")&amp;IF(NOT(ISNUMBER(G57)),"Kg de tela. ","")&amp;IF(AND(F57&lt;&gt;"",NOT(ISNUMBER(IFERROR(INDEX(Precios!$D$5:$D$120,MATCH(F57,Precios!$A$5:$A$120,0)),"x")))),"Tela sin precio. ","")&amp;IF(AND(H57&lt;&gt;"",NOT(ISNUMBER(IFERROR(INDEX(Precios!$D$5:$D$120,MATCH(H57,Precios!$A$5:$A$120,0)),"x")))),"Tela 2 sin precio. ","")&amp;IF(J57="","Metros impresos. ","")&amp;IF(AND(N(J57)&gt;0,Parametros!$B$27=0),"Impresión sin costo. ","")&amp;IF(K57="","Confección. ",IF(Q57=0,"Confección sin valor. ",""))&amp;IF(NOT(ISNUMBER(E57)),"Precio de venta. ",""))</f>
        <v>Tela. Kg de tela. Metros impresos. </v>
      </c>
    </row>
    <row r="58" customFormat="false" ht="15" hidden="false" customHeight="false" outlineLevel="0" collapsed="false">
      <c r="A58" s="11" t="s">
        <v>204</v>
      </c>
      <c r="B58" s="11" t="s">
        <v>205</v>
      </c>
      <c r="C58" s="11" t="s">
        <v>89</v>
      </c>
      <c r="D58" s="11" t="n">
        <v>13</v>
      </c>
      <c r="E58" s="12" t="n">
        <v>17646</v>
      </c>
      <c r="F58" s="13"/>
      <c r="G58" s="14"/>
      <c r="H58" s="13"/>
      <c r="I58" s="14"/>
      <c r="J58" s="15"/>
      <c r="K58" s="13"/>
      <c r="L58" s="12"/>
      <c r="M58" s="13" t="s">
        <v>68</v>
      </c>
      <c r="N58" s="16"/>
      <c r="O58" s="17" t="n">
        <f aca="false">IF(B58="","",IFERROR(G58*INDEX(Precios!$D$5:$D$120,MATCH(F58,Precios!$A$5:$A$120,0)),0)+IF(H58="",0,IFERROR(I58*INDEX(Precios!$D$5:$D$120,MATCH(H58,Precios!$A$5:$A$120,0)),0)))</f>
        <v>0</v>
      </c>
      <c r="P58" s="17" t="n">
        <f aca="false">IF(B58="","",N(J58)*Parametros!$B$27)</f>
        <v>0</v>
      </c>
      <c r="Q58" s="17" t="n">
        <f aca="false">IF(B58="","",IFERROR(INDEX(Confeccion!$B$5:$B$100,MATCH(K58,Confeccion!$A$5:$A$100,0)),0))</f>
        <v>0</v>
      </c>
      <c r="R58" s="17" t="n">
        <f aca="false">IF(B58="","",N(L58))</f>
        <v>0</v>
      </c>
      <c r="S58" s="18" t="str">
        <f aca="false">IF(B58="","",IF(AND(F58&lt;&gt;"",ISNUMBER(G58),ISNUMBER(IFERROR(INDEX(Precios!$D$5:$D$120,MATCH(F58,Precios!$A$5:$A$120,0)),"x")),OR(H58="",ISNUMBER(IFERROR(INDEX(Precios!$D$5:$D$120,MATCH(H58,Precios!$A$5:$A$120,0)),"x"))),J58&lt;&gt;"",K58&lt;&gt;"",Q58&gt;0),SUM(O58:R58),""))</f>
        <v/>
      </c>
      <c r="T58" s="17" t="str">
        <f aca="false">IF(AND(S58&lt;&gt;"",ISNUMBER(E58)),E58*Parametros!$B$12,"")</f>
        <v/>
      </c>
      <c r="U58" s="17" t="str">
        <f aca="false">IF(AND(S58&lt;&gt;"",ISNUMBER(E58)),E58*Parametros!$B$13,"")</f>
        <v/>
      </c>
      <c r="V58" s="18" t="str">
        <f aca="false">IF(AND(S58&lt;&gt;"",ISNUMBER(E58)),E58-S58-T58-U58,"")</f>
        <v/>
      </c>
      <c r="W58" s="19" t="str">
        <f aca="false">IF(AND(S58&lt;&gt;"",ISNUMBER(E58)),V58/E58,"")</f>
        <v/>
      </c>
      <c r="X58" s="17" t="str">
        <f aca="false">IF(OR(S58="",Parametros!$B$14&gt;=1),"",S58/(1-Parametros!$B$14))</f>
        <v/>
      </c>
      <c r="Y58" s="17" t="str">
        <f aca="false">IF(OR(S58="",Parametros!$B$14+Parametros!$B$18&gt;=1),"",S58/(1-Parametros!$B$14-Parametros!$B$18))</f>
        <v/>
      </c>
      <c r="Z58" s="20" t="str">
        <f aca="false">IF(B58="","",IF(S58="","FALTAN DATOS",IF(NOT(ISNUMBER(E58)),"FALTA PRECIO",IF(V58&lt;0,"PIERDE",IF(W58&lt;Parametros!$B$18,"BAJO META","OK")))))</f>
        <v>FALTAN DATOS</v>
      </c>
      <c r="AA58" s="21" t="str">
        <f aca="false">IF(B58="","",IF(F58="","Tela. ","")&amp;IF(NOT(ISNUMBER(G58)),"Kg de tela. ","")&amp;IF(AND(F58&lt;&gt;"",NOT(ISNUMBER(IFERROR(INDEX(Precios!$D$5:$D$120,MATCH(F58,Precios!$A$5:$A$120,0)),"x")))),"Tela sin precio. ","")&amp;IF(AND(H58&lt;&gt;"",NOT(ISNUMBER(IFERROR(INDEX(Precios!$D$5:$D$120,MATCH(H58,Precios!$A$5:$A$120,0)),"x")))),"Tela 2 sin precio. ","")&amp;IF(J58="","Metros impresos. ","")&amp;IF(AND(N(J58)&gt;0,Parametros!$B$27=0),"Impresión sin costo. ","")&amp;IF(K58="","Confección. ",IF(Q58=0,"Confección sin valor. ",""))&amp;IF(NOT(ISNUMBER(E58)),"Precio de venta. ",""))</f>
        <v>Tela. Kg de tela. Metros impresos. Confección. </v>
      </c>
    </row>
    <row r="59" customFormat="false" ht="15" hidden="false" customHeight="false" outlineLevel="0" collapsed="false">
      <c r="A59" s="11" t="s">
        <v>206</v>
      </c>
      <c r="B59" s="11" t="s">
        <v>207</v>
      </c>
      <c r="C59" s="11" t="s">
        <v>65</v>
      </c>
      <c r="D59" s="11" t="n">
        <v>13</v>
      </c>
      <c r="E59" s="12" t="n">
        <v>16723</v>
      </c>
      <c r="F59" s="13"/>
      <c r="G59" s="14"/>
      <c r="H59" s="13"/>
      <c r="I59" s="14"/>
      <c r="J59" s="15"/>
      <c r="K59" s="13"/>
      <c r="L59" s="12"/>
      <c r="M59" s="13" t="s">
        <v>68</v>
      </c>
      <c r="N59" s="16"/>
      <c r="O59" s="17" t="n">
        <f aca="false">IF(B59="","",IFERROR(G59*INDEX(Precios!$D$5:$D$120,MATCH(F59,Precios!$A$5:$A$120,0)),0)+IF(H59="",0,IFERROR(I59*INDEX(Precios!$D$5:$D$120,MATCH(H59,Precios!$A$5:$A$120,0)),0)))</f>
        <v>0</v>
      </c>
      <c r="P59" s="17" t="n">
        <f aca="false">IF(B59="","",N(J59)*Parametros!$B$27)</f>
        <v>0</v>
      </c>
      <c r="Q59" s="17" t="n">
        <f aca="false">IF(B59="","",IFERROR(INDEX(Confeccion!$B$5:$B$100,MATCH(K59,Confeccion!$A$5:$A$100,0)),0))</f>
        <v>0</v>
      </c>
      <c r="R59" s="17" t="n">
        <f aca="false">IF(B59="","",N(L59))</f>
        <v>0</v>
      </c>
      <c r="S59" s="18" t="str">
        <f aca="false">IF(B59="","",IF(AND(F59&lt;&gt;"",ISNUMBER(G59),ISNUMBER(IFERROR(INDEX(Precios!$D$5:$D$120,MATCH(F59,Precios!$A$5:$A$120,0)),"x")),OR(H59="",ISNUMBER(IFERROR(INDEX(Precios!$D$5:$D$120,MATCH(H59,Precios!$A$5:$A$120,0)),"x"))),J59&lt;&gt;"",K59&lt;&gt;"",Q59&gt;0),SUM(O59:R59),""))</f>
        <v/>
      </c>
      <c r="T59" s="17" t="str">
        <f aca="false">IF(AND(S59&lt;&gt;"",ISNUMBER(E59)),E59*Parametros!$B$12,"")</f>
        <v/>
      </c>
      <c r="U59" s="17" t="str">
        <f aca="false">IF(AND(S59&lt;&gt;"",ISNUMBER(E59)),E59*Parametros!$B$13,"")</f>
        <v/>
      </c>
      <c r="V59" s="18" t="str">
        <f aca="false">IF(AND(S59&lt;&gt;"",ISNUMBER(E59)),E59-S59-T59-U59,"")</f>
        <v/>
      </c>
      <c r="W59" s="19" t="str">
        <f aca="false">IF(AND(S59&lt;&gt;"",ISNUMBER(E59)),V59/E59,"")</f>
        <v/>
      </c>
      <c r="X59" s="17" t="str">
        <f aca="false">IF(OR(S59="",Parametros!$B$14&gt;=1),"",S59/(1-Parametros!$B$14))</f>
        <v/>
      </c>
      <c r="Y59" s="17" t="str">
        <f aca="false">IF(OR(S59="",Parametros!$B$14+Parametros!$B$18&gt;=1),"",S59/(1-Parametros!$B$14-Parametros!$B$18))</f>
        <v/>
      </c>
      <c r="Z59" s="20" t="str">
        <f aca="false">IF(B59="","",IF(S59="","FALTAN DATOS",IF(NOT(ISNUMBER(E59)),"FALTA PRECIO",IF(V59&lt;0,"PIERDE",IF(W59&lt;Parametros!$B$18,"BAJO META","OK")))))</f>
        <v>FALTAN DATOS</v>
      </c>
      <c r="AA59" s="21" t="str">
        <f aca="false">IF(B59="","",IF(F59="","Tela. ","")&amp;IF(NOT(ISNUMBER(G59)),"Kg de tela. ","")&amp;IF(AND(F59&lt;&gt;"",NOT(ISNUMBER(IFERROR(INDEX(Precios!$D$5:$D$120,MATCH(F59,Precios!$A$5:$A$120,0)),"x")))),"Tela sin precio. ","")&amp;IF(AND(H59&lt;&gt;"",NOT(ISNUMBER(IFERROR(INDEX(Precios!$D$5:$D$120,MATCH(H59,Precios!$A$5:$A$120,0)),"x")))),"Tela 2 sin precio. ","")&amp;IF(J59="","Metros impresos. ","")&amp;IF(AND(N(J59)&gt;0,Parametros!$B$27=0),"Impresión sin costo. ","")&amp;IF(K59="","Confección. ",IF(Q59=0,"Confección sin valor. ",""))&amp;IF(NOT(ISNUMBER(E59)),"Precio de venta. ",""))</f>
        <v>Tela. Kg de tela. Metros impresos. Confección. </v>
      </c>
    </row>
    <row r="60" customFormat="false" ht="15" hidden="false" customHeight="false" outlineLevel="0" collapsed="false">
      <c r="A60" s="11" t="s">
        <v>208</v>
      </c>
      <c r="B60" s="11" t="s">
        <v>209</v>
      </c>
      <c r="C60" s="11" t="s">
        <v>89</v>
      </c>
      <c r="D60" s="11" t="n">
        <v>13</v>
      </c>
      <c r="E60" s="12" t="n">
        <v>17563</v>
      </c>
      <c r="F60" s="13"/>
      <c r="G60" s="14"/>
      <c r="H60" s="13"/>
      <c r="I60" s="14"/>
      <c r="J60" s="15"/>
      <c r="K60" s="13"/>
      <c r="L60" s="12"/>
      <c r="M60" s="13" t="s">
        <v>68</v>
      </c>
      <c r="N60" s="16"/>
      <c r="O60" s="17" t="n">
        <f aca="false">IF(B60="","",IFERROR(G60*INDEX(Precios!$D$5:$D$120,MATCH(F60,Precios!$A$5:$A$120,0)),0)+IF(H60="",0,IFERROR(I60*INDEX(Precios!$D$5:$D$120,MATCH(H60,Precios!$A$5:$A$120,0)),0)))</f>
        <v>0</v>
      </c>
      <c r="P60" s="17" t="n">
        <f aca="false">IF(B60="","",N(J60)*Parametros!$B$27)</f>
        <v>0</v>
      </c>
      <c r="Q60" s="17" t="n">
        <f aca="false">IF(B60="","",IFERROR(INDEX(Confeccion!$B$5:$B$100,MATCH(K60,Confeccion!$A$5:$A$100,0)),0))</f>
        <v>0</v>
      </c>
      <c r="R60" s="17" t="n">
        <f aca="false">IF(B60="","",N(L60))</f>
        <v>0</v>
      </c>
      <c r="S60" s="18" t="str">
        <f aca="false">IF(B60="","",IF(AND(F60&lt;&gt;"",ISNUMBER(G60),ISNUMBER(IFERROR(INDEX(Precios!$D$5:$D$120,MATCH(F60,Precios!$A$5:$A$120,0)),"x")),OR(H60="",ISNUMBER(IFERROR(INDEX(Precios!$D$5:$D$120,MATCH(H60,Precios!$A$5:$A$120,0)),"x"))),J60&lt;&gt;"",K60&lt;&gt;"",Q60&gt;0),SUM(O60:R60),""))</f>
        <v/>
      </c>
      <c r="T60" s="17" t="str">
        <f aca="false">IF(AND(S60&lt;&gt;"",ISNUMBER(E60)),E60*Parametros!$B$12,"")</f>
        <v/>
      </c>
      <c r="U60" s="17" t="str">
        <f aca="false">IF(AND(S60&lt;&gt;"",ISNUMBER(E60)),E60*Parametros!$B$13,"")</f>
        <v/>
      </c>
      <c r="V60" s="18" t="str">
        <f aca="false">IF(AND(S60&lt;&gt;"",ISNUMBER(E60)),E60-S60-T60-U60,"")</f>
        <v/>
      </c>
      <c r="W60" s="19" t="str">
        <f aca="false">IF(AND(S60&lt;&gt;"",ISNUMBER(E60)),V60/E60,"")</f>
        <v/>
      </c>
      <c r="X60" s="17" t="str">
        <f aca="false">IF(OR(S60="",Parametros!$B$14&gt;=1),"",S60/(1-Parametros!$B$14))</f>
        <v/>
      </c>
      <c r="Y60" s="17" t="str">
        <f aca="false">IF(OR(S60="",Parametros!$B$14+Parametros!$B$18&gt;=1),"",S60/(1-Parametros!$B$14-Parametros!$B$18))</f>
        <v/>
      </c>
      <c r="Z60" s="20" t="str">
        <f aca="false">IF(B60="","",IF(S60="","FALTAN DATOS",IF(NOT(ISNUMBER(E60)),"FALTA PRECIO",IF(V60&lt;0,"PIERDE",IF(W60&lt;Parametros!$B$18,"BAJO META","OK")))))</f>
        <v>FALTAN DATOS</v>
      </c>
      <c r="AA60" s="21" t="str">
        <f aca="false">IF(B60="","",IF(F60="","Tela. ","")&amp;IF(NOT(ISNUMBER(G60)),"Kg de tela. ","")&amp;IF(AND(F60&lt;&gt;"",NOT(ISNUMBER(IFERROR(INDEX(Precios!$D$5:$D$120,MATCH(F60,Precios!$A$5:$A$120,0)),"x")))),"Tela sin precio. ","")&amp;IF(AND(H60&lt;&gt;"",NOT(ISNUMBER(IFERROR(INDEX(Precios!$D$5:$D$120,MATCH(H60,Precios!$A$5:$A$120,0)),"x")))),"Tela 2 sin precio. ","")&amp;IF(J60="","Metros impresos. ","")&amp;IF(AND(N(J60)&gt;0,Parametros!$B$27=0),"Impresión sin costo. ","")&amp;IF(K60="","Confección. ",IF(Q60=0,"Confección sin valor. ",""))&amp;IF(NOT(ISNUMBER(E60)),"Precio de venta. ",""))</f>
        <v>Tela. Kg de tela. Metros impresos. Confección. </v>
      </c>
    </row>
    <row r="61" customFormat="false" ht="15" hidden="false" customHeight="false" outlineLevel="0" collapsed="false">
      <c r="A61" s="11" t="s">
        <v>210</v>
      </c>
      <c r="B61" s="11" t="s">
        <v>211</v>
      </c>
      <c r="C61" s="11" t="s">
        <v>65</v>
      </c>
      <c r="D61" s="11" t="n">
        <v>12</v>
      </c>
      <c r="E61" s="12" t="n">
        <v>16554</v>
      </c>
      <c r="F61" s="13"/>
      <c r="G61" s="14"/>
      <c r="H61" s="13"/>
      <c r="I61" s="14"/>
      <c r="J61" s="15"/>
      <c r="K61" s="13" t="s">
        <v>80</v>
      </c>
      <c r="L61" s="12"/>
      <c r="M61" s="13" t="s">
        <v>68</v>
      </c>
      <c r="N61" s="16" t="s">
        <v>81</v>
      </c>
      <c r="O61" s="17" t="n">
        <f aca="false">IF(B61="","",IFERROR(G61*INDEX(Precios!$D$5:$D$120,MATCH(F61,Precios!$A$5:$A$120,0)),0)+IF(H61="",0,IFERROR(I61*INDEX(Precios!$D$5:$D$120,MATCH(H61,Precios!$A$5:$A$120,0)),0)))</f>
        <v>0</v>
      </c>
      <c r="P61" s="17" t="n">
        <f aca="false">IF(B61="","",N(J61)*Parametros!$B$27)</f>
        <v>0</v>
      </c>
      <c r="Q61" s="17" t="n">
        <f aca="false">IF(B61="","",IFERROR(INDEX(Confeccion!$B$5:$B$100,MATCH(K61,Confeccion!$A$5:$A$100,0)),0))</f>
        <v>1700</v>
      </c>
      <c r="R61" s="17" t="n">
        <f aca="false">IF(B61="","",N(L61))</f>
        <v>0</v>
      </c>
      <c r="S61" s="18" t="str">
        <f aca="false">IF(B61="","",IF(AND(F61&lt;&gt;"",ISNUMBER(G61),ISNUMBER(IFERROR(INDEX(Precios!$D$5:$D$120,MATCH(F61,Precios!$A$5:$A$120,0)),"x")),OR(H61="",ISNUMBER(IFERROR(INDEX(Precios!$D$5:$D$120,MATCH(H61,Precios!$A$5:$A$120,0)),"x"))),J61&lt;&gt;"",K61&lt;&gt;"",Q61&gt;0),SUM(O61:R61),""))</f>
        <v/>
      </c>
      <c r="T61" s="17" t="str">
        <f aca="false">IF(AND(S61&lt;&gt;"",ISNUMBER(E61)),E61*Parametros!$B$12,"")</f>
        <v/>
      </c>
      <c r="U61" s="17" t="str">
        <f aca="false">IF(AND(S61&lt;&gt;"",ISNUMBER(E61)),E61*Parametros!$B$13,"")</f>
        <v/>
      </c>
      <c r="V61" s="18" t="str">
        <f aca="false">IF(AND(S61&lt;&gt;"",ISNUMBER(E61)),E61-S61-T61-U61,"")</f>
        <v/>
      </c>
      <c r="W61" s="19" t="str">
        <f aca="false">IF(AND(S61&lt;&gt;"",ISNUMBER(E61)),V61/E61,"")</f>
        <v/>
      </c>
      <c r="X61" s="17" t="str">
        <f aca="false">IF(OR(S61="",Parametros!$B$14&gt;=1),"",S61/(1-Parametros!$B$14))</f>
        <v/>
      </c>
      <c r="Y61" s="17" t="str">
        <f aca="false">IF(OR(S61="",Parametros!$B$14+Parametros!$B$18&gt;=1),"",S61/(1-Parametros!$B$14-Parametros!$B$18))</f>
        <v/>
      </c>
      <c r="Z61" s="20" t="str">
        <f aca="false">IF(B61="","",IF(S61="","FALTAN DATOS",IF(NOT(ISNUMBER(E61)),"FALTA PRECIO",IF(V61&lt;0,"PIERDE",IF(W61&lt;Parametros!$B$18,"BAJO META","OK")))))</f>
        <v>FALTAN DATOS</v>
      </c>
      <c r="AA61" s="21" t="str">
        <f aca="false">IF(B61="","",IF(F61="","Tela. ","")&amp;IF(NOT(ISNUMBER(G61)),"Kg de tela. ","")&amp;IF(AND(F61&lt;&gt;"",NOT(ISNUMBER(IFERROR(INDEX(Precios!$D$5:$D$120,MATCH(F61,Precios!$A$5:$A$120,0)),"x")))),"Tela sin precio. ","")&amp;IF(AND(H61&lt;&gt;"",NOT(ISNUMBER(IFERROR(INDEX(Precios!$D$5:$D$120,MATCH(H61,Precios!$A$5:$A$120,0)),"x")))),"Tela 2 sin precio. ","")&amp;IF(J61="","Metros impresos. ","")&amp;IF(AND(N(J61)&gt;0,Parametros!$B$27=0),"Impresión sin costo. ","")&amp;IF(K61="","Confección. ",IF(Q61=0,"Confección sin valor. ",""))&amp;IF(NOT(ISNUMBER(E61)),"Precio de venta. ",""))</f>
        <v>Tela. Kg de tela. Metros impresos. </v>
      </c>
    </row>
    <row r="62" customFormat="false" ht="15" hidden="false" customHeight="false" outlineLevel="0" collapsed="false">
      <c r="A62" s="11" t="s">
        <v>212</v>
      </c>
      <c r="B62" s="11" t="s">
        <v>213</v>
      </c>
      <c r="C62" s="11" t="s">
        <v>89</v>
      </c>
      <c r="D62" s="11" t="n">
        <v>12</v>
      </c>
      <c r="E62" s="12" t="n">
        <v>30168</v>
      </c>
      <c r="F62" s="13"/>
      <c r="G62" s="14"/>
      <c r="H62" s="13"/>
      <c r="I62" s="14"/>
      <c r="J62" s="15"/>
      <c r="K62" s="13"/>
      <c r="L62" s="12"/>
      <c r="M62" s="13" t="s">
        <v>68</v>
      </c>
      <c r="N62" s="16"/>
      <c r="O62" s="17" t="n">
        <f aca="false">IF(B62="","",IFERROR(G62*INDEX(Precios!$D$5:$D$120,MATCH(F62,Precios!$A$5:$A$120,0)),0)+IF(H62="",0,IFERROR(I62*INDEX(Precios!$D$5:$D$120,MATCH(H62,Precios!$A$5:$A$120,0)),0)))</f>
        <v>0</v>
      </c>
      <c r="P62" s="17" t="n">
        <f aca="false">IF(B62="","",N(J62)*Parametros!$B$27)</f>
        <v>0</v>
      </c>
      <c r="Q62" s="17" t="n">
        <f aca="false">IF(B62="","",IFERROR(INDEX(Confeccion!$B$5:$B$100,MATCH(K62,Confeccion!$A$5:$A$100,0)),0))</f>
        <v>0</v>
      </c>
      <c r="R62" s="17" t="n">
        <f aca="false">IF(B62="","",N(L62))</f>
        <v>0</v>
      </c>
      <c r="S62" s="18" t="str">
        <f aca="false">IF(B62="","",IF(AND(F62&lt;&gt;"",ISNUMBER(G62),ISNUMBER(IFERROR(INDEX(Precios!$D$5:$D$120,MATCH(F62,Precios!$A$5:$A$120,0)),"x")),OR(H62="",ISNUMBER(IFERROR(INDEX(Precios!$D$5:$D$120,MATCH(H62,Precios!$A$5:$A$120,0)),"x"))),J62&lt;&gt;"",K62&lt;&gt;"",Q62&gt;0),SUM(O62:R62),""))</f>
        <v/>
      </c>
      <c r="T62" s="17" t="str">
        <f aca="false">IF(AND(S62&lt;&gt;"",ISNUMBER(E62)),E62*Parametros!$B$12,"")</f>
        <v/>
      </c>
      <c r="U62" s="17" t="str">
        <f aca="false">IF(AND(S62&lt;&gt;"",ISNUMBER(E62)),E62*Parametros!$B$13,"")</f>
        <v/>
      </c>
      <c r="V62" s="18" t="str">
        <f aca="false">IF(AND(S62&lt;&gt;"",ISNUMBER(E62)),E62-S62-T62-U62,"")</f>
        <v/>
      </c>
      <c r="W62" s="19" t="str">
        <f aca="false">IF(AND(S62&lt;&gt;"",ISNUMBER(E62)),V62/E62,"")</f>
        <v/>
      </c>
      <c r="X62" s="17" t="str">
        <f aca="false">IF(OR(S62="",Parametros!$B$14&gt;=1),"",S62/(1-Parametros!$B$14))</f>
        <v/>
      </c>
      <c r="Y62" s="17" t="str">
        <f aca="false">IF(OR(S62="",Parametros!$B$14+Parametros!$B$18&gt;=1),"",S62/(1-Parametros!$B$14-Parametros!$B$18))</f>
        <v/>
      </c>
      <c r="Z62" s="20" t="str">
        <f aca="false">IF(B62="","",IF(S62="","FALTAN DATOS",IF(NOT(ISNUMBER(E62)),"FALTA PRECIO",IF(V62&lt;0,"PIERDE",IF(W62&lt;Parametros!$B$18,"BAJO META","OK")))))</f>
        <v>FALTAN DATOS</v>
      </c>
      <c r="AA62" s="21" t="str">
        <f aca="false">IF(B62="","",IF(F62="","Tela. ","")&amp;IF(NOT(ISNUMBER(G62)),"Kg de tela. ","")&amp;IF(AND(F62&lt;&gt;"",NOT(ISNUMBER(IFERROR(INDEX(Precios!$D$5:$D$120,MATCH(F62,Precios!$A$5:$A$120,0)),"x")))),"Tela sin precio. ","")&amp;IF(AND(H62&lt;&gt;"",NOT(ISNUMBER(IFERROR(INDEX(Precios!$D$5:$D$120,MATCH(H62,Precios!$A$5:$A$120,0)),"x")))),"Tela 2 sin precio. ","")&amp;IF(J62="","Metros impresos. ","")&amp;IF(AND(N(J62)&gt;0,Parametros!$B$27=0),"Impresión sin costo. ","")&amp;IF(K62="","Confección. ",IF(Q62=0,"Confección sin valor. ",""))&amp;IF(NOT(ISNUMBER(E62)),"Precio de venta. ",""))</f>
        <v>Tela. Kg de tela. Metros impresos. Confección. </v>
      </c>
    </row>
    <row r="63" customFormat="false" ht="15" hidden="false" customHeight="false" outlineLevel="0" collapsed="false">
      <c r="A63" s="11" t="s">
        <v>214</v>
      </c>
      <c r="B63" s="11" t="s">
        <v>215</v>
      </c>
      <c r="C63" s="11" t="s">
        <v>65</v>
      </c>
      <c r="D63" s="11" t="n">
        <v>12</v>
      </c>
      <c r="E63" s="12" t="n">
        <v>17563</v>
      </c>
      <c r="F63" s="13"/>
      <c r="G63" s="14"/>
      <c r="H63" s="13"/>
      <c r="I63" s="14"/>
      <c r="J63" s="15"/>
      <c r="K63" s="13"/>
      <c r="L63" s="12"/>
      <c r="M63" s="13" t="s">
        <v>68</v>
      </c>
      <c r="N63" s="16"/>
      <c r="O63" s="17" t="n">
        <f aca="false">IF(B63="","",IFERROR(G63*INDEX(Precios!$D$5:$D$120,MATCH(F63,Precios!$A$5:$A$120,0)),0)+IF(H63="",0,IFERROR(I63*INDEX(Precios!$D$5:$D$120,MATCH(H63,Precios!$A$5:$A$120,0)),0)))</f>
        <v>0</v>
      </c>
      <c r="P63" s="17" t="n">
        <f aca="false">IF(B63="","",N(J63)*Parametros!$B$27)</f>
        <v>0</v>
      </c>
      <c r="Q63" s="17" t="n">
        <f aca="false">IF(B63="","",IFERROR(INDEX(Confeccion!$B$5:$B$100,MATCH(K63,Confeccion!$A$5:$A$100,0)),0))</f>
        <v>0</v>
      </c>
      <c r="R63" s="17" t="n">
        <f aca="false">IF(B63="","",N(L63))</f>
        <v>0</v>
      </c>
      <c r="S63" s="18" t="str">
        <f aca="false">IF(B63="","",IF(AND(F63&lt;&gt;"",ISNUMBER(G63),ISNUMBER(IFERROR(INDEX(Precios!$D$5:$D$120,MATCH(F63,Precios!$A$5:$A$120,0)),"x")),OR(H63="",ISNUMBER(IFERROR(INDEX(Precios!$D$5:$D$120,MATCH(H63,Precios!$A$5:$A$120,0)),"x"))),J63&lt;&gt;"",K63&lt;&gt;"",Q63&gt;0),SUM(O63:R63),""))</f>
        <v/>
      </c>
      <c r="T63" s="17" t="str">
        <f aca="false">IF(AND(S63&lt;&gt;"",ISNUMBER(E63)),E63*Parametros!$B$12,"")</f>
        <v/>
      </c>
      <c r="U63" s="17" t="str">
        <f aca="false">IF(AND(S63&lt;&gt;"",ISNUMBER(E63)),E63*Parametros!$B$13,"")</f>
        <v/>
      </c>
      <c r="V63" s="18" t="str">
        <f aca="false">IF(AND(S63&lt;&gt;"",ISNUMBER(E63)),E63-S63-T63-U63,"")</f>
        <v/>
      </c>
      <c r="W63" s="19" t="str">
        <f aca="false">IF(AND(S63&lt;&gt;"",ISNUMBER(E63)),V63/E63,"")</f>
        <v/>
      </c>
      <c r="X63" s="17" t="str">
        <f aca="false">IF(OR(S63="",Parametros!$B$14&gt;=1),"",S63/(1-Parametros!$B$14))</f>
        <v/>
      </c>
      <c r="Y63" s="17" t="str">
        <f aca="false">IF(OR(S63="",Parametros!$B$14+Parametros!$B$18&gt;=1),"",S63/(1-Parametros!$B$14-Parametros!$B$18))</f>
        <v/>
      </c>
      <c r="Z63" s="20" t="str">
        <f aca="false">IF(B63="","",IF(S63="","FALTAN DATOS",IF(NOT(ISNUMBER(E63)),"FALTA PRECIO",IF(V63&lt;0,"PIERDE",IF(W63&lt;Parametros!$B$18,"BAJO META","OK")))))</f>
        <v>FALTAN DATOS</v>
      </c>
      <c r="AA63" s="21" t="str">
        <f aca="false">IF(B63="","",IF(F63="","Tela. ","")&amp;IF(NOT(ISNUMBER(G63)),"Kg de tela. ","")&amp;IF(AND(F63&lt;&gt;"",NOT(ISNUMBER(IFERROR(INDEX(Precios!$D$5:$D$120,MATCH(F63,Precios!$A$5:$A$120,0)),"x")))),"Tela sin precio. ","")&amp;IF(AND(H63&lt;&gt;"",NOT(ISNUMBER(IFERROR(INDEX(Precios!$D$5:$D$120,MATCH(H63,Precios!$A$5:$A$120,0)),"x")))),"Tela 2 sin precio. ","")&amp;IF(J63="","Metros impresos. ","")&amp;IF(AND(N(J63)&gt;0,Parametros!$B$27=0),"Impresión sin costo. ","")&amp;IF(K63="","Confección. ",IF(Q63=0,"Confección sin valor. ",""))&amp;IF(NOT(ISNUMBER(E63)),"Precio de venta. ",""))</f>
        <v>Tela. Kg de tela. Metros impresos. Confección. </v>
      </c>
    </row>
    <row r="64" customFormat="false" ht="15" hidden="false" customHeight="false" outlineLevel="0" collapsed="false">
      <c r="A64" s="11" t="s">
        <v>216</v>
      </c>
      <c r="B64" s="11" t="s">
        <v>217</v>
      </c>
      <c r="C64" s="11" t="s">
        <v>65</v>
      </c>
      <c r="D64" s="11" t="n">
        <v>12</v>
      </c>
      <c r="E64" s="12" t="n">
        <v>19244</v>
      </c>
      <c r="F64" s="13"/>
      <c r="G64" s="14"/>
      <c r="H64" s="13"/>
      <c r="I64" s="14"/>
      <c r="J64" s="15"/>
      <c r="K64" s="13"/>
      <c r="L64" s="12"/>
      <c r="M64" s="13" t="s">
        <v>68</v>
      </c>
      <c r="N64" s="16"/>
      <c r="O64" s="17" t="n">
        <f aca="false">IF(B64="","",IFERROR(G64*INDEX(Precios!$D$5:$D$120,MATCH(F64,Precios!$A$5:$A$120,0)),0)+IF(H64="",0,IFERROR(I64*INDEX(Precios!$D$5:$D$120,MATCH(H64,Precios!$A$5:$A$120,0)),0)))</f>
        <v>0</v>
      </c>
      <c r="P64" s="17" t="n">
        <f aca="false">IF(B64="","",N(J64)*Parametros!$B$27)</f>
        <v>0</v>
      </c>
      <c r="Q64" s="17" t="n">
        <f aca="false">IF(B64="","",IFERROR(INDEX(Confeccion!$B$5:$B$100,MATCH(K64,Confeccion!$A$5:$A$100,0)),0))</f>
        <v>0</v>
      </c>
      <c r="R64" s="17" t="n">
        <f aca="false">IF(B64="","",N(L64))</f>
        <v>0</v>
      </c>
      <c r="S64" s="18" t="str">
        <f aca="false">IF(B64="","",IF(AND(F64&lt;&gt;"",ISNUMBER(G64),ISNUMBER(IFERROR(INDEX(Precios!$D$5:$D$120,MATCH(F64,Precios!$A$5:$A$120,0)),"x")),OR(H64="",ISNUMBER(IFERROR(INDEX(Precios!$D$5:$D$120,MATCH(H64,Precios!$A$5:$A$120,0)),"x"))),J64&lt;&gt;"",K64&lt;&gt;"",Q64&gt;0),SUM(O64:R64),""))</f>
        <v/>
      </c>
      <c r="T64" s="17" t="str">
        <f aca="false">IF(AND(S64&lt;&gt;"",ISNUMBER(E64)),E64*Parametros!$B$12,"")</f>
        <v/>
      </c>
      <c r="U64" s="17" t="str">
        <f aca="false">IF(AND(S64&lt;&gt;"",ISNUMBER(E64)),E64*Parametros!$B$13,"")</f>
        <v/>
      </c>
      <c r="V64" s="18" t="str">
        <f aca="false">IF(AND(S64&lt;&gt;"",ISNUMBER(E64)),E64-S64-T64-U64,"")</f>
        <v/>
      </c>
      <c r="W64" s="19" t="str">
        <f aca="false">IF(AND(S64&lt;&gt;"",ISNUMBER(E64)),V64/E64,"")</f>
        <v/>
      </c>
      <c r="X64" s="17" t="str">
        <f aca="false">IF(OR(S64="",Parametros!$B$14&gt;=1),"",S64/(1-Parametros!$B$14))</f>
        <v/>
      </c>
      <c r="Y64" s="17" t="str">
        <f aca="false">IF(OR(S64="",Parametros!$B$14+Parametros!$B$18&gt;=1),"",S64/(1-Parametros!$B$14-Parametros!$B$18))</f>
        <v/>
      </c>
      <c r="Z64" s="20" t="str">
        <f aca="false">IF(B64="","",IF(S64="","FALTAN DATOS",IF(NOT(ISNUMBER(E64)),"FALTA PRECIO",IF(V64&lt;0,"PIERDE",IF(W64&lt;Parametros!$B$18,"BAJO META","OK")))))</f>
        <v>FALTAN DATOS</v>
      </c>
      <c r="AA64" s="21" t="str">
        <f aca="false">IF(B64="","",IF(F64="","Tela. ","")&amp;IF(NOT(ISNUMBER(G64)),"Kg de tela. ","")&amp;IF(AND(F64&lt;&gt;"",NOT(ISNUMBER(IFERROR(INDEX(Precios!$D$5:$D$120,MATCH(F64,Precios!$A$5:$A$120,0)),"x")))),"Tela sin precio. ","")&amp;IF(AND(H64&lt;&gt;"",NOT(ISNUMBER(IFERROR(INDEX(Precios!$D$5:$D$120,MATCH(H64,Precios!$A$5:$A$120,0)),"x")))),"Tela 2 sin precio. ","")&amp;IF(J64="","Metros impresos. ","")&amp;IF(AND(N(J64)&gt;0,Parametros!$B$27=0),"Impresión sin costo. ","")&amp;IF(K64="","Confección. ",IF(Q64=0,"Confección sin valor. ",""))&amp;IF(NOT(ISNUMBER(E64)),"Precio de venta. ",""))</f>
        <v>Tela. Kg de tela. Metros impresos. Confección. </v>
      </c>
    </row>
    <row r="65" customFormat="false" ht="15" hidden="false" customHeight="false" outlineLevel="0" collapsed="false">
      <c r="A65" s="11" t="s">
        <v>218</v>
      </c>
      <c r="B65" s="11" t="s">
        <v>219</v>
      </c>
      <c r="C65" s="11" t="s">
        <v>89</v>
      </c>
      <c r="D65" s="11" t="n">
        <v>11</v>
      </c>
      <c r="E65" s="12" t="n">
        <v>20084</v>
      </c>
      <c r="F65" s="13"/>
      <c r="G65" s="14"/>
      <c r="H65" s="13"/>
      <c r="I65" s="14"/>
      <c r="J65" s="15"/>
      <c r="K65" s="13"/>
      <c r="L65" s="12"/>
      <c r="M65" s="13" t="s">
        <v>68</v>
      </c>
      <c r="N65" s="16"/>
      <c r="O65" s="17" t="n">
        <f aca="false">IF(B65="","",IFERROR(G65*INDEX(Precios!$D$5:$D$120,MATCH(F65,Precios!$A$5:$A$120,0)),0)+IF(H65="",0,IFERROR(I65*INDEX(Precios!$D$5:$D$120,MATCH(H65,Precios!$A$5:$A$120,0)),0)))</f>
        <v>0</v>
      </c>
      <c r="P65" s="17" t="n">
        <f aca="false">IF(B65="","",N(J65)*Parametros!$B$27)</f>
        <v>0</v>
      </c>
      <c r="Q65" s="17" t="n">
        <f aca="false">IF(B65="","",IFERROR(INDEX(Confeccion!$B$5:$B$100,MATCH(K65,Confeccion!$A$5:$A$100,0)),0))</f>
        <v>0</v>
      </c>
      <c r="R65" s="17" t="n">
        <f aca="false">IF(B65="","",N(L65))</f>
        <v>0</v>
      </c>
      <c r="S65" s="18" t="str">
        <f aca="false">IF(B65="","",IF(AND(F65&lt;&gt;"",ISNUMBER(G65),ISNUMBER(IFERROR(INDEX(Precios!$D$5:$D$120,MATCH(F65,Precios!$A$5:$A$120,0)),"x")),OR(H65="",ISNUMBER(IFERROR(INDEX(Precios!$D$5:$D$120,MATCH(H65,Precios!$A$5:$A$120,0)),"x"))),J65&lt;&gt;"",K65&lt;&gt;"",Q65&gt;0),SUM(O65:R65),""))</f>
        <v/>
      </c>
      <c r="T65" s="17" t="str">
        <f aca="false">IF(AND(S65&lt;&gt;"",ISNUMBER(E65)),E65*Parametros!$B$12,"")</f>
        <v/>
      </c>
      <c r="U65" s="17" t="str">
        <f aca="false">IF(AND(S65&lt;&gt;"",ISNUMBER(E65)),E65*Parametros!$B$13,"")</f>
        <v/>
      </c>
      <c r="V65" s="18" t="str">
        <f aca="false">IF(AND(S65&lt;&gt;"",ISNUMBER(E65)),E65-S65-T65-U65,"")</f>
        <v/>
      </c>
      <c r="W65" s="19" t="str">
        <f aca="false">IF(AND(S65&lt;&gt;"",ISNUMBER(E65)),V65/E65,"")</f>
        <v/>
      </c>
      <c r="X65" s="17" t="str">
        <f aca="false">IF(OR(S65="",Parametros!$B$14&gt;=1),"",S65/(1-Parametros!$B$14))</f>
        <v/>
      </c>
      <c r="Y65" s="17" t="str">
        <f aca="false">IF(OR(S65="",Parametros!$B$14+Parametros!$B$18&gt;=1),"",S65/(1-Parametros!$B$14-Parametros!$B$18))</f>
        <v/>
      </c>
      <c r="Z65" s="20" t="str">
        <f aca="false">IF(B65="","",IF(S65="","FALTAN DATOS",IF(NOT(ISNUMBER(E65)),"FALTA PRECIO",IF(V65&lt;0,"PIERDE",IF(W65&lt;Parametros!$B$18,"BAJO META","OK")))))</f>
        <v>FALTAN DATOS</v>
      </c>
      <c r="AA65" s="21" t="str">
        <f aca="false">IF(B65="","",IF(F65="","Tela. ","")&amp;IF(NOT(ISNUMBER(G65)),"Kg de tela. ","")&amp;IF(AND(F65&lt;&gt;"",NOT(ISNUMBER(IFERROR(INDEX(Precios!$D$5:$D$120,MATCH(F65,Precios!$A$5:$A$120,0)),"x")))),"Tela sin precio. ","")&amp;IF(AND(H65&lt;&gt;"",NOT(ISNUMBER(IFERROR(INDEX(Precios!$D$5:$D$120,MATCH(H65,Precios!$A$5:$A$120,0)),"x")))),"Tela 2 sin precio. ","")&amp;IF(J65="","Metros impresos. ","")&amp;IF(AND(N(J65)&gt;0,Parametros!$B$27=0),"Impresión sin costo. ","")&amp;IF(K65="","Confección. ",IF(Q65=0,"Confección sin valor. ",""))&amp;IF(NOT(ISNUMBER(E65)),"Precio de venta. ",""))</f>
        <v>Tela. Kg de tela. Metros impresos. Confección. </v>
      </c>
    </row>
    <row r="66" customFormat="false" ht="15" hidden="false" customHeight="false" outlineLevel="0" collapsed="false">
      <c r="A66" s="11" t="s">
        <v>220</v>
      </c>
      <c r="B66" s="11" t="s">
        <v>221</v>
      </c>
      <c r="C66" s="11" t="s">
        <v>65</v>
      </c>
      <c r="D66" s="11" t="n">
        <v>9</v>
      </c>
      <c r="E66" s="12" t="n">
        <v>17143</v>
      </c>
      <c r="F66" s="13"/>
      <c r="G66" s="14"/>
      <c r="H66" s="13"/>
      <c r="I66" s="14"/>
      <c r="J66" s="15"/>
      <c r="K66" s="13" t="s">
        <v>80</v>
      </c>
      <c r="L66" s="12"/>
      <c r="M66" s="13" t="s">
        <v>68</v>
      </c>
      <c r="N66" s="16" t="s">
        <v>81</v>
      </c>
      <c r="O66" s="17" t="n">
        <f aca="false">IF(B66="","",IFERROR(G66*INDEX(Precios!$D$5:$D$120,MATCH(F66,Precios!$A$5:$A$120,0)),0)+IF(H66="",0,IFERROR(I66*INDEX(Precios!$D$5:$D$120,MATCH(H66,Precios!$A$5:$A$120,0)),0)))</f>
        <v>0</v>
      </c>
      <c r="P66" s="17" t="n">
        <f aca="false">IF(B66="","",N(J66)*Parametros!$B$27)</f>
        <v>0</v>
      </c>
      <c r="Q66" s="17" t="n">
        <f aca="false">IF(B66="","",IFERROR(INDEX(Confeccion!$B$5:$B$100,MATCH(K66,Confeccion!$A$5:$A$100,0)),0))</f>
        <v>1700</v>
      </c>
      <c r="R66" s="17" t="n">
        <f aca="false">IF(B66="","",N(L66))</f>
        <v>0</v>
      </c>
      <c r="S66" s="18" t="str">
        <f aca="false">IF(B66="","",IF(AND(F66&lt;&gt;"",ISNUMBER(G66),ISNUMBER(IFERROR(INDEX(Precios!$D$5:$D$120,MATCH(F66,Precios!$A$5:$A$120,0)),"x")),OR(H66="",ISNUMBER(IFERROR(INDEX(Precios!$D$5:$D$120,MATCH(H66,Precios!$A$5:$A$120,0)),"x"))),J66&lt;&gt;"",K66&lt;&gt;"",Q66&gt;0),SUM(O66:R66),""))</f>
        <v/>
      </c>
      <c r="T66" s="17" t="str">
        <f aca="false">IF(AND(S66&lt;&gt;"",ISNUMBER(E66)),E66*Parametros!$B$12,"")</f>
        <v/>
      </c>
      <c r="U66" s="17" t="str">
        <f aca="false">IF(AND(S66&lt;&gt;"",ISNUMBER(E66)),E66*Parametros!$B$13,"")</f>
        <v/>
      </c>
      <c r="V66" s="18" t="str">
        <f aca="false">IF(AND(S66&lt;&gt;"",ISNUMBER(E66)),E66-S66-T66-U66,"")</f>
        <v/>
      </c>
      <c r="W66" s="19" t="str">
        <f aca="false">IF(AND(S66&lt;&gt;"",ISNUMBER(E66)),V66/E66,"")</f>
        <v/>
      </c>
      <c r="X66" s="17" t="str">
        <f aca="false">IF(OR(S66="",Parametros!$B$14&gt;=1),"",S66/(1-Parametros!$B$14))</f>
        <v/>
      </c>
      <c r="Y66" s="17" t="str">
        <f aca="false">IF(OR(S66="",Parametros!$B$14+Parametros!$B$18&gt;=1),"",S66/(1-Parametros!$B$14-Parametros!$B$18))</f>
        <v/>
      </c>
      <c r="Z66" s="20" t="str">
        <f aca="false">IF(B66="","",IF(S66="","FALTAN DATOS",IF(NOT(ISNUMBER(E66)),"FALTA PRECIO",IF(V66&lt;0,"PIERDE",IF(W66&lt;Parametros!$B$18,"BAJO META","OK")))))</f>
        <v>FALTAN DATOS</v>
      </c>
      <c r="AA66" s="21" t="str">
        <f aca="false">IF(B66="","",IF(F66="","Tela. ","")&amp;IF(NOT(ISNUMBER(G66)),"Kg de tela. ","")&amp;IF(AND(F66&lt;&gt;"",NOT(ISNUMBER(IFERROR(INDEX(Precios!$D$5:$D$120,MATCH(F66,Precios!$A$5:$A$120,0)),"x")))),"Tela sin precio. ","")&amp;IF(AND(H66&lt;&gt;"",NOT(ISNUMBER(IFERROR(INDEX(Precios!$D$5:$D$120,MATCH(H66,Precios!$A$5:$A$120,0)),"x")))),"Tela 2 sin precio. ","")&amp;IF(J66="","Metros impresos. ","")&amp;IF(AND(N(J66)&gt;0,Parametros!$B$27=0),"Impresión sin costo. ","")&amp;IF(K66="","Confección. ",IF(Q66=0,"Confección sin valor. ",""))&amp;IF(NOT(ISNUMBER(E66)),"Precio de venta. ",""))</f>
        <v>Tela. Kg de tela. Metros impresos. </v>
      </c>
    </row>
    <row r="67" customFormat="false" ht="15" hidden="false" customHeight="false" outlineLevel="0" collapsed="false">
      <c r="A67" s="11" t="s">
        <v>222</v>
      </c>
      <c r="B67" s="11" t="s">
        <v>223</v>
      </c>
      <c r="C67" s="11" t="s">
        <v>89</v>
      </c>
      <c r="D67" s="11" t="n">
        <v>6</v>
      </c>
      <c r="E67" s="12" t="n">
        <v>32731</v>
      </c>
      <c r="F67" s="13"/>
      <c r="G67" s="14"/>
      <c r="H67" s="13"/>
      <c r="I67" s="14"/>
      <c r="J67" s="15"/>
      <c r="K67" s="13"/>
      <c r="L67" s="12"/>
      <c r="M67" s="13" t="s">
        <v>68</v>
      </c>
      <c r="N67" s="16"/>
      <c r="O67" s="17" t="n">
        <f aca="false">IF(B67="","",IFERROR(G67*INDEX(Precios!$D$5:$D$120,MATCH(F67,Precios!$A$5:$A$120,0)),0)+IF(H67="",0,IFERROR(I67*INDEX(Precios!$D$5:$D$120,MATCH(H67,Precios!$A$5:$A$120,0)),0)))</f>
        <v>0</v>
      </c>
      <c r="P67" s="17" t="n">
        <f aca="false">IF(B67="","",N(J67)*Parametros!$B$27)</f>
        <v>0</v>
      </c>
      <c r="Q67" s="17" t="n">
        <f aca="false">IF(B67="","",IFERROR(INDEX(Confeccion!$B$5:$B$100,MATCH(K67,Confeccion!$A$5:$A$100,0)),0))</f>
        <v>0</v>
      </c>
      <c r="R67" s="17" t="n">
        <f aca="false">IF(B67="","",N(L67))</f>
        <v>0</v>
      </c>
      <c r="S67" s="18" t="str">
        <f aca="false">IF(B67="","",IF(AND(F67&lt;&gt;"",ISNUMBER(G67),ISNUMBER(IFERROR(INDEX(Precios!$D$5:$D$120,MATCH(F67,Precios!$A$5:$A$120,0)),"x")),OR(H67="",ISNUMBER(IFERROR(INDEX(Precios!$D$5:$D$120,MATCH(H67,Precios!$A$5:$A$120,0)),"x"))),J67&lt;&gt;"",K67&lt;&gt;"",Q67&gt;0),SUM(O67:R67),""))</f>
        <v/>
      </c>
      <c r="T67" s="17" t="str">
        <f aca="false">IF(AND(S67&lt;&gt;"",ISNUMBER(E67)),E67*Parametros!$B$12,"")</f>
        <v/>
      </c>
      <c r="U67" s="17" t="str">
        <f aca="false">IF(AND(S67&lt;&gt;"",ISNUMBER(E67)),E67*Parametros!$B$13,"")</f>
        <v/>
      </c>
      <c r="V67" s="18" t="str">
        <f aca="false">IF(AND(S67&lt;&gt;"",ISNUMBER(E67)),E67-S67-T67-U67,"")</f>
        <v/>
      </c>
      <c r="W67" s="19" t="str">
        <f aca="false">IF(AND(S67&lt;&gt;"",ISNUMBER(E67)),V67/E67,"")</f>
        <v/>
      </c>
      <c r="X67" s="17" t="str">
        <f aca="false">IF(OR(S67="",Parametros!$B$14&gt;=1),"",S67/(1-Parametros!$B$14))</f>
        <v/>
      </c>
      <c r="Y67" s="17" t="str">
        <f aca="false">IF(OR(S67="",Parametros!$B$14+Parametros!$B$18&gt;=1),"",S67/(1-Parametros!$B$14-Parametros!$B$18))</f>
        <v/>
      </c>
      <c r="Z67" s="20" t="str">
        <f aca="false">IF(B67="","",IF(S67="","FALTAN DATOS",IF(NOT(ISNUMBER(E67)),"FALTA PRECIO",IF(V67&lt;0,"PIERDE",IF(W67&lt;Parametros!$B$18,"BAJO META","OK")))))</f>
        <v>FALTAN DATOS</v>
      </c>
      <c r="AA67" s="21" t="str">
        <f aca="false">IF(B67="","",IF(F67="","Tela. ","")&amp;IF(NOT(ISNUMBER(G67)),"Kg de tela. ","")&amp;IF(AND(F67&lt;&gt;"",NOT(ISNUMBER(IFERROR(INDEX(Precios!$D$5:$D$120,MATCH(F67,Precios!$A$5:$A$120,0)),"x")))),"Tela sin precio. ","")&amp;IF(AND(H67&lt;&gt;"",NOT(ISNUMBER(IFERROR(INDEX(Precios!$D$5:$D$120,MATCH(H67,Precios!$A$5:$A$120,0)),"x")))),"Tela 2 sin precio. ","")&amp;IF(J67="","Metros impresos. ","")&amp;IF(AND(N(J67)&gt;0,Parametros!$B$27=0),"Impresión sin costo. ","")&amp;IF(K67="","Confección. ",IF(Q67=0,"Confección sin valor. ",""))&amp;IF(NOT(ISNUMBER(E67)),"Precio de venta. ",""))</f>
        <v>Tela. Kg de tela. Metros impresos. Confección. </v>
      </c>
    </row>
    <row r="68" customFormat="false" ht="15" hidden="false" customHeight="false" outlineLevel="0" collapsed="false">
      <c r="A68" s="11" t="s">
        <v>224</v>
      </c>
      <c r="B68" s="11" t="s">
        <v>225</v>
      </c>
      <c r="C68" s="11" t="s">
        <v>65</v>
      </c>
      <c r="D68" s="11" t="n">
        <v>6</v>
      </c>
      <c r="E68" s="12" t="n">
        <v>16723</v>
      </c>
      <c r="F68" s="13"/>
      <c r="G68" s="14"/>
      <c r="H68" s="13"/>
      <c r="I68" s="14"/>
      <c r="J68" s="15"/>
      <c r="K68" s="13"/>
      <c r="L68" s="12"/>
      <c r="M68" s="13" t="s">
        <v>68</v>
      </c>
      <c r="N68" s="16"/>
      <c r="O68" s="17" t="n">
        <f aca="false">IF(B68="","",IFERROR(G68*INDEX(Precios!$D$5:$D$120,MATCH(F68,Precios!$A$5:$A$120,0)),0)+IF(H68="",0,IFERROR(I68*INDEX(Precios!$D$5:$D$120,MATCH(H68,Precios!$A$5:$A$120,0)),0)))</f>
        <v>0</v>
      </c>
      <c r="P68" s="17" t="n">
        <f aca="false">IF(B68="","",N(J68)*Parametros!$B$27)</f>
        <v>0</v>
      </c>
      <c r="Q68" s="17" t="n">
        <f aca="false">IF(B68="","",IFERROR(INDEX(Confeccion!$B$5:$B$100,MATCH(K68,Confeccion!$A$5:$A$100,0)),0))</f>
        <v>0</v>
      </c>
      <c r="R68" s="17" t="n">
        <f aca="false">IF(B68="","",N(L68))</f>
        <v>0</v>
      </c>
      <c r="S68" s="18" t="str">
        <f aca="false">IF(B68="","",IF(AND(F68&lt;&gt;"",ISNUMBER(G68),ISNUMBER(IFERROR(INDEX(Precios!$D$5:$D$120,MATCH(F68,Precios!$A$5:$A$120,0)),"x")),OR(H68="",ISNUMBER(IFERROR(INDEX(Precios!$D$5:$D$120,MATCH(H68,Precios!$A$5:$A$120,0)),"x"))),J68&lt;&gt;"",K68&lt;&gt;"",Q68&gt;0),SUM(O68:R68),""))</f>
        <v/>
      </c>
      <c r="T68" s="17" t="str">
        <f aca="false">IF(AND(S68&lt;&gt;"",ISNUMBER(E68)),E68*Parametros!$B$12,"")</f>
        <v/>
      </c>
      <c r="U68" s="17" t="str">
        <f aca="false">IF(AND(S68&lt;&gt;"",ISNUMBER(E68)),E68*Parametros!$B$13,"")</f>
        <v/>
      </c>
      <c r="V68" s="18" t="str">
        <f aca="false">IF(AND(S68&lt;&gt;"",ISNUMBER(E68)),E68-S68-T68-U68,"")</f>
        <v/>
      </c>
      <c r="W68" s="19" t="str">
        <f aca="false">IF(AND(S68&lt;&gt;"",ISNUMBER(E68)),V68/E68,"")</f>
        <v/>
      </c>
      <c r="X68" s="17" t="str">
        <f aca="false">IF(OR(S68="",Parametros!$B$14&gt;=1),"",S68/(1-Parametros!$B$14))</f>
        <v/>
      </c>
      <c r="Y68" s="17" t="str">
        <f aca="false">IF(OR(S68="",Parametros!$B$14+Parametros!$B$18&gt;=1),"",S68/(1-Parametros!$B$14-Parametros!$B$18))</f>
        <v/>
      </c>
      <c r="Z68" s="20" t="str">
        <f aca="false">IF(B68="","",IF(S68="","FALTAN DATOS",IF(NOT(ISNUMBER(E68)),"FALTA PRECIO",IF(V68&lt;0,"PIERDE",IF(W68&lt;Parametros!$B$18,"BAJO META","OK")))))</f>
        <v>FALTAN DATOS</v>
      </c>
      <c r="AA68" s="21" t="str">
        <f aca="false">IF(B68="","",IF(F68="","Tela. ","")&amp;IF(NOT(ISNUMBER(G68)),"Kg de tela. ","")&amp;IF(AND(F68&lt;&gt;"",NOT(ISNUMBER(IFERROR(INDEX(Precios!$D$5:$D$120,MATCH(F68,Precios!$A$5:$A$120,0)),"x")))),"Tela sin precio. ","")&amp;IF(AND(H68&lt;&gt;"",NOT(ISNUMBER(IFERROR(INDEX(Precios!$D$5:$D$120,MATCH(H68,Precios!$A$5:$A$120,0)),"x")))),"Tela 2 sin precio. ","")&amp;IF(J68="","Metros impresos. ","")&amp;IF(AND(N(J68)&gt;0,Parametros!$B$27=0),"Impresión sin costo. ","")&amp;IF(K68="","Confección. ",IF(Q68=0,"Confección sin valor. ",""))&amp;IF(NOT(ISNUMBER(E68)),"Precio de venta. ",""))</f>
        <v>Tela. Kg de tela. Metros impresos. Confección. </v>
      </c>
    </row>
    <row r="69" customFormat="false" ht="15" hidden="false" customHeight="false" outlineLevel="0" collapsed="false">
      <c r="A69" s="11" t="s">
        <v>226</v>
      </c>
      <c r="B69" s="11" t="s">
        <v>227</v>
      </c>
      <c r="C69" s="11" t="s">
        <v>65</v>
      </c>
      <c r="D69" s="11" t="n">
        <v>5</v>
      </c>
      <c r="E69" s="12" t="n">
        <v>15882</v>
      </c>
      <c r="F69" s="13"/>
      <c r="G69" s="14"/>
      <c r="H69" s="13"/>
      <c r="I69" s="14"/>
      <c r="J69" s="15"/>
      <c r="K69" s="13"/>
      <c r="L69" s="12"/>
      <c r="M69" s="13" t="s">
        <v>68</v>
      </c>
      <c r="N69" s="16"/>
      <c r="O69" s="17" t="n">
        <f aca="false">IF(B69="","",IFERROR(G69*INDEX(Precios!$D$5:$D$120,MATCH(F69,Precios!$A$5:$A$120,0)),0)+IF(H69="",0,IFERROR(I69*INDEX(Precios!$D$5:$D$120,MATCH(H69,Precios!$A$5:$A$120,0)),0)))</f>
        <v>0</v>
      </c>
      <c r="P69" s="17" t="n">
        <f aca="false">IF(B69="","",N(J69)*Parametros!$B$27)</f>
        <v>0</v>
      </c>
      <c r="Q69" s="17" t="n">
        <f aca="false">IF(B69="","",IFERROR(INDEX(Confeccion!$B$5:$B$100,MATCH(K69,Confeccion!$A$5:$A$100,0)),0))</f>
        <v>0</v>
      </c>
      <c r="R69" s="17" t="n">
        <f aca="false">IF(B69="","",N(L69))</f>
        <v>0</v>
      </c>
      <c r="S69" s="18" t="str">
        <f aca="false">IF(B69="","",IF(AND(F69&lt;&gt;"",ISNUMBER(G69),ISNUMBER(IFERROR(INDEX(Precios!$D$5:$D$120,MATCH(F69,Precios!$A$5:$A$120,0)),"x")),OR(H69="",ISNUMBER(IFERROR(INDEX(Precios!$D$5:$D$120,MATCH(H69,Precios!$A$5:$A$120,0)),"x"))),J69&lt;&gt;"",K69&lt;&gt;"",Q69&gt;0),SUM(O69:R69),""))</f>
        <v/>
      </c>
      <c r="T69" s="17" t="str">
        <f aca="false">IF(AND(S69&lt;&gt;"",ISNUMBER(E69)),E69*Parametros!$B$12,"")</f>
        <v/>
      </c>
      <c r="U69" s="17" t="str">
        <f aca="false">IF(AND(S69&lt;&gt;"",ISNUMBER(E69)),E69*Parametros!$B$13,"")</f>
        <v/>
      </c>
      <c r="V69" s="18" t="str">
        <f aca="false">IF(AND(S69&lt;&gt;"",ISNUMBER(E69)),E69-S69-T69-U69,"")</f>
        <v/>
      </c>
      <c r="W69" s="19" t="str">
        <f aca="false">IF(AND(S69&lt;&gt;"",ISNUMBER(E69)),V69/E69,"")</f>
        <v/>
      </c>
      <c r="X69" s="17" t="str">
        <f aca="false">IF(OR(S69="",Parametros!$B$14&gt;=1),"",S69/(1-Parametros!$B$14))</f>
        <v/>
      </c>
      <c r="Y69" s="17" t="str">
        <f aca="false">IF(OR(S69="",Parametros!$B$14+Parametros!$B$18&gt;=1),"",S69/(1-Parametros!$B$14-Parametros!$B$18))</f>
        <v/>
      </c>
      <c r="Z69" s="20" t="str">
        <f aca="false">IF(B69="","",IF(S69="","FALTAN DATOS",IF(NOT(ISNUMBER(E69)),"FALTA PRECIO",IF(V69&lt;0,"PIERDE",IF(W69&lt;Parametros!$B$18,"BAJO META","OK")))))</f>
        <v>FALTAN DATOS</v>
      </c>
      <c r="AA69" s="21" t="str">
        <f aca="false">IF(B69="","",IF(F69="","Tela. ","")&amp;IF(NOT(ISNUMBER(G69)),"Kg de tela. ","")&amp;IF(AND(F69&lt;&gt;"",NOT(ISNUMBER(IFERROR(INDEX(Precios!$D$5:$D$120,MATCH(F69,Precios!$A$5:$A$120,0)),"x")))),"Tela sin precio. ","")&amp;IF(AND(H69&lt;&gt;"",NOT(ISNUMBER(IFERROR(INDEX(Precios!$D$5:$D$120,MATCH(H69,Precios!$A$5:$A$120,0)),"x")))),"Tela 2 sin precio. ","")&amp;IF(J69="","Metros impresos. ","")&amp;IF(AND(N(J69)&gt;0,Parametros!$B$27=0),"Impresión sin costo. ","")&amp;IF(K69="","Confección. ",IF(Q69=0,"Confección sin valor. ",""))&amp;IF(NOT(ISNUMBER(E69)),"Precio de venta. ",""))</f>
        <v>Tela. Kg de tela. Metros impresos. Confección. </v>
      </c>
    </row>
    <row r="70" customFormat="false" ht="15" hidden="false" customHeight="false" outlineLevel="0" collapsed="false">
      <c r="A70" s="11" t="s">
        <v>228</v>
      </c>
      <c r="B70" s="11" t="s">
        <v>229</v>
      </c>
      <c r="C70" s="11" t="s">
        <v>65</v>
      </c>
      <c r="D70" s="11" t="n">
        <v>4</v>
      </c>
      <c r="E70" s="12" t="n">
        <v>12689</v>
      </c>
      <c r="F70" s="13" t="s">
        <v>230</v>
      </c>
      <c r="G70" s="14" t="n">
        <v>0.074</v>
      </c>
      <c r="H70" s="13"/>
      <c r="I70" s="14"/>
      <c r="J70" s="15" t="n">
        <v>0</v>
      </c>
      <c r="K70" s="13" t="s">
        <v>231</v>
      </c>
      <c r="L70" s="12"/>
      <c r="M70" s="13" t="s">
        <v>68</v>
      </c>
      <c r="N70" s="16" t="s">
        <v>232</v>
      </c>
      <c r="O70" s="17" t="n">
        <f aca="false">IF(B70="","",IFERROR(G70*INDEX(Precios!$D$5:$D$120,MATCH(F70,Precios!$A$5:$A$120,0)),0)+IF(H70="",0,IFERROR(I70*INDEX(Precios!$D$5:$D$120,MATCH(H70,Precios!$A$5:$A$120,0)),0)))</f>
        <v>0</v>
      </c>
      <c r="P70" s="17" t="n">
        <f aca="false">IF(B70="","",N(J70)*Parametros!$B$27)</f>
        <v>0</v>
      </c>
      <c r="Q70" s="17" t="n">
        <f aca="false">IF(B70="","",IFERROR(INDEX(Confeccion!$B$5:$B$100,MATCH(K70,Confeccion!$A$5:$A$100,0)),0))</f>
        <v>1200</v>
      </c>
      <c r="R70" s="17" t="n">
        <f aca="false">IF(B70="","",N(L70))</f>
        <v>0</v>
      </c>
      <c r="S70" s="18" t="str">
        <f aca="false">IF(B70="","",IF(AND(F70&lt;&gt;"",ISNUMBER(G70),ISNUMBER(IFERROR(INDEX(Precios!$D$5:$D$120,MATCH(F70,Precios!$A$5:$A$120,0)),"x")),OR(H70="",ISNUMBER(IFERROR(INDEX(Precios!$D$5:$D$120,MATCH(H70,Precios!$A$5:$A$120,0)),"x"))),J70&lt;&gt;"",K70&lt;&gt;"",Q70&gt;0),SUM(O70:R70),""))</f>
        <v/>
      </c>
      <c r="T70" s="17" t="str">
        <f aca="false">IF(AND(S70&lt;&gt;"",ISNUMBER(E70)),E70*Parametros!$B$12,"")</f>
        <v/>
      </c>
      <c r="U70" s="17" t="str">
        <f aca="false">IF(AND(S70&lt;&gt;"",ISNUMBER(E70)),E70*Parametros!$B$13,"")</f>
        <v/>
      </c>
      <c r="V70" s="18" t="str">
        <f aca="false">IF(AND(S70&lt;&gt;"",ISNUMBER(E70)),E70-S70-T70-U70,"")</f>
        <v/>
      </c>
      <c r="W70" s="19" t="str">
        <f aca="false">IF(AND(S70&lt;&gt;"",ISNUMBER(E70)),V70/E70,"")</f>
        <v/>
      </c>
      <c r="X70" s="17" t="str">
        <f aca="false">IF(OR(S70="",Parametros!$B$14&gt;=1),"",S70/(1-Parametros!$B$14))</f>
        <v/>
      </c>
      <c r="Y70" s="17" t="str">
        <f aca="false">IF(OR(S70="",Parametros!$B$14+Parametros!$B$18&gt;=1),"",S70/(1-Parametros!$B$14-Parametros!$B$18))</f>
        <v/>
      </c>
      <c r="Z70" s="20" t="str">
        <f aca="false">IF(B70="","",IF(S70="","FALTAN DATOS",IF(NOT(ISNUMBER(E70)),"FALTA PRECIO",IF(V70&lt;0,"PIERDE",IF(W70&lt;Parametros!$B$18,"BAJO META","OK")))))</f>
        <v>FALTAN DATOS</v>
      </c>
      <c r="AA70" s="21" t="str">
        <f aca="false">IF(B70="","",IF(F70="","Tela. ","")&amp;IF(NOT(ISNUMBER(G70)),"Kg de tela. ","")&amp;IF(AND(F70&lt;&gt;"",NOT(ISNUMBER(IFERROR(INDEX(Precios!$D$5:$D$120,MATCH(F70,Precios!$A$5:$A$120,0)),"x")))),"Tela sin precio. ","")&amp;IF(AND(H70&lt;&gt;"",NOT(ISNUMBER(IFERROR(INDEX(Precios!$D$5:$D$120,MATCH(H70,Precios!$A$5:$A$120,0)),"x")))),"Tela 2 sin precio. ","")&amp;IF(J70="","Metros impresos. ","")&amp;IF(AND(N(J70)&gt;0,Parametros!$B$27=0),"Impresión sin costo. ","")&amp;IF(K70="","Confección. ",IF(Q70=0,"Confección sin valor. ",""))&amp;IF(NOT(ISNUMBER(E70)),"Precio de venta. ",""))</f>
        <v>Tela sin precio. </v>
      </c>
    </row>
    <row r="71" customFormat="false" ht="15" hidden="false" customHeight="false" outlineLevel="0" collapsed="false">
      <c r="A71" s="11" t="s">
        <v>233</v>
      </c>
      <c r="B71" s="11" t="s">
        <v>234</v>
      </c>
      <c r="C71" s="11" t="s">
        <v>89</v>
      </c>
      <c r="D71" s="11" t="n">
        <v>4</v>
      </c>
      <c r="E71" s="12" t="n">
        <v>13445</v>
      </c>
      <c r="F71" s="13"/>
      <c r="G71" s="14"/>
      <c r="H71" s="13"/>
      <c r="I71" s="14"/>
      <c r="J71" s="15"/>
      <c r="K71" s="13" t="s">
        <v>164</v>
      </c>
      <c r="L71" s="12"/>
      <c r="M71" s="13" t="s">
        <v>68</v>
      </c>
      <c r="N71" s="16" t="s">
        <v>81</v>
      </c>
      <c r="O71" s="17" t="n">
        <f aca="false">IF(B71="","",IFERROR(G71*INDEX(Precios!$D$5:$D$120,MATCH(F71,Precios!$A$5:$A$120,0)),0)+IF(H71="",0,IFERROR(I71*INDEX(Precios!$D$5:$D$120,MATCH(H71,Precios!$A$5:$A$120,0)),0)))</f>
        <v>0</v>
      </c>
      <c r="P71" s="17" t="n">
        <f aca="false">IF(B71="","",N(J71)*Parametros!$B$27)</f>
        <v>0</v>
      </c>
      <c r="Q71" s="17" t="n">
        <f aca="false">IF(B71="","",IFERROR(INDEX(Confeccion!$B$5:$B$100,MATCH(K71,Confeccion!$A$5:$A$100,0)),0))</f>
        <v>2200</v>
      </c>
      <c r="R71" s="17" t="n">
        <f aca="false">IF(B71="","",N(L71))</f>
        <v>0</v>
      </c>
      <c r="S71" s="18" t="str">
        <f aca="false">IF(B71="","",IF(AND(F71&lt;&gt;"",ISNUMBER(G71),ISNUMBER(IFERROR(INDEX(Precios!$D$5:$D$120,MATCH(F71,Precios!$A$5:$A$120,0)),"x")),OR(H71="",ISNUMBER(IFERROR(INDEX(Precios!$D$5:$D$120,MATCH(H71,Precios!$A$5:$A$120,0)),"x"))),J71&lt;&gt;"",K71&lt;&gt;"",Q71&gt;0),SUM(O71:R71),""))</f>
        <v/>
      </c>
      <c r="T71" s="17" t="str">
        <f aca="false">IF(AND(S71&lt;&gt;"",ISNUMBER(E71)),E71*Parametros!$B$12,"")</f>
        <v/>
      </c>
      <c r="U71" s="17" t="str">
        <f aca="false">IF(AND(S71&lt;&gt;"",ISNUMBER(E71)),E71*Parametros!$B$13,"")</f>
        <v/>
      </c>
      <c r="V71" s="18" t="str">
        <f aca="false">IF(AND(S71&lt;&gt;"",ISNUMBER(E71)),E71-S71-T71-U71,"")</f>
        <v/>
      </c>
      <c r="W71" s="19" t="str">
        <f aca="false">IF(AND(S71&lt;&gt;"",ISNUMBER(E71)),V71/E71,"")</f>
        <v/>
      </c>
      <c r="X71" s="17" t="str">
        <f aca="false">IF(OR(S71="",Parametros!$B$14&gt;=1),"",S71/(1-Parametros!$B$14))</f>
        <v/>
      </c>
      <c r="Y71" s="17" t="str">
        <f aca="false">IF(OR(S71="",Parametros!$B$14+Parametros!$B$18&gt;=1),"",S71/(1-Parametros!$B$14-Parametros!$B$18))</f>
        <v/>
      </c>
      <c r="Z71" s="20" t="str">
        <f aca="false">IF(B71="","",IF(S71="","FALTAN DATOS",IF(NOT(ISNUMBER(E71)),"FALTA PRECIO",IF(V71&lt;0,"PIERDE",IF(W71&lt;Parametros!$B$18,"BAJO META","OK")))))</f>
        <v>FALTAN DATOS</v>
      </c>
      <c r="AA71" s="21" t="str">
        <f aca="false">IF(B71="","",IF(F71="","Tela. ","")&amp;IF(NOT(ISNUMBER(G71)),"Kg de tela. ","")&amp;IF(AND(F71&lt;&gt;"",NOT(ISNUMBER(IFERROR(INDEX(Precios!$D$5:$D$120,MATCH(F71,Precios!$A$5:$A$120,0)),"x")))),"Tela sin precio. ","")&amp;IF(AND(H71&lt;&gt;"",NOT(ISNUMBER(IFERROR(INDEX(Precios!$D$5:$D$120,MATCH(H71,Precios!$A$5:$A$120,0)),"x")))),"Tela 2 sin precio. ","")&amp;IF(J71="","Metros impresos. ","")&amp;IF(AND(N(J71)&gt;0,Parametros!$B$27=0),"Impresión sin costo. ","")&amp;IF(K71="","Confección. ",IF(Q71=0,"Confección sin valor. ",""))&amp;IF(NOT(ISNUMBER(E71)),"Precio de venta. ",""))</f>
        <v>Tela. Kg de tela. Metros impresos. </v>
      </c>
    </row>
    <row r="72" customFormat="false" ht="15" hidden="false" customHeight="false" outlineLevel="0" collapsed="false">
      <c r="A72" s="11" t="s">
        <v>235</v>
      </c>
      <c r="B72" s="11" t="s">
        <v>236</v>
      </c>
      <c r="C72" s="11" t="s">
        <v>89</v>
      </c>
      <c r="D72" s="11" t="n">
        <v>4</v>
      </c>
      <c r="E72" s="12" t="n">
        <v>30168</v>
      </c>
      <c r="F72" s="13"/>
      <c r="G72" s="14"/>
      <c r="H72" s="13"/>
      <c r="I72" s="14"/>
      <c r="J72" s="15"/>
      <c r="K72" s="13"/>
      <c r="L72" s="12"/>
      <c r="M72" s="13" t="s">
        <v>68</v>
      </c>
      <c r="N72" s="16"/>
      <c r="O72" s="17" t="n">
        <f aca="false">IF(B72="","",IFERROR(G72*INDEX(Precios!$D$5:$D$120,MATCH(F72,Precios!$A$5:$A$120,0)),0)+IF(H72="",0,IFERROR(I72*INDEX(Precios!$D$5:$D$120,MATCH(H72,Precios!$A$5:$A$120,0)),0)))</f>
        <v>0</v>
      </c>
      <c r="P72" s="17" t="n">
        <f aca="false">IF(B72="","",N(J72)*Parametros!$B$27)</f>
        <v>0</v>
      </c>
      <c r="Q72" s="17" t="n">
        <f aca="false">IF(B72="","",IFERROR(INDEX(Confeccion!$B$5:$B$100,MATCH(K72,Confeccion!$A$5:$A$100,0)),0))</f>
        <v>0</v>
      </c>
      <c r="R72" s="17" t="n">
        <f aca="false">IF(B72="","",N(L72))</f>
        <v>0</v>
      </c>
      <c r="S72" s="18" t="str">
        <f aca="false">IF(B72="","",IF(AND(F72&lt;&gt;"",ISNUMBER(G72),ISNUMBER(IFERROR(INDEX(Precios!$D$5:$D$120,MATCH(F72,Precios!$A$5:$A$120,0)),"x")),OR(H72="",ISNUMBER(IFERROR(INDEX(Precios!$D$5:$D$120,MATCH(H72,Precios!$A$5:$A$120,0)),"x"))),J72&lt;&gt;"",K72&lt;&gt;"",Q72&gt;0),SUM(O72:R72),""))</f>
        <v/>
      </c>
      <c r="T72" s="17" t="str">
        <f aca="false">IF(AND(S72&lt;&gt;"",ISNUMBER(E72)),E72*Parametros!$B$12,"")</f>
        <v/>
      </c>
      <c r="U72" s="17" t="str">
        <f aca="false">IF(AND(S72&lt;&gt;"",ISNUMBER(E72)),E72*Parametros!$B$13,"")</f>
        <v/>
      </c>
      <c r="V72" s="18" t="str">
        <f aca="false">IF(AND(S72&lt;&gt;"",ISNUMBER(E72)),E72-S72-T72-U72,"")</f>
        <v/>
      </c>
      <c r="W72" s="19" t="str">
        <f aca="false">IF(AND(S72&lt;&gt;"",ISNUMBER(E72)),V72/E72,"")</f>
        <v/>
      </c>
      <c r="X72" s="17" t="str">
        <f aca="false">IF(OR(S72="",Parametros!$B$14&gt;=1),"",S72/(1-Parametros!$B$14))</f>
        <v/>
      </c>
      <c r="Y72" s="17" t="str">
        <f aca="false">IF(OR(S72="",Parametros!$B$14+Parametros!$B$18&gt;=1),"",S72/(1-Parametros!$B$14-Parametros!$B$18))</f>
        <v/>
      </c>
      <c r="Z72" s="20" t="str">
        <f aca="false">IF(B72="","",IF(S72="","FALTAN DATOS",IF(NOT(ISNUMBER(E72)),"FALTA PRECIO",IF(V72&lt;0,"PIERDE",IF(W72&lt;Parametros!$B$18,"BAJO META","OK")))))</f>
        <v>FALTAN DATOS</v>
      </c>
      <c r="AA72" s="21" t="str">
        <f aca="false">IF(B72="","",IF(F72="","Tela. ","")&amp;IF(NOT(ISNUMBER(G72)),"Kg de tela. ","")&amp;IF(AND(F72&lt;&gt;"",NOT(ISNUMBER(IFERROR(INDEX(Precios!$D$5:$D$120,MATCH(F72,Precios!$A$5:$A$120,0)),"x")))),"Tela sin precio. ","")&amp;IF(AND(H72&lt;&gt;"",NOT(ISNUMBER(IFERROR(INDEX(Precios!$D$5:$D$120,MATCH(H72,Precios!$A$5:$A$120,0)),"x")))),"Tela 2 sin precio. ","")&amp;IF(J72="","Metros impresos. ","")&amp;IF(AND(N(J72)&gt;0,Parametros!$B$27=0),"Impresión sin costo. ","")&amp;IF(K72="","Confección. ",IF(Q72=0,"Confección sin valor. ",""))&amp;IF(NOT(ISNUMBER(E72)),"Precio de venta. ",""))</f>
        <v>Tela. Kg de tela. Metros impresos. Confección. </v>
      </c>
    </row>
    <row r="73" customFormat="false" ht="15" hidden="false" customHeight="false" outlineLevel="0" collapsed="false">
      <c r="A73" s="11" t="s">
        <v>237</v>
      </c>
      <c r="B73" s="11" t="s">
        <v>238</v>
      </c>
      <c r="C73" s="11" t="s">
        <v>65</v>
      </c>
      <c r="D73" s="11" t="n">
        <v>3</v>
      </c>
      <c r="E73" s="12" t="n">
        <v>16723</v>
      </c>
      <c r="F73" s="13"/>
      <c r="G73" s="14"/>
      <c r="H73" s="13"/>
      <c r="I73" s="14"/>
      <c r="J73" s="15"/>
      <c r="K73" s="13" t="s">
        <v>80</v>
      </c>
      <c r="L73" s="12"/>
      <c r="M73" s="13" t="s">
        <v>68</v>
      </c>
      <c r="N73" s="16" t="s">
        <v>81</v>
      </c>
      <c r="O73" s="17" t="n">
        <f aca="false">IF(B73="","",IFERROR(G73*INDEX(Precios!$D$5:$D$120,MATCH(F73,Precios!$A$5:$A$120,0)),0)+IF(H73="",0,IFERROR(I73*INDEX(Precios!$D$5:$D$120,MATCH(H73,Precios!$A$5:$A$120,0)),0)))</f>
        <v>0</v>
      </c>
      <c r="P73" s="17" t="n">
        <f aca="false">IF(B73="","",N(J73)*Parametros!$B$27)</f>
        <v>0</v>
      </c>
      <c r="Q73" s="17" t="n">
        <f aca="false">IF(B73="","",IFERROR(INDEX(Confeccion!$B$5:$B$100,MATCH(K73,Confeccion!$A$5:$A$100,0)),0))</f>
        <v>1700</v>
      </c>
      <c r="R73" s="17" t="n">
        <f aca="false">IF(B73="","",N(L73))</f>
        <v>0</v>
      </c>
      <c r="S73" s="18" t="str">
        <f aca="false">IF(B73="","",IF(AND(F73&lt;&gt;"",ISNUMBER(G73),ISNUMBER(IFERROR(INDEX(Precios!$D$5:$D$120,MATCH(F73,Precios!$A$5:$A$120,0)),"x")),OR(H73="",ISNUMBER(IFERROR(INDEX(Precios!$D$5:$D$120,MATCH(H73,Precios!$A$5:$A$120,0)),"x"))),J73&lt;&gt;"",K73&lt;&gt;"",Q73&gt;0),SUM(O73:R73),""))</f>
        <v/>
      </c>
      <c r="T73" s="17" t="str">
        <f aca="false">IF(AND(S73&lt;&gt;"",ISNUMBER(E73)),E73*Parametros!$B$12,"")</f>
        <v/>
      </c>
      <c r="U73" s="17" t="str">
        <f aca="false">IF(AND(S73&lt;&gt;"",ISNUMBER(E73)),E73*Parametros!$B$13,"")</f>
        <v/>
      </c>
      <c r="V73" s="18" t="str">
        <f aca="false">IF(AND(S73&lt;&gt;"",ISNUMBER(E73)),E73-S73-T73-U73,"")</f>
        <v/>
      </c>
      <c r="W73" s="19" t="str">
        <f aca="false">IF(AND(S73&lt;&gt;"",ISNUMBER(E73)),V73/E73,"")</f>
        <v/>
      </c>
      <c r="X73" s="17" t="str">
        <f aca="false">IF(OR(S73="",Parametros!$B$14&gt;=1),"",S73/(1-Parametros!$B$14))</f>
        <v/>
      </c>
      <c r="Y73" s="17" t="str">
        <f aca="false">IF(OR(S73="",Parametros!$B$14+Parametros!$B$18&gt;=1),"",S73/(1-Parametros!$B$14-Parametros!$B$18))</f>
        <v/>
      </c>
      <c r="Z73" s="20" t="str">
        <f aca="false">IF(B73="","",IF(S73="","FALTAN DATOS",IF(NOT(ISNUMBER(E73)),"FALTA PRECIO",IF(V73&lt;0,"PIERDE",IF(W73&lt;Parametros!$B$18,"BAJO META","OK")))))</f>
        <v>FALTAN DATOS</v>
      </c>
      <c r="AA73" s="21" t="str">
        <f aca="false">IF(B73="","",IF(F73="","Tela. ","")&amp;IF(NOT(ISNUMBER(G73)),"Kg de tela. ","")&amp;IF(AND(F73&lt;&gt;"",NOT(ISNUMBER(IFERROR(INDEX(Precios!$D$5:$D$120,MATCH(F73,Precios!$A$5:$A$120,0)),"x")))),"Tela sin precio. ","")&amp;IF(AND(H73&lt;&gt;"",NOT(ISNUMBER(IFERROR(INDEX(Precios!$D$5:$D$120,MATCH(H73,Precios!$A$5:$A$120,0)),"x")))),"Tela 2 sin precio. ","")&amp;IF(J73="","Metros impresos. ","")&amp;IF(AND(N(J73)&gt;0,Parametros!$B$27=0),"Impresión sin costo. ","")&amp;IF(K73="","Confección. ",IF(Q73=0,"Confección sin valor. ",""))&amp;IF(NOT(ISNUMBER(E73)),"Precio de venta. ",""))</f>
        <v>Tela. Kg de tela. Metros impresos. </v>
      </c>
    </row>
    <row r="74" customFormat="false" ht="15" hidden="false" customHeight="false" outlineLevel="0" collapsed="false">
      <c r="A74" s="11" t="s">
        <v>239</v>
      </c>
      <c r="B74" s="11" t="s">
        <v>240</v>
      </c>
      <c r="C74" s="11" t="s">
        <v>89</v>
      </c>
      <c r="D74" s="11" t="n">
        <v>2</v>
      </c>
      <c r="E74" s="12" t="n">
        <v>27647</v>
      </c>
      <c r="F74" s="13"/>
      <c r="G74" s="14"/>
      <c r="H74" s="13"/>
      <c r="I74" s="14"/>
      <c r="J74" s="15"/>
      <c r="K74" s="13"/>
      <c r="L74" s="12"/>
      <c r="M74" s="13" t="s">
        <v>68</v>
      </c>
      <c r="N74" s="16"/>
      <c r="O74" s="17" t="n">
        <f aca="false">IF(B74="","",IFERROR(G74*INDEX(Precios!$D$5:$D$120,MATCH(F74,Precios!$A$5:$A$120,0)),0)+IF(H74="",0,IFERROR(I74*INDEX(Precios!$D$5:$D$120,MATCH(H74,Precios!$A$5:$A$120,0)),0)))</f>
        <v>0</v>
      </c>
      <c r="P74" s="17" t="n">
        <f aca="false">IF(B74="","",N(J74)*Parametros!$B$27)</f>
        <v>0</v>
      </c>
      <c r="Q74" s="17" t="n">
        <f aca="false">IF(B74="","",IFERROR(INDEX(Confeccion!$B$5:$B$100,MATCH(K74,Confeccion!$A$5:$A$100,0)),0))</f>
        <v>0</v>
      </c>
      <c r="R74" s="17" t="n">
        <f aca="false">IF(B74="","",N(L74))</f>
        <v>0</v>
      </c>
      <c r="S74" s="18" t="str">
        <f aca="false">IF(B74="","",IF(AND(F74&lt;&gt;"",ISNUMBER(G74),ISNUMBER(IFERROR(INDEX(Precios!$D$5:$D$120,MATCH(F74,Precios!$A$5:$A$120,0)),"x")),OR(H74="",ISNUMBER(IFERROR(INDEX(Precios!$D$5:$D$120,MATCH(H74,Precios!$A$5:$A$120,0)),"x"))),J74&lt;&gt;"",K74&lt;&gt;"",Q74&gt;0),SUM(O74:R74),""))</f>
        <v/>
      </c>
      <c r="T74" s="17" t="str">
        <f aca="false">IF(AND(S74&lt;&gt;"",ISNUMBER(E74)),E74*Parametros!$B$12,"")</f>
        <v/>
      </c>
      <c r="U74" s="17" t="str">
        <f aca="false">IF(AND(S74&lt;&gt;"",ISNUMBER(E74)),E74*Parametros!$B$13,"")</f>
        <v/>
      </c>
      <c r="V74" s="18" t="str">
        <f aca="false">IF(AND(S74&lt;&gt;"",ISNUMBER(E74)),E74-S74-T74-U74,"")</f>
        <v/>
      </c>
      <c r="W74" s="19" t="str">
        <f aca="false">IF(AND(S74&lt;&gt;"",ISNUMBER(E74)),V74/E74,"")</f>
        <v/>
      </c>
      <c r="X74" s="17" t="str">
        <f aca="false">IF(OR(S74="",Parametros!$B$14&gt;=1),"",S74/(1-Parametros!$B$14))</f>
        <v/>
      </c>
      <c r="Y74" s="17" t="str">
        <f aca="false">IF(OR(S74="",Parametros!$B$14+Parametros!$B$18&gt;=1),"",S74/(1-Parametros!$B$14-Parametros!$B$18))</f>
        <v/>
      </c>
      <c r="Z74" s="20" t="str">
        <f aca="false">IF(B74="","",IF(S74="","FALTAN DATOS",IF(NOT(ISNUMBER(E74)),"FALTA PRECIO",IF(V74&lt;0,"PIERDE",IF(W74&lt;Parametros!$B$18,"BAJO META","OK")))))</f>
        <v>FALTAN DATOS</v>
      </c>
      <c r="AA74" s="21" t="str">
        <f aca="false">IF(B74="","",IF(F74="","Tela. ","")&amp;IF(NOT(ISNUMBER(G74)),"Kg de tela. ","")&amp;IF(AND(F74&lt;&gt;"",NOT(ISNUMBER(IFERROR(INDEX(Precios!$D$5:$D$120,MATCH(F74,Precios!$A$5:$A$120,0)),"x")))),"Tela sin precio. ","")&amp;IF(AND(H74&lt;&gt;"",NOT(ISNUMBER(IFERROR(INDEX(Precios!$D$5:$D$120,MATCH(H74,Precios!$A$5:$A$120,0)),"x")))),"Tela 2 sin precio. ","")&amp;IF(J74="","Metros impresos. ","")&amp;IF(AND(N(J74)&gt;0,Parametros!$B$27=0),"Impresión sin costo. ","")&amp;IF(K74="","Confección. ",IF(Q74=0,"Confección sin valor. ",""))&amp;IF(NOT(ISNUMBER(E74)),"Precio de venta. ",""))</f>
        <v>Tela. Kg de tela. Metros impresos. Confección. </v>
      </c>
    </row>
    <row r="75" customFormat="false" ht="15" hidden="false" customHeight="false" outlineLevel="0" collapsed="false">
      <c r="A75" s="11" t="s">
        <v>241</v>
      </c>
      <c r="B75" s="11" t="s">
        <v>242</v>
      </c>
      <c r="C75" s="11" t="s">
        <v>65</v>
      </c>
      <c r="D75" s="11" t="n">
        <v>1</v>
      </c>
      <c r="E75" s="12" t="n">
        <v>19244</v>
      </c>
      <c r="F75" s="13"/>
      <c r="G75" s="14"/>
      <c r="H75" s="13"/>
      <c r="I75" s="14"/>
      <c r="J75" s="15"/>
      <c r="K75" s="13" t="s">
        <v>80</v>
      </c>
      <c r="L75" s="12"/>
      <c r="M75" s="13" t="s">
        <v>68</v>
      </c>
      <c r="N75" s="16" t="s">
        <v>81</v>
      </c>
      <c r="O75" s="17" t="n">
        <f aca="false">IF(B75="","",IFERROR(G75*INDEX(Precios!$D$5:$D$120,MATCH(F75,Precios!$A$5:$A$120,0)),0)+IF(H75="",0,IFERROR(I75*INDEX(Precios!$D$5:$D$120,MATCH(H75,Precios!$A$5:$A$120,0)),0)))</f>
        <v>0</v>
      </c>
      <c r="P75" s="17" t="n">
        <f aca="false">IF(B75="","",N(J75)*Parametros!$B$27)</f>
        <v>0</v>
      </c>
      <c r="Q75" s="17" t="n">
        <f aca="false">IF(B75="","",IFERROR(INDEX(Confeccion!$B$5:$B$100,MATCH(K75,Confeccion!$A$5:$A$100,0)),0))</f>
        <v>1700</v>
      </c>
      <c r="R75" s="17" t="n">
        <f aca="false">IF(B75="","",N(L75))</f>
        <v>0</v>
      </c>
      <c r="S75" s="18" t="str">
        <f aca="false">IF(B75="","",IF(AND(F75&lt;&gt;"",ISNUMBER(G75),ISNUMBER(IFERROR(INDEX(Precios!$D$5:$D$120,MATCH(F75,Precios!$A$5:$A$120,0)),"x")),OR(H75="",ISNUMBER(IFERROR(INDEX(Precios!$D$5:$D$120,MATCH(H75,Precios!$A$5:$A$120,0)),"x"))),J75&lt;&gt;"",K75&lt;&gt;"",Q75&gt;0),SUM(O75:R75),""))</f>
        <v/>
      </c>
      <c r="T75" s="17" t="str">
        <f aca="false">IF(AND(S75&lt;&gt;"",ISNUMBER(E75)),E75*Parametros!$B$12,"")</f>
        <v/>
      </c>
      <c r="U75" s="17" t="str">
        <f aca="false">IF(AND(S75&lt;&gt;"",ISNUMBER(E75)),E75*Parametros!$B$13,"")</f>
        <v/>
      </c>
      <c r="V75" s="18" t="str">
        <f aca="false">IF(AND(S75&lt;&gt;"",ISNUMBER(E75)),E75-S75-T75-U75,"")</f>
        <v/>
      </c>
      <c r="W75" s="19" t="str">
        <f aca="false">IF(AND(S75&lt;&gt;"",ISNUMBER(E75)),V75/E75,"")</f>
        <v/>
      </c>
      <c r="X75" s="17" t="str">
        <f aca="false">IF(OR(S75="",Parametros!$B$14&gt;=1),"",S75/(1-Parametros!$B$14))</f>
        <v/>
      </c>
      <c r="Y75" s="17" t="str">
        <f aca="false">IF(OR(S75="",Parametros!$B$14+Parametros!$B$18&gt;=1),"",S75/(1-Parametros!$B$14-Parametros!$B$18))</f>
        <v/>
      </c>
      <c r="Z75" s="20" t="str">
        <f aca="false">IF(B75="","",IF(S75="","FALTAN DATOS",IF(NOT(ISNUMBER(E75)),"FALTA PRECIO",IF(V75&lt;0,"PIERDE",IF(W75&lt;Parametros!$B$18,"BAJO META","OK")))))</f>
        <v>FALTAN DATOS</v>
      </c>
      <c r="AA75" s="21" t="str">
        <f aca="false">IF(B75="","",IF(F75="","Tela. ","")&amp;IF(NOT(ISNUMBER(G75)),"Kg de tela. ","")&amp;IF(AND(F75&lt;&gt;"",NOT(ISNUMBER(IFERROR(INDEX(Precios!$D$5:$D$120,MATCH(F75,Precios!$A$5:$A$120,0)),"x")))),"Tela sin precio. ","")&amp;IF(AND(H75&lt;&gt;"",NOT(ISNUMBER(IFERROR(INDEX(Precios!$D$5:$D$120,MATCH(H75,Precios!$A$5:$A$120,0)),"x")))),"Tela 2 sin precio. ","")&amp;IF(J75="","Metros impresos. ","")&amp;IF(AND(N(J75)&gt;0,Parametros!$B$27=0),"Impresión sin costo. ","")&amp;IF(K75="","Confección. ",IF(Q75=0,"Confección sin valor. ",""))&amp;IF(NOT(ISNUMBER(E75)),"Precio de venta. ",""))</f>
        <v>Tela. Kg de tela. Metros impresos. </v>
      </c>
    </row>
    <row r="76" customFormat="false" ht="15" hidden="false" customHeight="false" outlineLevel="0" collapsed="false">
      <c r="A76" s="11" t="s">
        <v>243</v>
      </c>
      <c r="B76" s="11" t="s">
        <v>244</v>
      </c>
      <c r="C76" s="11" t="s">
        <v>65</v>
      </c>
      <c r="D76" s="11" t="n">
        <v>1</v>
      </c>
      <c r="E76" s="12" t="n">
        <v>20084</v>
      </c>
      <c r="F76" s="13"/>
      <c r="G76" s="14"/>
      <c r="H76" s="13"/>
      <c r="I76" s="14"/>
      <c r="J76" s="15"/>
      <c r="K76" s="13"/>
      <c r="L76" s="12"/>
      <c r="M76" s="13" t="s">
        <v>68</v>
      </c>
      <c r="N76" s="16"/>
      <c r="O76" s="17" t="n">
        <f aca="false">IF(B76="","",IFERROR(G76*INDEX(Precios!$D$5:$D$120,MATCH(F76,Precios!$A$5:$A$120,0)),0)+IF(H76="",0,IFERROR(I76*INDEX(Precios!$D$5:$D$120,MATCH(H76,Precios!$A$5:$A$120,0)),0)))</f>
        <v>0</v>
      </c>
      <c r="P76" s="17" t="n">
        <f aca="false">IF(B76="","",N(J76)*Parametros!$B$27)</f>
        <v>0</v>
      </c>
      <c r="Q76" s="17" t="n">
        <f aca="false">IF(B76="","",IFERROR(INDEX(Confeccion!$B$5:$B$100,MATCH(K76,Confeccion!$A$5:$A$100,0)),0))</f>
        <v>0</v>
      </c>
      <c r="R76" s="17" t="n">
        <f aca="false">IF(B76="","",N(L76))</f>
        <v>0</v>
      </c>
      <c r="S76" s="18" t="str">
        <f aca="false">IF(B76="","",IF(AND(F76&lt;&gt;"",ISNUMBER(G76),ISNUMBER(IFERROR(INDEX(Precios!$D$5:$D$120,MATCH(F76,Precios!$A$5:$A$120,0)),"x")),OR(H76="",ISNUMBER(IFERROR(INDEX(Precios!$D$5:$D$120,MATCH(H76,Precios!$A$5:$A$120,0)),"x"))),J76&lt;&gt;"",K76&lt;&gt;"",Q76&gt;0),SUM(O76:R76),""))</f>
        <v/>
      </c>
      <c r="T76" s="17" t="str">
        <f aca="false">IF(AND(S76&lt;&gt;"",ISNUMBER(E76)),E76*Parametros!$B$12,"")</f>
        <v/>
      </c>
      <c r="U76" s="17" t="str">
        <f aca="false">IF(AND(S76&lt;&gt;"",ISNUMBER(E76)),E76*Parametros!$B$13,"")</f>
        <v/>
      </c>
      <c r="V76" s="18" t="str">
        <f aca="false">IF(AND(S76&lt;&gt;"",ISNUMBER(E76)),E76-S76-T76-U76,"")</f>
        <v/>
      </c>
      <c r="W76" s="19" t="str">
        <f aca="false">IF(AND(S76&lt;&gt;"",ISNUMBER(E76)),V76/E76,"")</f>
        <v/>
      </c>
      <c r="X76" s="17" t="str">
        <f aca="false">IF(OR(S76="",Parametros!$B$14&gt;=1),"",S76/(1-Parametros!$B$14))</f>
        <v/>
      </c>
      <c r="Y76" s="17" t="str">
        <f aca="false">IF(OR(S76="",Parametros!$B$14+Parametros!$B$18&gt;=1),"",S76/(1-Parametros!$B$14-Parametros!$B$18))</f>
        <v/>
      </c>
      <c r="Z76" s="20" t="str">
        <f aca="false">IF(B76="","",IF(S76="","FALTAN DATOS",IF(NOT(ISNUMBER(E76)),"FALTA PRECIO",IF(V76&lt;0,"PIERDE",IF(W76&lt;Parametros!$B$18,"BAJO META","OK")))))</f>
        <v>FALTAN DATOS</v>
      </c>
      <c r="AA76" s="21" t="str">
        <f aca="false">IF(B76="","",IF(F76="","Tela. ","")&amp;IF(NOT(ISNUMBER(G76)),"Kg de tela. ","")&amp;IF(AND(F76&lt;&gt;"",NOT(ISNUMBER(IFERROR(INDEX(Precios!$D$5:$D$120,MATCH(F76,Precios!$A$5:$A$120,0)),"x")))),"Tela sin precio. ","")&amp;IF(AND(H76&lt;&gt;"",NOT(ISNUMBER(IFERROR(INDEX(Precios!$D$5:$D$120,MATCH(H76,Precios!$A$5:$A$120,0)),"x")))),"Tela 2 sin precio. ","")&amp;IF(J76="","Metros impresos. ","")&amp;IF(AND(N(J76)&gt;0,Parametros!$B$27=0),"Impresión sin costo. ","")&amp;IF(K76="","Confección. ",IF(Q76=0,"Confección sin valor. ",""))&amp;IF(NOT(ISNUMBER(E76)),"Precio de venta. ",""))</f>
        <v>Tela. Kg de tela. Metros impresos. Confección. </v>
      </c>
    </row>
    <row r="77" customFormat="false" ht="15" hidden="false" customHeight="false" outlineLevel="0" collapsed="false">
      <c r="A77" s="11" t="s">
        <v>245</v>
      </c>
      <c r="B77" s="11" t="s">
        <v>246</v>
      </c>
      <c r="C77" s="11" t="s">
        <v>65</v>
      </c>
      <c r="D77" s="11" t="n">
        <v>1</v>
      </c>
      <c r="E77" s="12" t="n">
        <v>21765</v>
      </c>
      <c r="F77" s="13"/>
      <c r="G77" s="14"/>
      <c r="H77" s="13"/>
      <c r="I77" s="14"/>
      <c r="J77" s="15"/>
      <c r="K77" s="13" t="s">
        <v>247</v>
      </c>
      <c r="L77" s="12"/>
      <c r="M77" s="13" t="s">
        <v>68</v>
      </c>
      <c r="N77" s="16" t="s">
        <v>81</v>
      </c>
      <c r="O77" s="17" t="n">
        <f aca="false">IF(B77="","",IFERROR(G77*INDEX(Precios!$D$5:$D$120,MATCH(F77,Precios!$A$5:$A$120,0)),0)+IF(H77="",0,IFERROR(I77*INDEX(Precios!$D$5:$D$120,MATCH(H77,Precios!$A$5:$A$120,0)),0)))</f>
        <v>0</v>
      </c>
      <c r="P77" s="17" t="n">
        <f aca="false">IF(B77="","",N(J77)*Parametros!$B$27)</f>
        <v>0</v>
      </c>
      <c r="Q77" s="17" t="n">
        <f aca="false">IF(B77="","",IFERROR(INDEX(Confeccion!$B$5:$B$100,MATCH(K77,Confeccion!$A$5:$A$100,0)),0))</f>
        <v>650</v>
      </c>
      <c r="R77" s="17" t="n">
        <f aca="false">IF(B77="","",N(L77))</f>
        <v>0</v>
      </c>
      <c r="S77" s="18" t="str">
        <f aca="false">IF(B77="","",IF(AND(F77&lt;&gt;"",ISNUMBER(G77),ISNUMBER(IFERROR(INDEX(Precios!$D$5:$D$120,MATCH(F77,Precios!$A$5:$A$120,0)),"x")),OR(H77="",ISNUMBER(IFERROR(INDEX(Precios!$D$5:$D$120,MATCH(H77,Precios!$A$5:$A$120,0)),"x"))),J77&lt;&gt;"",K77&lt;&gt;"",Q77&gt;0),SUM(O77:R77),""))</f>
        <v/>
      </c>
      <c r="T77" s="17" t="str">
        <f aca="false">IF(AND(S77&lt;&gt;"",ISNUMBER(E77)),E77*Parametros!$B$12,"")</f>
        <v/>
      </c>
      <c r="U77" s="17" t="str">
        <f aca="false">IF(AND(S77&lt;&gt;"",ISNUMBER(E77)),E77*Parametros!$B$13,"")</f>
        <v/>
      </c>
      <c r="V77" s="18" t="str">
        <f aca="false">IF(AND(S77&lt;&gt;"",ISNUMBER(E77)),E77-S77-T77-U77,"")</f>
        <v/>
      </c>
      <c r="W77" s="19" t="str">
        <f aca="false">IF(AND(S77&lt;&gt;"",ISNUMBER(E77)),V77/E77,"")</f>
        <v/>
      </c>
      <c r="X77" s="17" t="str">
        <f aca="false">IF(OR(S77="",Parametros!$B$14&gt;=1),"",S77/(1-Parametros!$B$14))</f>
        <v/>
      </c>
      <c r="Y77" s="17" t="str">
        <f aca="false">IF(OR(S77="",Parametros!$B$14+Parametros!$B$18&gt;=1),"",S77/(1-Parametros!$B$14-Parametros!$B$18))</f>
        <v/>
      </c>
      <c r="Z77" s="20" t="str">
        <f aca="false">IF(B77="","",IF(S77="","FALTAN DATOS",IF(NOT(ISNUMBER(E77)),"FALTA PRECIO",IF(V77&lt;0,"PIERDE",IF(W77&lt;Parametros!$B$18,"BAJO META","OK")))))</f>
        <v>FALTAN DATOS</v>
      </c>
      <c r="AA77" s="21" t="str">
        <f aca="false">IF(B77="","",IF(F77="","Tela. ","")&amp;IF(NOT(ISNUMBER(G77)),"Kg de tela. ","")&amp;IF(AND(F77&lt;&gt;"",NOT(ISNUMBER(IFERROR(INDEX(Precios!$D$5:$D$120,MATCH(F77,Precios!$A$5:$A$120,0)),"x")))),"Tela sin precio. ","")&amp;IF(AND(H77&lt;&gt;"",NOT(ISNUMBER(IFERROR(INDEX(Precios!$D$5:$D$120,MATCH(H77,Precios!$A$5:$A$120,0)),"x")))),"Tela 2 sin precio. ","")&amp;IF(J77="","Metros impresos. ","")&amp;IF(AND(N(J77)&gt;0,Parametros!$B$27=0),"Impresión sin costo. ","")&amp;IF(K77="","Confección. ",IF(Q77=0,"Confección sin valor. ",""))&amp;IF(NOT(ISNUMBER(E77)),"Precio de venta. ",""))</f>
        <v>Tela. Kg de tela. Metros impresos. </v>
      </c>
    </row>
    <row r="78" customFormat="false" ht="15" hidden="false" customHeight="false" outlineLevel="0" collapsed="false">
      <c r="A78" s="11" t="s">
        <v>248</v>
      </c>
      <c r="B78" s="11" t="s">
        <v>249</v>
      </c>
      <c r="C78" s="11" t="s">
        <v>65</v>
      </c>
      <c r="D78" s="11" t="n">
        <v>1</v>
      </c>
      <c r="E78" s="12" t="n">
        <v>11681</v>
      </c>
      <c r="F78" s="13"/>
      <c r="G78" s="14"/>
      <c r="H78" s="13"/>
      <c r="I78" s="14"/>
      <c r="J78" s="15"/>
      <c r="K78" s="13"/>
      <c r="L78" s="12"/>
      <c r="M78" s="13" t="s">
        <v>68</v>
      </c>
      <c r="N78" s="16"/>
      <c r="O78" s="17" t="n">
        <f aca="false">IF(B78="","",IFERROR(G78*INDEX(Precios!$D$5:$D$120,MATCH(F78,Precios!$A$5:$A$120,0)),0)+IF(H78="",0,IFERROR(I78*INDEX(Precios!$D$5:$D$120,MATCH(H78,Precios!$A$5:$A$120,0)),0)))</f>
        <v>0</v>
      </c>
      <c r="P78" s="17" t="n">
        <f aca="false">IF(B78="","",N(J78)*Parametros!$B$27)</f>
        <v>0</v>
      </c>
      <c r="Q78" s="17" t="n">
        <f aca="false">IF(B78="","",IFERROR(INDEX(Confeccion!$B$5:$B$100,MATCH(K78,Confeccion!$A$5:$A$100,0)),0))</f>
        <v>0</v>
      </c>
      <c r="R78" s="17" t="n">
        <f aca="false">IF(B78="","",N(L78))</f>
        <v>0</v>
      </c>
      <c r="S78" s="18" t="str">
        <f aca="false">IF(B78="","",IF(AND(F78&lt;&gt;"",ISNUMBER(G78),ISNUMBER(IFERROR(INDEX(Precios!$D$5:$D$120,MATCH(F78,Precios!$A$5:$A$120,0)),"x")),OR(H78="",ISNUMBER(IFERROR(INDEX(Precios!$D$5:$D$120,MATCH(H78,Precios!$A$5:$A$120,0)),"x"))),J78&lt;&gt;"",K78&lt;&gt;"",Q78&gt;0),SUM(O78:R78),""))</f>
        <v/>
      </c>
      <c r="T78" s="17" t="str">
        <f aca="false">IF(AND(S78&lt;&gt;"",ISNUMBER(E78)),E78*Parametros!$B$12,"")</f>
        <v/>
      </c>
      <c r="U78" s="17" t="str">
        <f aca="false">IF(AND(S78&lt;&gt;"",ISNUMBER(E78)),E78*Parametros!$B$13,"")</f>
        <v/>
      </c>
      <c r="V78" s="18" t="str">
        <f aca="false">IF(AND(S78&lt;&gt;"",ISNUMBER(E78)),E78-S78-T78-U78,"")</f>
        <v/>
      </c>
      <c r="W78" s="19" t="str">
        <f aca="false">IF(AND(S78&lt;&gt;"",ISNUMBER(E78)),V78/E78,"")</f>
        <v/>
      </c>
      <c r="X78" s="17" t="str">
        <f aca="false">IF(OR(S78="",Parametros!$B$14&gt;=1),"",S78/(1-Parametros!$B$14))</f>
        <v/>
      </c>
      <c r="Y78" s="17" t="str">
        <f aca="false">IF(OR(S78="",Parametros!$B$14+Parametros!$B$18&gt;=1),"",S78/(1-Parametros!$B$14-Parametros!$B$18))</f>
        <v/>
      </c>
      <c r="Z78" s="20" t="str">
        <f aca="false">IF(B78="","",IF(S78="","FALTAN DATOS",IF(NOT(ISNUMBER(E78)),"FALTA PRECIO",IF(V78&lt;0,"PIERDE",IF(W78&lt;Parametros!$B$18,"BAJO META","OK")))))</f>
        <v>FALTAN DATOS</v>
      </c>
      <c r="AA78" s="21" t="str">
        <f aca="false">IF(B78="","",IF(F78="","Tela. ","")&amp;IF(NOT(ISNUMBER(G78)),"Kg de tela. ","")&amp;IF(AND(F78&lt;&gt;"",NOT(ISNUMBER(IFERROR(INDEX(Precios!$D$5:$D$120,MATCH(F78,Precios!$A$5:$A$120,0)),"x")))),"Tela sin precio. ","")&amp;IF(AND(H78&lt;&gt;"",NOT(ISNUMBER(IFERROR(INDEX(Precios!$D$5:$D$120,MATCH(H78,Precios!$A$5:$A$120,0)),"x")))),"Tela 2 sin precio. ","")&amp;IF(J78="","Metros impresos. ","")&amp;IF(AND(N(J78)&gt;0,Parametros!$B$27=0),"Impresión sin costo. ","")&amp;IF(K78="","Confección. ",IF(Q78=0,"Confección sin valor. ",""))&amp;IF(NOT(ISNUMBER(E78)),"Precio de venta. ",""))</f>
        <v>Tela. Kg de tela. Metros impresos. Confección. </v>
      </c>
    </row>
    <row r="79" customFormat="false" ht="15" hidden="false" customHeight="false" outlineLevel="0" collapsed="false">
      <c r="A79" s="11" t="s">
        <v>250</v>
      </c>
      <c r="B79" s="11" t="s">
        <v>251</v>
      </c>
      <c r="C79" s="11" t="s">
        <v>89</v>
      </c>
      <c r="D79" s="11" t="n">
        <v>1</v>
      </c>
      <c r="E79" s="12" t="n">
        <v>21765</v>
      </c>
      <c r="F79" s="13"/>
      <c r="G79" s="14"/>
      <c r="H79" s="13"/>
      <c r="I79" s="14"/>
      <c r="J79" s="15"/>
      <c r="K79" s="13"/>
      <c r="L79" s="12"/>
      <c r="M79" s="13" t="s">
        <v>68</v>
      </c>
      <c r="N79" s="16"/>
      <c r="O79" s="17" t="n">
        <f aca="false">IF(B79="","",IFERROR(G79*INDEX(Precios!$D$5:$D$120,MATCH(F79,Precios!$A$5:$A$120,0)),0)+IF(H79="",0,IFERROR(I79*INDEX(Precios!$D$5:$D$120,MATCH(H79,Precios!$A$5:$A$120,0)),0)))</f>
        <v>0</v>
      </c>
      <c r="P79" s="17" t="n">
        <f aca="false">IF(B79="","",N(J79)*Parametros!$B$27)</f>
        <v>0</v>
      </c>
      <c r="Q79" s="17" t="n">
        <f aca="false">IF(B79="","",IFERROR(INDEX(Confeccion!$B$5:$B$100,MATCH(K79,Confeccion!$A$5:$A$100,0)),0))</f>
        <v>0</v>
      </c>
      <c r="R79" s="17" t="n">
        <f aca="false">IF(B79="","",N(L79))</f>
        <v>0</v>
      </c>
      <c r="S79" s="18" t="str">
        <f aca="false">IF(B79="","",IF(AND(F79&lt;&gt;"",ISNUMBER(G79),ISNUMBER(IFERROR(INDEX(Precios!$D$5:$D$120,MATCH(F79,Precios!$A$5:$A$120,0)),"x")),OR(H79="",ISNUMBER(IFERROR(INDEX(Precios!$D$5:$D$120,MATCH(H79,Precios!$A$5:$A$120,0)),"x"))),J79&lt;&gt;"",K79&lt;&gt;"",Q79&gt;0),SUM(O79:R79),""))</f>
        <v/>
      </c>
      <c r="T79" s="17" t="str">
        <f aca="false">IF(AND(S79&lt;&gt;"",ISNUMBER(E79)),E79*Parametros!$B$12,"")</f>
        <v/>
      </c>
      <c r="U79" s="17" t="str">
        <f aca="false">IF(AND(S79&lt;&gt;"",ISNUMBER(E79)),E79*Parametros!$B$13,"")</f>
        <v/>
      </c>
      <c r="V79" s="18" t="str">
        <f aca="false">IF(AND(S79&lt;&gt;"",ISNUMBER(E79)),E79-S79-T79-U79,"")</f>
        <v/>
      </c>
      <c r="W79" s="19" t="str">
        <f aca="false">IF(AND(S79&lt;&gt;"",ISNUMBER(E79)),V79/E79,"")</f>
        <v/>
      </c>
      <c r="X79" s="17" t="str">
        <f aca="false">IF(OR(S79="",Parametros!$B$14&gt;=1),"",S79/(1-Parametros!$B$14))</f>
        <v/>
      </c>
      <c r="Y79" s="17" t="str">
        <f aca="false">IF(OR(S79="",Parametros!$B$14+Parametros!$B$18&gt;=1),"",S79/(1-Parametros!$B$14-Parametros!$B$18))</f>
        <v/>
      </c>
      <c r="Z79" s="20" t="str">
        <f aca="false">IF(B79="","",IF(S79="","FALTAN DATOS",IF(NOT(ISNUMBER(E79)),"FALTA PRECIO",IF(V79&lt;0,"PIERDE",IF(W79&lt;Parametros!$B$18,"BAJO META","OK")))))</f>
        <v>FALTAN DATOS</v>
      </c>
      <c r="AA79" s="21" t="str">
        <f aca="false">IF(B79="","",IF(F79="","Tela. ","")&amp;IF(NOT(ISNUMBER(G79)),"Kg de tela. ","")&amp;IF(AND(F79&lt;&gt;"",NOT(ISNUMBER(IFERROR(INDEX(Precios!$D$5:$D$120,MATCH(F79,Precios!$A$5:$A$120,0)),"x")))),"Tela sin precio. ","")&amp;IF(AND(H79&lt;&gt;"",NOT(ISNUMBER(IFERROR(INDEX(Precios!$D$5:$D$120,MATCH(H79,Precios!$A$5:$A$120,0)),"x")))),"Tela 2 sin precio. ","")&amp;IF(J79="","Metros impresos. ","")&amp;IF(AND(N(J79)&gt;0,Parametros!$B$27=0),"Impresión sin costo. ","")&amp;IF(K79="","Confección. ",IF(Q79=0,"Confección sin valor. ",""))&amp;IF(NOT(ISNUMBER(E79)),"Precio de venta. ",""))</f>
        <v>Tela. Kg de tela. Metros impresos. Confección. </v>
      </c>
    </row>
    <row r="80" customFormat="false" ht="15" hidden="false" customHeight="false" outlineLevel="0" collapsed="false">
      <c r="A80" s="22"/>
      <c r="B80" s="22"/>
      <c r="C80" s="22"/>
      <c r="D80" s="13"/>
      <c r="E80" s="12"/>
      <c r="F80" s="13"/>
      <c r="G80" s="14"/>
      <c r="H80" s="13"/>
      <c r="I80" s="14"/>
      <c r="J80" s="15"/>
      <c r="K80" s="13"/>
      <c r="L80" s="12"/>
      <c r="M80" s="13"/>
      <c r="O80" s="17" t="str">
        <f aca="false">IF(B80="","",IFERROR(G80*INDEX(Precios!$D$5:$D$120,MATCH(F80,Precios!$A$5:$A$120,0)),0)+IF(H80="",0,IFERROR(I80*INDEX(Precios!$D$5:$D$120,MATCH(H80,Precios!$A$5:$A$120,0)),0)))</f>
        <v/>
      </c>
      <c r="P80" s="17" t="str">
        <f aca="false">IF(B80="","",N(J80)*Parametros!$B$27)</f>
        <v/>
      </c>
      <c r="Q80" s="17" t="str">
        <f aca="false">IF(B80="","",IFERROR(INDEX(Confeccion!$B$5:$B$100,MATCH(K80,Confeccion!$A$5:$A$100,0)),0))</f>
        <v/>
      </c>
      <c r="R80" s="17" t="str">
        <f aca="false">IF(B80="","",N(L80))</f>
        <v/>
      </c>
      <c r="S80" s="18" t="str">
        <f aca="false">IF(B80="","",IF(AND(F80&lt;&gt;"",ISNUMBER(G80),ISNUMBER(IFERROR(INDEX(Precios!$D$5:$D$120,MATCH(F80,Precios!$A$5:$A$120,0)),"x")),OR(H80="",ISNUMBER(IFERROR(INDEX(Precios!$D$5:$D$120,MATCH(H80,Precios!$A$5:$A$120,0)),"x"))),J80&lt;&gt;"",K80&lt;&gt;"",Q80&gt;0),SUM(O80:R80),""))</f>
        <v/>
      </c>
      <c r="T80" s="17" t="str">
        <f aca="false">IF(AND(S80&lt;&gt;"",ISNUMBER(E80)),E80*Parametros!$B$12,"")</f>
        <v/>
      </c>
      <c r="U80" s="17" t="str">
        <f aca="false">IF(AND(S80&lt;&gt;"",ISNUMBER(E80)),E80*Parametros!$B$13,"")</f>
        <v/>
      </c>
      <c r="V80" s="18" t="str">
        <f aca="false">IF(AND(S80&lt;&gt;"",ISNUMBER(E80)),E80-S80-T80-U80,"")</f>
        <v/>
      </c>
      <c r="W80" s="19" t="str">
        <f aca="false">IF(AND(S80&lt;&gt;"",ISNUMBER(E80)),V80/E80,"")</f>
        <v/>
      </c>
      <c r="X80" s="17" t="str">
        <f aca="false">IF(OR(S80="",Parametros!$B$14&gt;=1),"",S80/(1-Parametros!$B$14))</f>
        <v/>
      </c>
      <c r="Y80" s="17" t="str">
        <f aca="false">IF(OR(S80="",Parametros!$B$14+Parametros!$B$18&gt;=1),"",S80/(1-Parametros!$B$14-Parametros!$B$18))</f>
        <v/>
      </c>
      <c r="Z80" s="20" t="str">
        <f aca="false">IF(B80="","",IF(S80="","FALTAN DATOS",IF(NOT(ISNUMBER(E80)),"FALTA PRECIO",IF(V80&lt;0,"PIERDE",IF(W80&lt;Parametros!$B$18,"BAJO META","OK")))))</f>
        <v/>
      </c>
      <c r="AA80" s="21" t="str">
        <f aca="false">IF(B80="","",IF(F80="","Tela. ","")&amp;IF(NOT(ISNUMBER(G80)),"Kg de tela. ","")&amp;IF(AND(F80&lt;&gt;"",NOT(ISNUMBER(IFERROR(INDEX(Precios!$D$5:$D$120,MATCH(F80,Precios!$A$5:$A$120,0)),"x")))),"Tela sin precio. ","")&amp;IF(AND(H80&lt;&gt;"",NOT(ISNUMBER(IFERROR(INDEX(Precios!$D$5:$D$120,MATCH(H80,Precios!$A$5:$A$120,0)),"x")))),"Tela 2 sin precio. ","")&amp;IF(J80="","Metros impresos. ","")&amp;IF(AND(N(J80)&gt;0,Parametros!$B$27=0),"Impresión sin costo. ","")&amp;IF(K80="","Confección. ",IF(Q80=0,"Confección sin valor. ",""))&amp;IF(NOT(ISNUMBER(E80)),"Precio de venta. ",""))</f>
        <v/>
      </c>
    </row>
    <row r="81" customFormat="false" ht="15" hidden="false" customHeight="false" outlineLevel="0" collapsed="false">
      <c r="A81" s="22"/>
      <c r="B81" s="22"/>
      <c r="C81" s="22"/>
      <c r="D81" s="13"/>
      <c r="E81" s="12"/>
      <c r="F81" s="13"/>
      <c r="G81" s="14"/>
      <c r="H81" s="13"/>
      <c r="I81" s="14"/>
      <c r="J81" s="15"/>
      <c r="K81" s="13"/>
      <c r="L81" s="12"/>
      <c r="M81" s="13"/>
      <c r="O81" s="17" t="str">
        <f aca="false">IF(B81="","",IFERROR(G81*INDEX(Precios!$D$5:$D$120,MATCH(F81,Precios!$A$5:$A$120,0)),0)+IF(H81="",0,IFERROR(I81*INDEX(Precios!$D$5:$D$120,MATCH(H81,Precios!$A$5:$A$120,0)),0)))</f>
        <v/>
      </c>
      <c r="P81" s="17" t="str">
        <f aca="false">IF(B81="","",N(J81)*Parametros!$B$27)</f>
        <v/>
      </c>
      <c r="Q81" s="17" t="str">
        <f aca="false">IF(B81="","",IFERROR(INDEX(Confeccion!$B$5:$B$100,MATCH(K81,Confeccion!$A$5:$A$100,0)),0))</f>
        <v/>
      </c>
      <c r="R81" s="17" t="str">
        <f aca="false">IF(B81="","",N(L81))</f>
        <v/>
      </c>
      <c r="S81" s="18" t="str">
        <f aca="false">IF(B81="","",IF(AND(F81&lt;&gt;"",ISNUMBER(G81),ISNUMBER(IFERROR(INDEX(Precios!$D$5:$D$120,MATCH(F81,Precios!$A$5:$A$120,0)),"x")),OR(H81="",ISNUMBER(IFERROR(INDEX(Precios!$D$5:$D$120,MATCH(H81,Precios!$A$5:$A$120,0)),"x"))),J81&lt;&gt;"",K81&lt;&gt;"",Q81&gt;0),SUM(O81:R81),""))</f>
        <v/>
      </c>
      <c r="T81" s="17" t="str">
        <f aca="false">IF(AND(S81&lt;&gt;"",ISNUMBER(E81)),E81*Parametros!$B$12,"")</f>
        <v/>
      </c>
      <c r="U81" s="17" t="str">
        <f aca="false">IF(AND(S81&lt;&gt;"",ISNUMBER(E81)),E81*Parametros!$B$13,"")</f>
        <v/>
      </c>
      <c r="V81" s="18" t="str">
        <f aca="false">IF(AND(S81&lt;&gt;"",ISNUMBER(E81)),E81-S81-T81-U81,"")</f>
        <v/>
      </c>
      <c r="W81" s="19" t="str">
        <f aca="false">IF(AND(S81&lt;&gt;"",ISNUMBER(E81)),V81/E81,"")</f>
        <v/>
      </c>
      <c r="X81" s="17" t="str">
        <f aca="false">IF(OR(S81="",Parametros!$B$14&gt;=1),"",S81/(1-Parametros!$B$14))</f>
        <v/>
      </c>
      <c r="Y81" s="17" t="str">
        <f aca="false">IF(OR(S81="",Parametros!$B$14+Parametros!$B$18&gt;=1),"",S81/(1-Parametros!$B$14-Parametros!$B$18))</f>
        <v/>
      </c>
      <c r="Z81" s="20" t="str">
        <f aca="false">IF(B81="","",IF(S81="","FALTAN DATOS",IF(NOT(ISNUMBER(E81)),"FALTA PRECIO",IF(V81&lt;0,"PIERDE",IF(W81&lt;Parametros!$B$18,"BAJO META","OK")))))</f>
        <v/>
      </c>
      <c r="AA81" s="21" t="str">
        <f aca="false">IF(B81="","",IF(F81="","Tela. ","")&amp;IF(NOT(ISNUMBER(G81)),"Kg de tela. ","")&amp;IF(AND(F81&lt;&gt;"",NOT(ISNUMBER(IFERROR(INDEX(Precios!$D$5:$D$120,MATCH(F81,Precios!$A$5:$A$120,0)),"x")))),"Tela sin precio. ","")&amp;IF(AND(H81&lt;&gt;"",NOT(ISNUMBER(IFERROR(INDEX(Precios!$D$5:$D$120,MATCH(H81,Precios!$A$5:$A$120,0)),"x")))),"Tela 2 sin precio. ","")&amp;IF(J81="","Metros impresos. ","")&amp;IF(AND(N(J81)&gt;0,Parametros!$B$27=0),"Impresión sin costo. ","")&amp;IF(K81="","Confección. ",IF(Q81=0,"Confección sin valor. ",""))&amp;IF(NOT(ISNUMBER(E81)),"Precio de venta. ",""))</f>
        <v/>
      </c>
    </row>
    <row r="82" customFormat="false" ht="15" hidden="false" customHeight="false" outlineLevel="0" collapsed="false">
      <c r="A82" s="22"/>
      <c r="B82" s="22"/>
      <c r="C82" s="22"/>
      <c r="D82" s="13"/>
      <c r="E82" s="12"/>
      <c r="F82" s="13"/>
      <c r="G82" s="14"/>
      <c r="H82" s="13"/>
      <c r="I82" s="14"/>
      <c r="J82" s="15"/>
      <c r="K82" s="13"/>
      <c r="L82" s="12"/>
      <c r="M82" s="13"/>
      <c r="O82" s="17" t="str">
        <f aca="false">IF(B82="","",IFERROR(G82*INDEX(Precios!$D$5:$D$120,MATCH(F82,Precios!$A$5:$A$120,0)),0)+IF(H82="",0,IFERROR(I82*INDEX(Precios!$D$5:$D$120,MATCH(H82,Precios!$A$5:$A$120,0)),0)))</f>
        <v/>
      </c>
      <c r="P82" s="17" t="str">
        <f aca="false">IF(B82="","",N(J82)*Parametros!$B$27)</f>
        <v/>
      </c>
      <c r="Q82" s="17" t="str">
        <f aca="false">IF(B82="","",IFERROR(INDEX(Confeccion!$B$5:$B$100,MATCH(K82,Confeccion!$A$5:$A$100,0)),0))</f>
        <v/>
      </c>
      <c r="R82" s="17" t="str">
        <f aca="false">IF(B82="","",N(L82))</f>
        <v/>
      </c>
      <c r="S82" s="18" t="str">
        <f aca="false">IF(B82="","",IF(AND(F82&lt;&gt;"",ISNUMBER(G82),ISNUMBER(IFERROR(INDEX(Precios!$D$5:$D$120,MATCH(F82,Precios!$A$5:$A$120,0)),"x")),OR(H82="",ISNUMBER(IFERROR(INDEX(Precios!$D$5:$D$120,MATCH(H82,Precios!$A$5:$A$120,0)),"x"))),J82&lt;&gt;"",K82&lt;&gt;"",Q82&gt;0),SUM(O82:R82),""))</f>
        <v/>
      </c>
      <c r="T82" s="17" t="str">
        <f aca="false">IF(AND(S82&lt;&gt;"",ISNUMBER(E82)),E82*Parametros!$B$12,"")</f>
        <v/>
      </c>
      <c r="U82" s="17" t="str">
        <f aca="false">IF(AND(S82&lt;&gt;"",ISNUMBER(E82)),E82*Parametros!$B$13,"")</f>
        <v/>
      </c>
      <c r="V82" s="18" t="str">
        <f aca="false">IF(AND(S82&lt;&gt;"",ISNUMBER(E82)),E82-S82-T82-U82,"")</f>
        <v/>
      </c>
      <c r="W82" s="19" t="str">
        <f aca="false">IF(AND(S82&lt;&gt;"",ISNUMBER(E82)),V82/E82,"")</f>
        <v/>
      </c>
      <c r="X82" s="17" t="str">
        <f aca="false">IF(OR(S82="",Parametros!$B$14&gt;=1),"",S82/(1-Parametros!$B$14))</f>
        <v/>
      </c>
      <c r="Y82" s="17" t="str">
        <f aca="false">IF(OR(S82="",Parametros!$B$14+Parametros!$B$18&gt;=1),"",S82/(1-Parametros!$B$14-Parametros!$B$18))</f>
        <v/>
      </c>
      <c r="Z82" s="20" t="str">
        <f aca="false">IF(B82="","",IF(S82="","FALTAN DATOS",IF(NOT(ISNUMBER(E82)),"FALTA PRECIO",IF(V82&lt;0,"PIERDE",IF(W82&lt;Parametros!$B$18,"BAJO META","OK")))))</f>
        <v/>
      </c>
      <c r="AA82" s="21" t="str">
        <f aca="false">IF(B82="","",IF(F82="","Tela. ","")&amp;IF(NOT(ISNUMBER(G82)),"Kg de tela. ","")&amp;IF(AND(F82&lt;&gt;"",NOT(ISNUMBER(IFERROR(INDEX(Precios!$D$5:$D$120,MATCH(F82,Precios!$A$5:$A$120,0)),"x")))),"Tela sin precio. ","")&amp;IF(AND(H82&lt;&gt;"",NOT(ISNUMBER(IFERROR(INDEX(Precios!$D$5:$D$120,MATCH(H82,Precios!$A$5:$A$120,0)),"x")))),"Tela 2 sin precio. ","")&amp;IF(J82="","Metros impresos. ","")&amp;IF(AND(N(J82)&gt;0,Parametros!$B$27=0),"Impresión sin costo. ","")&amp;IF(K82="","Confección. ",IF(Q82=0,"Confección sin valor. ",""))&amp;IF(NOT(ISNUMBER(E82)),"Precio de venta. ",""))</f>
        <v/>
      </c>
    </row>
    <row r="83" customFormat="false" ht="15" hidden="false" customHeight="false" outlineLevel="0" collapsed="false">
      <c r="A83" s="22"/>
      <c r="B83" s="22"/>
      <c r="C83" s="22"/>
      <c r="D83" s="13"/>
      <c r="E83" s="12"/>
      <c r="F83" s="13"/>
      <c r="G83" s="14"/>
      <c r="H83" s="13"/>
      <c r="I83" s="14"/>
      <c r="J83" s="15"/>
      <c r="K83" s="13"/>
      <c r="L83" s="12"/>
      <c r="M83" s="13"/>
      <c r="O83" s="17" t="str">
        <f aca="false">IF(B83="","",IFERROR(G83*INDEX(Precios!$D$5:$D$120,MATCH(F83,Precios!$A$5:$A$120,0)),0)+IF(H83="",0,IFERROR(I83*INDEX(Precios!$D$5:$D$120,MATCH(H83,Precios!$A$5:$A$120,0)),0)))</f>
        <v/>
      </c>
      <c r="P83" s="17" t="str">
        <f aca="false">IF(B83="","",N(J83)*Parametros!$B$27)</f>
        <v/>
      </c>
      <c r="Q83" s="17" t="str">
        <f aca="false">IF(B83="","",IFERROR(INDEX(Confeccion!$B$5:$B$100,MATCH(K83,Confeccion!$A$5:$A$100,0)),0))</f>
        <v/>
      </c>
      <c r="R83" s="17" t="str">
        <f aca="false">IF(B83="","",N(L83))</f>
        <v/>
      </c>
      <c r="S83" s="18" t="str">
        <f aca="false">IF(B83="","",IF(AND(F83&lt;&gt;"",ISNUMBER(G83),ISNUMBER(IFERROR(INDEX(Precios!$D$5:$D$120,MATCH(F83,Precios!$A$5:$A$120,0)),"x")),OR(H83="",ISNUMBER(IFERROR(INDEX(Precios!$D$5:$D$120,MATCH(H83,Precios!$A$5:$A$120,0)),"x"))),J83&lt;&gt;"",K83&lt;&gt;"",Q83&gt;0),SUM(O83:R83),""))</f>
        <v/>
      </c>
      <c r="T83" s="17" t="str">
        <f aca="false">IF(AND(S83&lt;&gt;"",ISNUMBER(E83)),E83*Parametros!$B$12,"")</f>
        <v/>
      </c>
      <c r="U83" s="17" t="str">
        <f aca="false">IF(AND(S83&lt;&gt;"",ISNUMBER(E83)),E83*Parametros!$B$13,"")</f>
        <v/>
      </c>
      <c r="V83" s="18" t="str">
        <f aca="false">IF(AND(S83&lt;&gt;"",ISNUMBER(E83)),E83-S83-T83-U83,"")</f>
        <v/>
      </c>
      <c r="W83" s="19" t="str">
        <f aca="false">IF(AND(S83&lt;&gt;"",ISNUMBER(E83)),V83/E83,"")</f>
        <v/>
      </c>
      <c r="X83" s="17" t="str">
        <f aca="false">IF(OR(S83="",Parametros!$B$14&gt;=1),"",S83/(1-Parametros!$B$14))</f>
        <v/>
      </c>
      <c r="Y83" s="17" t="str">
        <f aca="false">IF(OR(S83="",Parametros!$B$14+Parametros!$B$18&gt;=1),"",S83/(1-Parametros!$B$14-Parametros!$B$18))</f>
        <v/>
      </c>
      <c r="Z83" s="20" t="str">
        <f aca="false">IF(B83="","",IF(S83="","FALTAN DATOS",IF(NOT(ISNUMBER(E83)),"FALTA PRECIO",IF(V83&lt;0,"PIERDE",IF(W83&lt;Parametros!$B$18,"BAJO META","OK")))))</f>
        <v/>
      </c>
      <c r="AA83" s="21" t="str">
        <f aca="false">IF(B83="","",IF(F83="","Tela. ","")&amp;IF(NOT(ISNUMBER(G83)),"Kg de tela. ","")&amp;IF(AND(F83&lt;&gt;"",NOT(ISNUMBER(IFERROR(INDEX(Precios!$D$5:$D$120,MATCH(F83,Precios!$A$5:$A$120,0)),"x")))),"Tela sin precio. ","")&amp;IF(AND(H83&lt;&gt;"",NOT(ISNUMBER(IFERROR(INDEX(Precios!$D$5:$D$120,MATCH(H83,Precios!$A$5:$A$120,0)),"x")))),"Tela 2 sin precio. ","")&amp;IF(J83="","Metros impresos. ","")&amp;IF(AND(N(J83)&gt;0,Parametros!$B$27=0),"Impresión sin costo. ","")&amp;IF(K83="","Confección. ",IF(Q83=0,"Confección sin valor. ",""))&amp;IF(NOT(ISNUMBER(E83)),"Precio de venta. ",""))</f>
        <v/>
      </c>
    </row>
    <row r="84" customFormat="false" ht="15" hidden="false" customHeight="false" outlineLevel="0" collapsed="false">
      <c r="A84" s="22"/>
      <c r="B84" s="22"/>
      <c r="C84" s="22"/>
      <c r="D84" s="13"/>
      <c r="E84" s="12"/>
      <c r="F84" s="13"/>
      <c r="G84" s="14"/>
      <c r="H84" s="13"/>
      <c r="I84" s="14"/>
      <c r="J84" s="15"/>
      <c r="K84" s="13"/>
      <c r="L84" s="12"/>
      <c r="M84" s="13"/>
      <c r="O84" s="17" t="str">
        <f aca="false">IF(B84="","",IFERROR(G84*INDEX(Precios!$D$5:$D$120,MATCH(F84,Precios!$A$5:$A$120,0)),0)+IF(H84="",0,IFERROR(I84*INDEX(Precios!$D$5:$D$120,MATCH(H84,Precios!$A$5:$A$120,0)),0)))</f>
        <v/>
      </c>
      <c r="P84" s="17" t="str">
        <f aca="false">IF(B84="","",N(J84)*Parametros!$B$27)</f>
        <v/>
      </c>
      <c r="Q84" s="17" t="str">
        <f aca="false">IF(B84="","",IFERROR(INDEX(Confeccion!$B$5:$B$100,MATCH(K84,Confeccion!$A$5:$A$100,0)),0))</f>
        <v/>
      </c>
      <c r="R84" s="17" t="str">
        <f aca="false">IF(B84="","",N(L84))</f>
        <v/>
      </c>
      <c r="S84" s="18" t="str">
        <f aca="false">IF(B84="","",IF(AND(F84&lt;&gt;"",ISNUMBER(G84),ISNUMBER(IFERROR(INDEX(Precios!$D$5:$D$120,MATCH(F84,Precios!$A$5:$A$120,0)),"x")),OR(H84="",ISNUMBER(IFERROR(INDEX(Precios!$D$5:$D$120,MATCH(H84,Precios!$A$5:$A$120,0)),"x"))),J84&lt;&gt;"",K84&lt;&gt;"",Q84&gt;0),SUM(O84:R84),""))</f>
        <v/>
      </c>
      <c r="T84" s="17" t="str">
        <f aca="false">IF(AND(S84&lt;&gt;"",ISNUMBER(E84)),E84*Parametros!$B$12,"")</f>
        <v/>
      </c>
      <c r="U84" s="17" t="str">
        <f aca="false">IF(AND(S84&lt;&gt;"",ISNUMBER(E84)),E84*Parametros!$B$13,"")</f>
        <v/>
      </c>
      <c r="V84" s="18" t="str">
        <f aca="false">IF(AND(S84&lt;&gt;"",ISNUMBER(E84)),E84-S84-T84-U84,"")</f>
        <v/>
      </c>
      <c r="W84" s="19" t="str">
        <f aca="false">IF(AND(S84&lt;&gt;"",ISNUMBER(E84)),V84/E84,"")</f>
        <v/>
      </c>
      <c r="X84" s="17" t="str">
        <f aca="false">IF(OR(S84="",Parametros!$B$14&gt;=1),"",S84/(1-Parametros!$B$14))</f>
        <v/>
      </c>
      <c r="Y84" s="17" t="str">
        <f aca="false">IF(OR(S84="",Parametros!$B$14+Parametros!$B$18&gt;=1),"",S84/(1-Parametros!$B$14-Parametros!$B$18))</f>
        <v/>
      </c>
      <c r="Z84" s="20" t="str">
        <f aca="false">IF(B84="","",IF(S84="","FALTAN DATOS",IF(NOT(ISNUMBER(E84)),"FALTA PRECIO",IF(V84&lt;0,"PIERDE",IF(W84&lt;Parametros!$B$18,"BAJO META","OK")))))</f>
        <v/>
      </c>
      <c r="AA84" s="21" t="str">
        <f aca="false">IF(B84="","",IF(F84="","Tela. ","")&amp;IF(NOT(ISNUMBER(G84)),"Kg de tela. ","")&amp;IF(AND(F84&lt;&gt;"",NOT(ISNUMBER(IFERROR(INDEX(Precios!$D$5:$D$120,MATCH(F84,Precios!$A$5:$A$120,0)),"x")))),"Tela sin precio. ","")&amp;IF(AND(H84&lt;&gt;"",NOT(ISNUMBER(IFERROR(INDEX(Precios!$D$5:$D$120,MATCH(H84,Precios!$A$5:$A$120,0)),"x")))),"Tela 2 sin precio. ","")&amp;IF(J84="","Metros impresos. ","")&amp;IF(AND(N(J84)&gt;0,Parametros!$B$27=0),"Impresión sin costo. ","")&amp;IF(K84="","Confección. ",IF(Q84=0,"Confección sin valor. ",""))&amp;IF(NOT(ISNUMBER(E84)),"Precio de venta. ",""))</f>
        <v/>
      </c>
    </row>
    <row r="85" customFormat="false" ht="15" hidden="false" customHeight="false" outlineLevel="0" collapsed="false">
      <c r="A85" s="22"/>
      <c r="B85" s="22"/>
      <c r="C85" s="22"/>
      <c r="D85" s="13"/>
      <c r="E85" s="12"/>
      <c r="F85" s="13"/>
      <c r="G85" s="14"/>
      <c r="H85" s="13"/>
      <c r="I85" s="14"/>
      <c r="J85" s="15"/>
      <c r="K85" s="13"/>
      <c r="L85" s="12"/>
      <c r="M85" s="13"/>
      <c r="O85" s="17" t="str">
        <f aca="false">IF(B85="","",IFERROR(G85*INDEX(Precios!$D$5:$D$120,MATCH(F85,Precios!$A$5:$A$120,0)),0)+IF(H85="",0,IFERROR(I85*INDEX(Precios!$D$5:$D$120,MATCH(H85,Precios!$A$5:$A$120,0)),0)))</f>
        <v/>
      </c>
      <c r="P85" s="17" t="str">
        <f aca="false">IF(B85="","",N(J85)*Parametros!$B$27)</f>
        <v/>
      </c>
      <c r="Q85" s="17" t="str">
        <f aca="false">IF(B85="","",IFERROR(INDEX(Confeccion!$B$5:$B$100,MATCH(K85,Confeccion!$A$5:$A$100,0)),0))</f>
        <v/>
      </c>
      <c r="R85" s="17" t="str">
        <f aca="false">IF(B85="","",N(L85))</f>
        <v/>
      </c>
      <c r="S85" s="18" t="str">
        <f aca="false">IF(B85="","",IF(AND(F85&lt;&gt;"",ISNUMBER(G85),ISNUMBER(IFERROR(INDEX(Precios!$D$5:$D$120,MATCH(F85,Precios!$A$5:$A$120,0)),"x")),OR(H85="",ISNUMBER(IFERROR(INDEX(Precios!$D$5:$D$120,MATCH(H85,Precios!$A$5:$A$120,0)),"x"))),J85&lt;&gt;"",K85&lt;&gt;"",Q85&gt;0),SUM(O85:R85),""))</f>
        <v/>
      </c>
      <c r="T85" s="17" t="str">
        <f aca="false">IF(AND(S85&lt;&gt;"",ISNUMBER(E85)),E85*Parametros!$B$12,"")</f>
        <v/>
      </c>
      <c r="U85" s="17" t="str">
        <f aca="false">IF(AND(S85&lt;&gt;"",ISNUMBER(E85)),E85*Parametros!$B$13,"")</f>
        <v/>
      </c>
      <c r="V85" s="18" t="str">
        <f aca="false">IF(AND(S85&lt;&gt;"",ISNUMBER(E85)),E85-S85-T85-U85,"")</f>
        <v/>
      </c>
      <c r="W85" s="19" t="str">
        <f aca="false">IF(AND(S85&lt;&gt;"",ISNUMBER(E85)),V85/E85,"")</f>
        <v/>
      </c>
      <c r="X85" s="17" t="str">
        <f aca="false">IF(OR(S85="",Parametros!$B$14&gt;=1),"",S85/(1-Parametros!$B$14))</f>
        <v/>
      </c>
      <c r="Y85" s="17" t="str">
        <f aca="false">IF(OR(S85="",Parametros!$B$14+Parametros!$B$18&gt;=1),"",S85/(1-Parametros!$B$14-Parametros!$B$18))</f>
        <v/>
      </c>
      <c r="Z85" s="20" t="str">
        <f aca="false">IF(B85="","",IF(S85="","FALTAN DATOS",IF(NOT(ISNUMBER(E85)),"FALTA PRECIO",IF(V85&lt;0,"PIERDE",IF(W85&lt;Parametros!$B$18,"BAJO META","OK")))))</f>
        <v/>
      </c>
      <c r="AA85" s="21" t="str">
        <f aca="false">IF(B85="","",IF(F85="","Tela. ","")&amp;IF(NOT(ISNUMBER(G85)),"Kg de tela. ","")&amp;IF(AND(F85&lt;&gt;"",NOT(ISNUMBER(IFERROR(INDEX(Precios!$D$5:$D$120,MATCH(F85,Precios!$A$5:$A$120,0)),"x")))),"Tela sin precio. ","")&amp;IF(AND(H85&lt;&gt;"",NOT(ISNUMBER(IFERROR(INDEX(Precios!$D$5:$D$120,MATCH(H85,Precios!$A$5:$A$120,0)),"x")))),"Tela 2 sin precio. ","")&amp;IF(J85="","Metros impresos. ","")&amp;IF(AND(N(J85)&gt;0,Parametros!$B$27=0),"Impresión sin costo. ","")&amp;IF(K85="","Confección. ",IF(Q85=0,"Confección sin valor. ",""))&amp;IF(NOT(ISNUMBER(E85)),"Precio de venta. ",""))</f>
        <v/>
      </c>
    </row>
    <row r="86" customFormat="false" ht="15" hidden="false" customHeight="false" outlineLevel="0" collapsed="false">
      <c r="A86" s="22"/>
      <c r="B86" s="22"/>
      <c r="C86" s="22"/>
      <c r="D86" s="13"/>
      <c r="E86" s="12"/>
      <c r="F86" s="13"/>
      <c r="G86" s="14"/>
      <c r="H86" s="13"/>
      <c r="I86" s="14"/>
      <c r="J86" s="15"/>
      <c r="K86" s="13"/>
      <c r="L86" s="12"/>
      <c r="M86" s="13"/>
      <c r="O86" s="17" t="str">
        <f aca="false">IF(B86="","",IFERROR(G86*INDEX(Precios!$D$5:$D$120,MATCH(F86,Precios!$A$5:$A$120,0)),0)+IF(H86="",0,IFERROR(I86*INDEX(Precios!$D$5:$D$120,MATCH(H86,Precios!$A$5:$A$120,0)),0)))</f>
        <v/>
      </c>
      <c r="P86" s="17" t="str">
        <f aca="false">IF(B86="","",N(J86)*Parametros!$B$27)</f>
        <v/>
      </c>
      <c r="Q86" s="17" t="str">
        <f aca="false">IF(B86="","",IFERROR(INDEX(Confeccion!$B$5:$B$100,MATCH(K86,Confeccion!$A$5:$A$100,0)),0))</f>
        <v/>
      </c>
      <c r="R86" s="17" t="str">
        <f aca="false">IF(B86="","",N(L86))</f>
        <v/>
      </c>
      <c r="S86" s="18" t="str">
        <f aca="false">IF(B86="","",IF(AND(F86&lt;&gt;"",ISNUMBER(G86),ISNUMBER(IFERROR(INDEX(Precios!$D$5:$D$120,MATCH(F86,Precios!$A$5:$A$120,0)),"x")),OR(H86="",ISNUMBER(IFERROR(INDEX(Precios!$D$5:$D$120,MATCH(H86,Precios!$A$5:$A$120,0)),"x"))),J86&lt;&gt;"",K86&lt;&gt;"",Q86&gt;0),SUM(O86:R86),""))</f>
        <v/>
      </c>
      <c r="T86" s="17" t="str">
        <f aca="false">IF(AND(S86&lt;&gt;"",ISNUMBER(E86)),E86*Parametros!$B$12,"")</f>
        <v/>
      </c>
      <c r="U86" s="17" t="str">
        <f aca="false">IF(AND(S86&lt;&gt;"",ISNUMBER(E86)),E86*Parametros!$B$13,"")</f>
        <v/>
      </c>
      <c r="V86" s="18" t="str">
        <f aca="false">IF(AND(S86&lt;&gt;"",ISNUMBER(E86)),E86-S86-T86-U86,"")</f>
        <v/>
      </c>
      <c r="W86" s="19" t="str">
        <f aca="false">IF(AND(S86&lt;&gt;"",ISNUMBER(E86)),V86/E86,"")</f>
        <v/>
      </c>
      <c r="X86" s="17" t="str">
        <f aca="false">IF(OR(S86="",Parametros!$B$14&gt;=1),"",S86/(1-Parametros!$B$14))</f>
        <v/>
      </c>
      <c r="Y86" s="17" t="str">
        <f aca="false">IF(OR(S86="",Parametros!$B$14+Parametros!$B$18&gt;=1),"",S86/(1-Parametros!$B$14-Parametros!$B$18))</f>
        <v/>
      </c>
      <c r="Z86" s="20" t="str">
        <f aca="false">IF(B86="","",IF(S86="","FALTAN DATOS",IF(NOT(ISNUMBER(E86)),"FALTA PRECIO",IF(V86&lt;0,"PIERDE",IF(W86&lt;Parametros!$B$18,"BAJO META","OK")))))</f>
        <v/>
      </c>
      <c r="AA86" s="21" t="str">
        <f aca="false">IF(B86="","",IF(F86="","Tela. ","")&amp;IF(NOT(ISNUMBER(G86)),"Kg de tela. ","")&amp;IF(AND(F86&lt;&gt;"",NOT(ISNUMBER(IFERROR(INDEX(Precios!$D$5:$D$120,MATCH(F86,Precios!$A$5:$A$120,0)),"x")))),"Tela sin precio. ","")&amp;IF(AND(H86&lt;&gt;"",NOT(ISNUMBER(IFERROR(INDEX(Precios!$D$5:$D$120,MATCH(H86,Precios!$A$5:$A$120,0)),"x")))),"Tela 2 sin precio. ","")&amp;IF(J86="","Metros impresos. ","")&amp;IF(AND(N(J86)&gt;0,Parametros!$B$27=0),"Impresión sin costo. ","")&amp;IF(K86="","Confección. ",IF(Q86=0,"Confección sin valor. ",""))&amp;IF(NOT(ISNUMBER(E86)),"Precio de venta. ",""))</f>
        <v/>
      </c>
    </row>
    <row r="87" customFormat="false" ht="15" hidden="false" customHeight="false" outlineLevel="0" collapsed="false">
      <c r="A87" s="22"/>
      <c r="B87" s="22"/>
      <c r="C87" s="22"/>
      <c r="D87" s="13"/>
      <c r="E87" s="12"/>
      <c r="F87" s="13"/>
      <c r="G87" s="14"/>
      <c r="H87" s="13"/>
      <c r="I87" s="14"/>
      <c r="J87" s="15"/>
      <c r="K87" s="13"/>
      <c r="L87" s="12"/>
      <c r="M87" s="13"/>
      <c r="O87" s="17" t="str">
        <f aca="false">IF(B87="","",IFERROR(G87*INDEX(Precios!$D$5:$D$120,MATCH(F87,Precios!$A$5:$A$120,0)),0)+IF(H87="",0,IFERROR(I87*INDEX(Precios!$D$5:$D$120,MATCH(H87,Precios!$A$5:$A$120,0)),0)))</f>
        <v/>
      </c>
      <c r="P87" s="17" t="str">
        <f aca="false">IF(B87="","",N(J87)*Parametros!$B$27)</f>
        <v/>
      </c>
      <c r="Q87" s="17" t="str">
        <f aca="false">IF(B87="","",IFERROR(INDEX(Confeccion!$B$5:$B$100,MATCH(K87,Confeccion!$A$5:$A$100,0)),0))</f>
        <v/>
      </c>
      <c r="R87" s="17" t="str">
        <f aca="false">IF(B87="","",N(L87))</f>
        <v/>
      </c>
      <c r="S87" s="18" t="str">
        <f aca="false">IF(B87="","",IF(AND(F87&lt;&gt;"",ISNUMBER(G87),ISNUMBER(IFERROR(INDEX(Precios!$D$5:$D$120,MATCH(F87,Precios!$A$5:$A$120,0)),"x")),OR(H87="",ISNUMBER(IFERROR(INDEX(Precios!$D$5:$D$120,MATCH(H87,Precios!$A$5:$A$120,0)),"x"))),J87&lt;&gt;"",K87&lt;&gt;"",Q87&gt;0),SUM(O87:R87),""))</f>
        <v/>
      </c>
      <c r="T87" s="17" t="str">
        <f aca="false">IF(AND(S87&lt;&gt;"",ISNUMBER(E87)),E87*Parametros!$B$12,"")</f>
        <v/>
      </c>
      <c r="U87" s="17" t="str">
        <f aca="false">IF(AND(S87&lt;&gt;"",ISNUMBER(E87)),E87*Parametros!$B$13,"")</f>
        <v/>
      </c>
      <c r="V87" s="18" t="str">
        <f aca="false">IF(AND(S87&lt;&gt;"",ISNUMBER(E87)),E87-S87-T87-U87,"")</f>
        <v/>
      </c>
      <c r="W87" s="19" t="str">
        <f aca="false">IF(AND(S87&lt;&gt;"",ISNUMBER(E87)),V87/E87,"")</f>
        <v/>
      </c>
      <c r="X87" s="17" t="str">
        <f aca="false">IF(OR(S87="",Parametros!$B$14&gt;=1),"",S87/(1-Parametros!$B$14))</f>
        <v/>
      </c>
      <c r="Y87" s="17" t="str">
        <f aca="false">IF(OR(S87="",Parametros!$B$14+Parametros!$B$18&gt;=1),"",S87/(1-Parametros!$B$14-Parametros!$B$18))</f>
        <v/>
      </c>
      <c r="Z87" s="20" t="str">
        <f aca="false">IF(B87="","",IF(S87="","FALTAN DATOS",IF(NOT(ISNUMBER(E87)),"FALTA PRECIO",IF(V87&lt;0,"PIERDE",IF(W87&lt;Parametros!$B$18,"BAJO META","OK")))))</f>
        <v/>
      </c>
      <c r="AA87" s="21" t="str">
        <f aca="false">IF(B87="","",IF(F87="","Tela. ","")&amp;IF(NOT(ISNUMBER(G87)),"Kg de tela. ","")&amp;IF(AND(F87&lt;&gt;"",NOT(ISNUMBER(IFERROR(INDEX(Precios!$D$5:$D$120,MATCH(F87,Precios!$A$5:$A$120,0)),"x")))),"Tela sin precio. ","")&amp;IF(AND(H87&lt;&gt;"",NOT(ISNUMBER(IFERROR(INDEX(Precios!$D$5:$D$120,MATCH(H87,Precios!$A$5:$A$120,0)),"x")))),"Tela 2 sin precio. ","")&amp;IF(J87="","Metros impresos. ","")&amp;IF(AND(N(J87)&gt;0,Parametros!$B$27=0),"Impresión sin costo. ","")&amp;IF(K87="","Confección. ",IF(Q87=0,"Confección sin valor. ",""))&amp;IF(NOT(ISNUMBER(E87)),"Precio de venta. ",""))</f>
        <v/>
      </c>
    </row>
    <row r="88" customFormat="false" ht="15" hidden="false" customHeight="false" outlineLevel="0" collapsed="false">
      <c r="A88" s="22"/>
      <c r="B88" s="22"/>
      <c r="C88" s="22"/>
      <c r="D88" s="13"/>
      <c r="E88" s="12"/>
      <c r="F88" s="13"/>
      <c r="G88" s="14"/>
      <c r="H88" s="13"/>
      <c r="I88" s="14"/>
      <c r="J88" s="15"/>
      <c r="K88" s="13"/>
      <c r="L88" s="12"/>
      <c r="M88" s="13"/>
      <c r="O88" s="17" t="str">
        <f aca="false">IF(B88="","",IFERROR(G88*INDEX(Precios!$D$5:$D$120,MATCH(F88,Precios!$A$5:$A$120,0)),0)+IF(H88="",0,IFERROR(I88*INDEX(Precios!$D$5:$D$120,MATCH(H88,Precios!$A$5:$A$120,0)),0)))</f>
        <v/>
      </c>
      <c r="P88" s="17" t="str">
        <f aca="false">IF(B88="","",N(J88)*Parametros!$B$27)</f>
        <v/>
      </c>
      <c r="Q88" s="17" t="str">
        <f aca="false">IF(B88="","",IFERROR(INDEX(Confeccion!$B$5:$B$100,MATCH(K88,Confeccion!$A$5:$A$100,0)),0))</f>
        <v/>
      </c>
      <c r="R88" s="17" t="str">
        <f aca="false">IF(B88="","",N(L88))</f>
        <v/>
      </c>
      <c r="S88" s="18" t="str">
        <f aca="false">IF(B88="","",IF(AND(F88&lt;&gt;"",ISNUMBER(G88),ISNUMBER(IFERROR(INDEX(Precios!$D$5:$D$120,MATCH(F88,Precios!$A$5:$A$120,0)),"x")),OR(H88="",ISNUMBER(IFERROR(INDEX(Precios!$D$5:$D$120,MATCH(H88,Precios!$A$5:$A$120,0)),"x"))),J88&lt;&gt;"",K88&lt;&gt;"",Q88&gt;0),SUM(O88:R88),""))</f>
        <v/>
      </c>
      <c r="T88" s="17" t="str">
        <f aca="false">IF(AND(S88&lt;&gt;"",ISNUMBER(E88)),E88*Parametros!$B$12,"")</f>
        <v/>
      </c>
      <c r="U88" s="17" t="str">
        <f aca="false">IF(AND(S88&lt;&gt;"",ISNUMBER(E88)),E88*Parametros!$B$13,"")</f>
        <v/>
      </c>
      <c r="V88" s="18" t="str">
        <f aca="false">IF(AND(S88&lt;&gt;"",ISNUMBER(E88)),E88-S88-T88-U88,"")</f>
        <v/>
      </c>
      <c r="W88" s="19" t="str">
        <f aca="false">IF(AND(S88&lt;&gt;"",ISNUMBER(E88)),V88/E88,"")</f>
        <v/>
      </c>
      <c r="X88" s="17" t="str">
        <f aca="false">IF(OR(S88="",Parametros!$B$14&gt;=1),"",S88/(1-Parametros!$B$14))</f>
        <v/>
      </c>
      <c r="Y88" s="17" t="str">
        <f aca="false">IF(OR(S88="",Parametros!$B$14+Parametros!$B$18&gt;=1),"",S88/(1-Parametros!$B$14-Parametros!$B$18))</f>
        <v/>
      </c>
      <c r="Z88" s="20" t="str">
        <f aca="false">IF(B88="","",IF(S88="","FALTAN DATOS",IF(NOT(ISNUMBER(E88)),"FALTA PRECIO",IF(V88&lt;0,"PIERDE",IF(W88&lt;Parametros!$B$18,"BAJO META","OK")))))</f>
        <v/>
      </c>
      <c r="AA88" s="21" t="str">
        <f aca="false">IF(B88="","",IF(F88="","Tela. ","")&amp;IF(NOT(ISNUMBER(G88)),"Kg de tela. ","")&amp;IF(AND(F88&lt;&gt;"",NOT(ISNUMBER(IFERROR(INDEX(Precios!$D$5:$D$120,MATCH(F88,Precios!$A$5:$A$120,0)),"x")))),"Tela sin precio. ","")&amp;IF(AND(H88&lt;&gt;"",NOT(ISNUMBER(IFERROR(INDEX(Precios!$D$5:$D$120,MATCH(H88,Precios!$A$5:$A$120,0)),"x")))),"Tela 2 sin precio. ","")&amp;IF(J88="","Metros impresos. ","")&amp;IF(AND(N(J88)&gt;0,Parametros!$B$27=0),"Impresión sin costo. ","")&amp;IF(K88="","Confección. ",IF(Q88=0,"Confección sin valor. ",""))&amp;IF(NOT(ISNUMBER(E88)),"Precio de venta. ",""))</f>
        <v/>
      </c>
    </row>
    <row r="89" customFormat="false" ht="15" hidden="false" customHeight="false" outlineLevel="0" collapsed="false">
      <c r="A89" s="22"/>
      <c r="B89" s="22"/>
      <c r="C89" s="22"/>
      <c r="D89" s="13"/>
      <c r="E89" s="12"/>
      <c r="F89" s="13"/>
      <c r="G89" s="14"/>
      <c r="H89" s="13"/>
      <c r="I89" s="14"/>
      <c r="J89" s="15"/>
      <c r="K89" s="13"/>
      <c r="L89" s="12"/>
      <c r="M89" s="13"/>
      <c r="O89" s="17" t="str">
        <f aca="false">IF(B89="","",IFERROR(G89*INDEX(Precios!$D$5:$D$120,MATCH(F89,Precios!$A$5:$A$120,0)),0)+IF(H89="",0,IFERROR(I89*INDEX(Precios!$D$5:$D$120,MATCH(H89,Precios!$A$5:$A$120,0)),0)))</f>
        <v/>
      </c>
      <c r="P89" s="17" t="str">
        <f aca="false">IF(B89="","",N(J89)*Parametros!$B$27)</f>
        <v/>
      </c>
      <c r="Q89" s="17" t="str">
        <f aca="false">IF(B89="","",IFERROR(INDEX(Confeccion!$B$5:$B$100,MATCH(K89,Confeccion!$A$5:$A$100,0)),0))</f>
        <v/>
      </c>
      <c r="R89" s="17" t="str">
        <f aca="false">IF(B89="","",N(L89))</f>
        <v/>
      </c>
      <c r="S89" s="18" t="str">
        <f aca="false">IF(B89="","",IF(AND(F89&lt;&gt;"",ISNUMBER(G89),ISNUMBER(IFERROR(INDEX(Precios!$D$5:$D$120,MATCH(F89,Precios!$A$5:$A$120,0)),"x")),OR(H89="",ISNUMBER(IFERROR(INDEX(Precios!$D$5:$D$120,MATCH(H89,Precios!$A$5:$A$120,0)),"x"))),J89&lt;&gt;"",K89&lt;&gt;"",Q89&gt;0),SUM(O89:R89),""))</f>
        <v/>
      </c>
      <c r="T89" s="17" t="str">
        <f aca="false">IF(AND(S89&lt;&gt;"",ISNUMBER(E89)),E89*Parametros!$B$12,"")</f>
        <v/>
      </c>
      <c r="U89" s="17" t="str">
        <f aca="false">IF(AND(S89&lt;&gt;"",ISNUMBER(E89)),E89*Parametros!$B$13,"")</f>
        <v/>
      </c>
      <c r="V89" s="18" t="str">
        <f aca="false">IF(AND(S89&lt;&gt;"",ISNUMBER(E89)),E89-S89-T89-U89,"")</f>
        <v/>
      </c>
      <c r="W89" s="19" t="str">
        <f aca="false">IF(AND(S89&lt;&gt;"",ISNUMBER(E89)),V89/E89,"")</f>
        <v/>
      </c>
      <c r="X89" s="17" t="str">
        <f aca="false">IF(OR(S89="",Parametros!$B$14&gt;=1),"",S89/(1-Parametros!$B$14))</f>
        <v/>
      </c>
      <c r="Y89" s="17" t="str">
        <f aca="false">IF(OR(S89="",Parametros!$B$14+Parametros!$B$18&gt;=1),"",S89/(1-Parametros!$B$14-Parametros!$B$18))</f>
        <v/>
      </c>
      <c r="Z89" s="20" t="str">
        <f aca="false">IF(B89="","",IF(S89="","FALTAN DATOS",IF(NOT(ISNUMBER(E89)),"FALTA PRECIO",IF(V89&lt;0,"PIERDE",IF(W89&lt;Parametros!$B$18,"BAJO META","OK")))))</f>
        <v/>
      </c>
      <c r="AA89" s="21" t="str">
        <f aca="false">IF(B89="","",IF(F89="","Tela. ","")&amp;IF(NOT(ISNUMBER(G89)),"Kg de tela. ","")&amp;IF(AND(F89&lt;&gt;"",NOT(ISNUMBER(IFERROR(INDEX(Precios!$D$5:$D$120,MATCH(F89,Precios!$A$5:$A$120,0)),"x")))),"Tela sin precio. ","")&amp;IF(AND(H89&lt;&gt;"",NOT(ISNUMBER(IFERROR(INDEX(Precios!$D$5:$D$120,MATCH(H89,Precios!$A$5:$A$120,0)),"x")))),"Tela 2 sin precio. ","")&amp;IF(J89="","Metros impresos. ","")&amp;IF(AND(N(J89)&gt;0,Parametros!$B$27=0),"Impresión sin costo. ","")&amp;IF(K89="","Confección. ",IF(Q89=0,"Confección sin valor. ",""))&amp;IF(NOT(ISNUMBER(E89)),"Precio de venta. ",""))</f>
        <v/>
      </c>
    </row>
    <row r="90" customFormat="false" ht="15" hidden="false" customHeight="false" outlineLevel="0" collapsed="false">
      <c r="A90" s="22"/>
      <c r="B90" s="22"/>
      <c r="C90" s="22"/>
      <c r="D90" s="13"/>
      <c r="E90" s="12"/>
      <c r="F90" s="13"/>
      <c r="G90" s="14"/>
      <c r="H90" s="13"/>
      <c r="I90" s="14"/>
      <c r="J90" s="15"/>
      <c r="K90" s="13"/>
      <c r="L90" s="12"/>
      <c r="M90" s="13"/>
      <c r="O90" s="17" t="str">
        <f aca="false">IF(B90="","",IFERROR(G90*INDEX(Precios!$D$5:$D$120,MATCH(F90,Precios!$A$5:$A$120,0)),0)+IF(H90="",0,IFERROR(I90*INDEX(Precios!$D$5:$D$120,MATCH(H90,Precios!$A$5:$A$120,0)),0)))</f>
        <v/>
      </c>
      <c r="P90" s="17" t="str">
        <f aca="false">IF(B90="","",N(J90)*Parametros!$B$27)</f>
        <v/>
      </c>
      <c r="Q90" s="17" t="str">
        <f aca="false">IF(B90="","",IFERROR(INDEX(Confeccion!$B$5:$B$100,MATCH(K90,Confeccion!$A$5:$A$100,0)),0))</f>
        <v/>
      </c>
      <c r="R90" s="17" t="str">
        <f aca="false">IF(B90="","",N(L90))</f>
        <v/>
      </c>
      <c r="S90" s="18" t="str">
        <f aca="false">IF(B90="","",IF(AND(F90&lt;&gt;"",ISNUMBER(G90),ISNUMBER(IFERROR(INDEX(Precios!$D$5:$D$120,MATCH(F90,Precios!$A$5:$A$120,0)),"x")),OR(H90="",ISNUMBER(IFERROR(INDEX(Precios!$D$5:$D$120,MATCH(H90,Precios!$A$5:$A$120,0)),"x"))),J90&lt;&gt;"",K90&lt;&gt;"",Q90&gt;0),SUM(O90:R90),""))</f>
        <v/>
      </c>
      <c r="T90" s="17" t="str">
        <f aca="false">IF(AND(S90&lt;&gt;"",ISNUMBER(E90)),E90*Parametros!$B$12,"")</f>
        <v/>
      </c>
      <c r="U90" s="17" t="str">
        <f aca="false">IF(AND(S90&lt;&gt;"",ISNUMBER(E90)),E90*Parametros!$B$13,"")</f>
        <v/>
      </c>
      <c r="V90" s="18" t="str">
        <f aca="false">IF(AND(S90&lt;&gt;"",ISNUMBER(E90)),E90-S90-T90-U90,"")</f>
        <v/>
      </c>
      <c r="W90" s="19" t="str">
        <f aca="false">IF(AND(S90&lt;&gt;"",ISNUMBER(E90)),V90/E90,"")</f>
        <v/>
      </c>
      <c r="X90" s="17" t="str">
        <f aca="false">IF(OR(S90="",Parametros!$B$14&gt;=1),"",S90/(1-Parametros!$B$14))</f>
        <v/>
      </c>
      <c r="Y90" s="17" t="str">
        <f aca="false">IF(OR(S90="",Parametros!$B$14+Parametros!$B$18&gt;=1),"",S90/(1-Parametros!$B$14-Parametros!$B$18))</f>
        <v/>
      </c>
      <c r="Z90" s="20" t="str">
        <f aca="false">IF(B90="","",IF(S90="","FALTAN DATOS",IF(NOT(ISNUMBER(E90)),"FALTA PRECIO",IF(V90&lt;0,"PIERDE",IF(W90&lt;Parametros!$B$18,"BAJO META","OK")))))</f>
        <v/>
      </c>
      <c r="AA90" s="21" t="str">
        <f aca="false">IF(B90="","",IF(F90="","Tela. ","")&amp;IF(NOT(ISNUMBER(G90)),"Kg de tela. ","")&amp;IF(AND(F90&lt;&gt;"",NOT(ISNUMBER(IFERROR(INDEX(Precios!$D$5:$D$120,MATCH(F90,Precios!$A$5:$A$120,0)),"x")))),"Tela sin precio. ","")&amp;IF(AND(H90&lt;&gt;"",NOT(ISNUMBER(IFERROR(INDEX(Precios!$D$5:$D$120,MATCH(H90,Precios!$A$5:$A$120,0)),"x")))),"Tela 2 sin precio. ","")&amp;IF(J90="","Metros impresos. ","")&amp;IF(AND(N(J90)&gt;0,Parametros!$B$27=0),"Impresión sin costo. ","")&amp;IF(K90="","Confección. ",IF(Q90=0,"Confección sin valor. ",""))&amp;IF(NOT(ISNUMBER(E90)),"Precio de venta. ",""))</f>
        <v/>
      </c>
    </row>
    <row r="91" customFormat="false" ht="15" hidden="false" customHeight="false" outlineLevel="0" collapsed="false">
      <c r="A91" s="22"/>
      <c r="B91" s="22"/>
      <c r="C91" s="22"/>
      <c r="D91" s="13"/>
      <c r="E91" s="12"/>
      <c r="F91" s="13"/>
      <c r="G91" s="14"/>
      <c r="H91" s="13"/>
      <c r="I91" s="14"/>
      <c r="J91" s="15"/>
      <c r="K91" s="13"/>
      <c r="L91" s="12"/>
      <c r="M91" s="13"/>
      <c r="O91" s="17" t="str">
        <f aca="false">IF(B91="","",IFERROR(G91*INDEX(Precios!$D$5:$D$120,MATCH(F91,Precios!$A$5:$A$120,0)),0)+IF(H91="",0,IFERROR(I91*INDEX(Precios!$D$5:$D$120,MATCH(H91,Precios!$A$5:$A$120,0)),0)))</f>
        <v/>
      </c>
      <c r="P91" s="17" t="str">
        <f aca="false">IF(B91="","",N(J91)*Parametros!$B$27)</f>
        <v/>
      </c>
      <c r="Q91" s="17" t="str">
        <f aca="false">IF(B91="","",IFERROR(INDEX(Confeccion!$B$5:$B$100,MATCH(K91,Confeccion!$A$5:$A$100,0)),0))</f>
        <v/>
      </c>
      <c r="R91" s="17" t="str">
        <f aca="false">IF(B91="","",N(L91))</f>
        <v/>
      </c>
      <c r="S91" s="18" t="str">
        <f aca="false">IF(B91="","",IF(AND(F91&lt;&gt;"",ISNUMBER(G91),ISNUMBER(IFERROR(INDEX(Precios!$D$5:$D$120,MATCH(F91,Precios!$A$5:$A$120,0)),"x")),OR(H91="",ISNUMBER(IFERROR(INDEX(Precios!$D$5:$D$120,MATCH(H91,Precios!$A$5:$A$120,0)),"x"))),J91&lt;&gt;"",K91&lt;&gt;"",Q91&gt;0),SUM(O91:R91),""))</f>
        <v/>
      </c>
      <c r="T91" s="17" t="str">
        <f aca="false">IF(AND(S91&lt;&gt;"",ISNUMBER(E91)),E91*Parametros!$B$12,"")</f>
        <v/>
      </c>
      <c r="U91" s="17" t="str">
        <f aca="false">IF(AND(S91&lt;&gt;"",ISNUMBER(E91)),E91*Parametros!$B$13,"")</f>
        <v/>
      </c>
      <c r="V91" s="18" t="str">
        <f aca="false">IF(AND(S91&lt;&gt;"",ISNUMBER(E91)),E91-S91-T91-U91,"")</f>
        <v/>
      </c>
      <c r="W91" s="19" t="str">
        <f aca="false">IF(AND(S91&lt;&gt;"",ISNUMBER(E91)),V91/E91,"")</f>
        <v/>
      </c>
      <c r="X91" s="17" t="str">
        <f aca="false">IF(OR(S91="",Parametros!$B$14&gt;=1),"",S91/(1-Parametros!$B$14))</f>
        <v/>
      </c>
      <c r="Y91" s="17" t="str">
        <f aca="false">IF(OR(S91="",Parametros!$B$14+Parametros!$B$18&gt;=1),"",S91/(1-Parametros!$B$14-Parametros!$B$18))</f>
        <v/>
      </c>
      <c r="Z91" s="20" t="str">
        <f aca="false">IF(B91="","",IF(S91="","FALTAN DATOS",IF(NOT(ISNUMBER(E91)),"FALTA PRECIO",IF(V91&lt;0,"PIERDE",IF(W91&lt;Parametros!$B$18,"BAJO META","OK")))))</f>
        <v/>
      </c>
      <c r="AA91" s="21" t="str">
        <f aca="false">IF(B91="","",IF(F91="","Tela. ","")&amp;IF(NOT(ISNUMBER(G91)),"Kg de tela. ","")&amp;IF(AND(F91&lt;&gt;"",NOT(ISNUMBER(IFERROR(INDEX(Precios!$D$5:$D$120,MATCH(F91,Precios!$A$5:$A$120,0)),"x")))),"Tela sin precio. ","")&amp;IF(AND(H91&lt;&gt;"",NOT(ISNUMBER(IFERROR(INDEX(Precios!$D$5:$D$120,MATCH(H91,Precios!$A$5:$A$120,0)),"x")))),"Tela 2 sin precio. ","")&amp;IF(J91="","Metros impresos. ","")&amp;IF(AND(N(J91)&gt;0,Parametros!$B$27=0),"Impresión sin costo. ","")&amp;IF(K91="","Confección. ",IF(Q91=0,"Confección sin valor. ",""))&amp;IF(NOT(ISNUMBER(E91)),"Precio de venta. ",""))</f>
        <v/>
      </c>
    </row>
    <row r="92" customFormat="false" ht="15" hidden="false" customHeight="false" outlineLevel="0" collapsed="false">
      <c r="A92" s="22"/>
      <c r="B92" s="22"/>
      <c r="C92" s="22"/>
      <c r="D92" s="13"/>
      <c r="E92" s="12"/>
      <c r="F92" s="13"/>
      <c r="G92" s="14"/>
      <c r="H92" s="13"/>
      <c r="I92" s="14"/>
      <c r="J92" s="15"/>
      <c r="K92" s="13"/>
      <c r="L92" s="12"/>
      <c r="M92" s="13"/>
      <c r="O92" s="17" t="str">
        <f aca="false">IF(B92="","",IFERROR(G92*INDEX(Precios!$D$5:$D$120,MATCH(F92,Precios!$A$5:$A$120,0)),0)+IF(H92="",0,IFERROR(I92*INDEX(Precios!$D$5:$D$120,MATCH(H92,Precios!$A$5:$A$120,0)),0)))</f>
        <v/>
      </c>
      <c r="P92" s="17" t="str">
        <f aca="false">IF(B92="","",N(J92)*Parametros!$B$27)</f>
        <v/>
      </c>
      <c r="Q92" s="17" t="str">
        <f aca="false">IF(B92="","",IFERROR(INDEX(Confeccion!$B$5:$B$100,MATCH(K92,Confeccion!$A$5:$A$100,0)),0))</f>
        <v/>
      </c>
      <c r="R92" s="17" t="str">
        <f aca="false">IF(B92="","",N(L92))</f>
        <v/>
      </c>
      <c r="S92" s="18" t="str">
        <f aca="false">IF(B92="","",IF(AND(F92&lt;&gt;"",ISNUMBER(G92),ISNUMBER(IFERROR(INDEX(Precios!$D$5:$D$120,MATCH(F92,Precios!$A$5:$A$120,0)),"x")),OR(H92="",ISNUMBER(IFERROR(INDEX(Precios!$D$5:$D$120,MATCH(H92,Precios!$A$5:$A$120,0)),"x"))),J92&lt;&gt;"",K92&lt;&gt;"",Q92&gt;0),SUM(O92:R92),""))</f>
        <v/>
      </c>
      <c r="T92" s="17" t="str">
        <f aca="false">IF(AND(S92&lt;&gt;"",ISNUMBER(E92)),E92*Parametros!$B$12,"")</f>
        <v/>
      </c>
      <c r="U92" s="17" t="str">
        <f aca="false">IF(AND(S92&lt;&gt;"",ISNUMBER(E92)),E92*Parametros!$B$13,"")</f>
        <v/>
      </c>
      <c r="V92" s="18" t="str">
        <f aca="false">IF(AND(S92&lt;&gt;"",ISNUMBER(E92)),E92-S92-T92-U92,"")</f>
        <v/>
      </c>
      <c r="W92" s="19" t="str">
        <f aca="false">IF(AND(S92&lt;&gt;"",ISNUMBER(E92)),V92/E92,"")</f>
        <v/>
      </c>
      <c r="X92" s="17" t="str">
        <f aca="false">IF(OR(S92="",Parametros!$B$14&gt;=1),"",S92/(1-Parametros!$B$14))</f>
        <v/>
      </c>
      <c r="Y92" s="17" t="str">
        <f aca="false">IF(OR(S92="",Parametros!$B$14+Parametros!$B$18&gt;=1),"",S92/(1-Parametros!$B$14-Parametros!$B$18))</f>
        <v/>
      </c>
      <c r="Z92" s="20" t="str">
        <f aca="false">IF(B92="","",IF(S92="","FALTAN DATOS",IF(NOT(ISNUMBER(E92)),"FALTA PRECIO",IF(V92&lt;0,"PIERDE",IF(W92&lt;Parametros!$B$18,"BAJO META","OK")))))</f>
        <v/>
      </c>
      <c r="AA92" s="21" t="str">
        <f aca="false">IF(B92="","",IF(F92="","Tela. ","")&amp;IF(NOT(ISNUMBER(G92)),"Kg de tela. ","")&amp;IF(AND(F92&lt;&gt;"",NOT(ISNUMBER(IFERROR(INDEX(Precios!$D$5:$D$120,MATCH(F92,Precios!$A$5:$A$120,0)),"x")))),"Tela sin precio. ","")&amp;IF(AND(H92&lt;&gt;"",NOT(ISNUMBER(IFERROR(INDEX(Precios!$D$5:$D$120,MATCH(H92,Precios!$A$5:$A$120,0)),"x")))),"Tela 2 sin precio. ","")&amp;IF(J92="","Metros impresos. ","")&amp;IF(AND(N(J92)&gt;0,Parametros!$B$27=0),"Impresión sin costo. ","")&amp;IF(K92="","Confección. ",IF(Q92=0,"Confección sin valor. ",""))&amp;IF(NOT(ISNUMBER(E92)),"Precio de venta. ",""))</f>
        <v/>
      </c>
    </row>
    <row r="93" customFormat="false" ht="15" hidden="false" customHeight="false" outlineLevel="0" collapsed="false">
      <c r="A93" s="22"/>
      <c r="B93" s="22"/>
      <c r="C93" s="22"/>
      <c r="D93" s="13"/>
      <c r="E93" s="12"/>
      <c r="F93" s="13"/>
      <c r="G93" s="14"/>
      <c r="H93" s="13"/>
      <c r="I93" s="14"/>
      <c r="J93" s="15"/>
      <c r="K93" s="13"/>
      <c r="L93" s="12"/>
      <c r="M93" s="13"/>
      <c r="O93" s="17" t="str">
        <f aca="false">IF(B93="","",IFERROR(G93*INDEX(Precios!$D$5:$D$120,MATCH(F93,Precios!$A$5:$A$120,0)),0)+IF(H93="",0,IFERROR(I93*INDEX(Precios!$D$5:$D$120,MATCH(H93,Precios!$A$5:$A$120,0)),0)))</f>
        <v/>
      </c>
      <c r="P93" s="17" t="str">
        <f aca="false">IF(B93="","",N(J93)*Parametros!$B$27)</f>
        <v/>
      </c>
      <c r="Q93" s="17" t="str">
        <f aca="false">IF(B93="","",IFERROR(INDEX(Confeccion!$B$5:$B$100,MATCH(K93,Confeccion!$A$5:$A$100,0)),0))</f>
        <v/>
      </c>
      <c r="R93" s="17" t="str">
        <f aca="false">IF(B93="","",N(L93))</f>
        <v/>
      </c>
      <c r="S93" s="18" t="str">
        <f aca="false">IF(B93="","",IF(AND(F93&lt;&gt;"",ISNUMBER(G93),ISNUMBER(IFERROR(INDEX(Precios!$D$5:$D$120,MATCH(F93,Precios!$A$5:$A$120,0)),"x")),OR(H93="",ISNUMBER(IFERROR(INDEX(Precios!$D$5:$D$120,MATCH(H93,Precios!$A$5:$A$120,0)),"x"))),J93&lt;&gt;"",K93&lt;&gt;"",Q93&gt;0),SUM(O93:R93),""))</f>
        <v/>
      </c>
      <c r="T93" s="17" t="str">
        <f aca="false">IF(AND(S93&lt;&gt;"",ISNUMBER(E93)),E93*Parametros!$B$12,"")</f>
        <v/>
      </c>
      <c r="U93" s="17" t="str">
        <f aca="false">IF(AND(S93&lt;&gt;"",ISNUMBER(E93)),E93*Parametros!$B$13,"")</f>
        <v/>
      </c>
      <c r="V93" s="18" t="str">
        <f aca="false">IF(AND(S93&lt;&gt;"",ISNUMBER(E93)),E93-S93-T93-U93,"")</f>
        <v/>
      </c>
      <c r="W93" s="19" t="str">
        <f aca="false">IF(AND(S93&lt;&gt;"",ISNUMBER(E93)),V93/E93,"")</f>
        <v/>
      </c>
      <c r="X93" s="17" t="str">
        <f aca="false">IF(OR(S93="",Parametros!$B$14&gt;=1),"",S93/(1-Parametros!$B$14))</f>
        <v/>
      </c>
      <c r="Y93" s="17" t="str">
        <f aca="false">IF(OR(S93="",Parametros!$B$14+Parametros!$B$18&gt;=1),"",S93/(1-Parametros!$B$14-Parametros!$B$18))</f>
        <v/>
      </c>
      <c r="Z93" s="20" t="str">
        <f aca="false">IF(B93="","",IF(S93="","FALTAN DATOS",IF(NOT(ISNUMBER(E93)),"FALTA PRECIO",IF(V93&lt;0,"PIERDE",IF(W93&lt;Parametros!$B$18,"BAJO META","OK")))))</f>
        <v/>
      </c>
      <c r="AA93" s="21" t="str">
        <f aca="false">IF(B93="","",IF(F93="","Tela. ","")&amp;IF(NOT(ISNUMBER(G93)),"Kg de tela. ","")&amp;IF(AND(F93&lt;&gt;"",NOT(ISNUMBER(IFERROR(INDEX(Precios!$D$5:$D$120,MATCH(F93,Precios!$A$5:$A$120,0)),"x")))),"Tela sin precio. ","")&amp;IF(AND(H93&lt;&gt;"",NOT(ISNUMBER(IFERROR(INDEX(Precios!$D$5:$D$120,MATCH(H93,Precios!$A$5:$A$120,0)),"x")))),"Tela 2 sin precio. ","")&amp;IF(J93="","Metros impresos. ","")&amp;IF(AND(N(J93)&gt;0,Parametros!$B$27=0),"Impresión sin costo. ","")&amp;IF(K93="","Confección. ",IF(Q93=0,"Confección sin valor. ",""))&amp;IF(NOT(ISNUMBER(E93)),"Precio de venta. ",""))</f>
        <v/>
      </c>
    </row>
    <row r="94" customFormat="false" ht="15" hidden="false" customHeight="false" outlineLevel="0" collapsed="false">
      <c r="A94" s="22"/>
      <c r="B94" s="22"/>
      <c r="C94" s="22"/>
      <c r="D94" s="13"/>
      <c r="E94" s="12"/>
      <c r="F94" s="13"/>
      <c r="G94" s="14"/>
      <c r="H94" s="13"/>
      <c r="I94" s="14"/>
      <c r="J94" s="15"/>
      <c r="K94" s="13"/>
      <c r="L94" s="12"/>
      <c r="M94" s="13"/>
      <c r="O94" s="17" t="str">
        <f aca="false">IF(B94="","",IFERROR(G94*INDEX(Precios!$D$5:$D$120,MATCH(F94,Precios!$A$5:$A$120,0)),0)+IF(H94="",0,IFERROR(I94*INDEX(Precios!$D$5:$D$120,MATCH(H94,Precios!$A$5:$A$120,0)),0)))</f>
        <v/>
      </c>
      <c r="P94" s="17" t="str">
        <f aca="false">IF(B94="","",N(J94)*Parametros!$B$27)</f>
        <v/>
      </c>
      <c r="Q94" s="17" t="str">
        <f aca="false">IF(B94="","",IFERROR(INDEX(Confeccion!$B$5:$B$100,MATCH(K94,Confeccion!$A$5:$A$100,0)),0))</f>
        <v/>
      </c>
      <c r="R94" s="17" t="str">
        <f aca="false">IF(B94="","",N(L94))</f>
        <v/>
      </c>
      <c r="S94" s="18" t="str">
        <f aca="false">IF(B94="","",IF(AND(F94&lt;&gt;"",ISNUMBER(G94),ISNUMBER(IFERROR(INDEX(Precios!$D$5:$D$120,MATCH(F94,Precios!$A$5:$A$120,0)),"x")),OR(H94="",ISNUMBER(IFERROR(INDEX(Precios!$D$5:$D$120,MATCH(H94,Precios!$A$5:$A$120,0)),"x"))),J94&lt;&gt;"",K94&lt;&gt;"",Q94&gt;0),SUM(O94:R94),""))</f>
        <v/>
      </c>
      <c r="T94" s="17" t="str">
        <f aca="false">IF(AND(S94&lt;&gt;"",ISNUMBER(E94)),E94*Parametros!$B$12,"")</f>
        <v/>
      </c>
      <c r="U94" s="17" t="str">
        <f aca="false">IF(AND(S94&lt;&gt;"",ISNUMBER(E94)),E94*Parametros!$B$13,"")</f>
        <v/>
      </c>
      <c r="V94" s="18" t="str">
        <f aca="false">IF(AND(S94&lt;&gt;"",ISNUMBER(E94)),E94-S94-T94-U94,"")</f>
        <v/>
      </c>
      <c r="W94" s="19" t="str">
        <f aca="false">IF(AND(S94&lt;&gt;"",ISNUMBER(E94)),V94/E94,"")</f>
        <v/>
      </c>
      <c r="X94" s="17" t="str">
        <f aca="false">IF(OR(S94="",Parametros!$B$14&gt;=1),"",S94/(1-Parametros!$B$14))</f>
        <v/>
      </c>
      <c r="Y94" s="17" t="str">
        <f aca="false">IF(OR(S94="",Parametros!$B$14+Parametros!$B$18&gt;=1),"",S94/(1-Parametros!$B$14-Parametros!$B$18))</f>
        <v/>
      </c>
      <c r="Z94" s="20" t="str">
        <f aca="false">IF(B94="","",IF(S94="","FALTAN DATOS",IF(NOT(ISNUMBER(E94)),"FALTA PRECIO",IF(V94&lt;0,"PIERDE",IF(W94&lt;Parametros!$B$18,"BAJO META","OK")))))</f>
        <v/>
      </c>
      <c r="AA94" s="21" t="str">
        <f aca="false">IF(B94="","",IF(F94="","Tela. ","")&amp;IF(NOT(ISNUMBER(G94)),"Kg de tela. ","")&amp;IF(AND(F94&lt;&gt;"",NOT(ISNUMBER(IFERROR(INDEX(Precios!$D$5:$D$120,MATCH(F94,Precios!$A$5:$A$120,0)),"x")))),"Tela sin precio. ","")&amp;IF(AND(H94&lt;&gt;"",NOT(ISNUMBER(IFERROR(INDEX(Precios!$D$5:$D$120,MATCH(H94,Precios!$A$5:$A$120,0)),"x")))),"Tela 2 sin precio. ","")&amp;IF(J94="","Metros impresos. ","")&amp;IF(AND(N(J94)&gt;0,Parametros!$B$27=0),"Impresión sin costo. ","")&amp;IF(K94="","Confección. ",IF(Q94=0,"Confección sin valor. ",""))&amp;IF(NOT(ISNUMBER(E94)),"Precio de venta. ",""))</f>
        <v/>
      </c>
    </row>
    <row r="95" customFormat="false" ht="15" hidden="false" customHeight="false" outlineLevel="0" collapsed="false">
      <c r="A95" s="22"/>
      <c r="B95" s="22"/>
      <c r="C95" s="22"/>
      <c r="D95" s="13"/>
      <c r="E95" s="12"/>
      <c r="F95" s="13"/>
      <c r="G95" s="14"/>
      <c r="H95" s="13"/>
      <c r="I95" s="14"/>
      <c r="J95" s="15"/>
      <c r="K95" s="13"/>
      <c r="L95" s="12"/>
      <c r="M95" s="13"/>
      <c r="O95" s="17" t="str">
        <f aca="false">IF(B95="","",IFERROR(G95*INDEX(Precios!$D$5:$D$120,MATCH(F95,Precios!$A$5:$A$120,0)),0)+IF(H95="",0,IFERROR(I95*INDEX(Precios!$D$5:$D$120,MATCH(H95,Precios!$A$5:$A$120,0)),0)))</f>
        <v/>
      </c>
      <c r="P95" s="17" t="str">
        <f aca="false">IF(B95="","",N(J95)*Parametros!$B$27)</f>
        <v/>
      </c>
      <c r="Q95" s="17" t="str">
        <f aca="false">IF(B95="","",IFERROR(INDEX(Confeccion!$B$5:$B$100,MATCH(K95,Confeccion!$A$5:$A$100,0)),0))</f>
        <v/>
      </c>
      <c r="R95" s="17" t="str">
        <f aca="false">IF(B95="","",N(L95))</f>
        <v/>
      </c>
      <c r="S95" s="18" t="str">
        <f aca="false">IF(B95="","",IF(AND(F95&lt;&gt;"",ISNUMBER(G95),ISNUMBER(IFERROR(INDEX(Precios!$D$5:$D$120,MATCH(F95,Precios!$A$5:$A$120,0)),"x")),OR(H95="",ISNUMBER(IFERROR(INDEX(Precios!$D$5:$D$120,MATCH(H95,Precios!$A$5:$A$120,0)),"x"))),J95&lt;&gt;"",K95&lt;&gt;"",Q95&gt;0),SUM(O95:R95),""))</f>
        <v/>
      </c>
      <c r="T95" s="17" t="str">
        <f aca="false">IF(AND(S95&lt;&gt;"",ISNUMBER(E95)),E95*Parametros!$B$12,"")</f>
        <v/>
      </c>
      <c r="U95" s="17" t="str">
        <f aca="false">IF(AND(S95&lt;&gt;"",ISNUMBER(E95)),E95*Parametros!$B$13,"")</f>
        <v/>
      </c>
      <c r="V95" s="18" t="str">
        <f aca="false">IF(AND(S95&lt;&gt;"",ISNUMBER(E95)),E95-S95-T95-U95,"")</f>
        <v/>
      </c>
      <c r="W95" s="19" t="str">
        <f aca="false">IF(AND(S95&lt;&gt;"",ISNUMBER(E95)),V95/E95,"")</f>
        <v/>
      </c>
      <c r="X95" s="17" t="str">
        <f aca="false">IF(OR(S95="",Parametros!$B$14&gt;=1),"",S95/(1-Parametros!$B$14))</f>
        <v/>
      </c>
      <c r="Y95" s="17" t="str">
        <f aca="false">IF(OR(S95="",Parametros!$B$14+Parametros!$B$18&gt;=1),"",S95/(1-Parametros!$B$14-Parametros!$B$18))</f>
        <v/>
      </c>
      <c r="Z95" s="20" t="str">
        <f aca="false">IF(B95="","",IF(S95="","FALTAN DATOS",IF(NOT(ISNUMBER(E95)),"FALTA PRECIO",IF(V95&lt;0,"PIERDE",IF(W95&lt;Parametros!$B$18,"BAJO META","OK")))))</f>
        <v/>
      </c>
      <c r="AA95" s="21" t="str">
        <f aca="false">IF(B95="","",IF(F95="","Tela. ","")&amp;IF(NOT(ISNUMBER(G95)),"Kg de tela. ","")&amp;IF(AND(F95&lt;&gt;"",NOT(ISNUMBER(IFERROR(INDEX(Precios!$D$5:$D$120,MATCH(F95,Precios!$A$5:$A$120,0)),"x")))),"Tela sin precio. ","")&amp;IF(AND(H95&lt;&gt;"",NOT(ISNUMBER(IFERROR(INDEX(Precios!$D$5:$D$120,MATCH(H95,Precios!$A$5:$A$120,0)),"x")))),"Tela 2 sin precio. ","")&amp;IF(J95="","Metros impresos. ","")&amp;IF(AND(N(J95)&gt;0,Parametros!$B$27=0),"Impresión sin costo. ","")&amp;IF(K95="","Confección. ",IF(Q95=0,"Confección sin valor. ",""))&amp;IF(NOT(ISNUMBER(E95)),"Precio de venta. ",""))</f>
        <v/>
      </c>
    </row>
    <row r="96" customFormat="false" ht="15" hidden="false" customHeight="false" outlineLevel="0" collapsed="false">
      <c r="A96" s="22"/>
      <c r="B96" s="22"/>
      <c r="C96" s="22"/>
      <c r="D96" s="13"/>
      <c r="E96" s="12"/>
      <c r="F96" s="13"/>
      <c r="G96" s="14"/>
      <c r="H96" s="13"/>
      <c r="I96" s="14"/>
      <c r="J96" s="15"/>
      <c r="K96" s="13"/>
      <c r="L96" s="12"/>
      <c r="M96" s="13"/>
      <c r="O96" s="17" t="str">
        <f aca="false">IF(B96="","",IFERROR(G96*INDEX(Precios!$D$5:$D$120,MATCH(F96,Precios!$A$5:$A$120,0)),0)+IF(H96="",0,IFERROR(I96*INDEX(Precios!$D$5:$D$120,MATCH(H96,Precios!$A$5:$A$120,0)),0)))</f>
        <v/>
      </c>
      <c r="P96" s="17" t="str">
        <f aca="false">IF(B96="","",N(J96)*Parametros!$B$27)</f>
        <v/>
      </c>
      <c r="Q96" s="17" t="str">
        <f aca="false">IF(B96="","",IFERROR(INDEX(Confeccion!$B$5:$B$100,MATCH(K96,Confeccion!$A$5:$A$100,0)),0))</f>
        <v/>
      </c>
      <c r="R96" s="17" t="str">
        <f aca="false">IF(B96="","",N(L96))</f>
        <v/>
      </c>
      <c r="S96" s="18" t="str">
        <f aca="false">IF(B96="","",IF(AND(F96&lt;&gt;"",ISNUMBER(G96),ISNUMBER(IFERROR(INDEX(Precios!$D$5:$D$120,MATCH(F96,Precios!$A$5:$A$120,0)),"x")),OR(H96="",ISNUMBER(IFERROR(INDEX(Precios!$D$5:$D$120,MATCH(H96,Precios!$A$5:$A$120,0)),"x"))),J96&lt;&gt;"",K96&lt;&gt;"",Q96&gt;0),SUM(O96:R96),""))</f>
        <v/>
      </c>
      <c r="T96" s="17" t="str">
        <f aca="false">IF(AND(S96&lt;&gt;"",ISNUMBER(E96)),E96*Parametros!$B$12,"")</f>
        <v/>
      </c>
      <c r="U96" s="17" t="str">
        <f aca="false">IF(AND(S96&lt;&gt;"",ISNUMBER(E96)),E96*Parametros!$B$13,"")</f>
        <v/>
      </c>
      <c r="V96" s="18" t="str">
        <f aca="false">IF(AND(S96&lt;&gt;"",ISNUMBER(E96)),E96-S96-T96-U96,"")</f>
        <v/>
      </c>
      <c r="W96" s="19" t="str">
        <f aca="false">IF(AND(S96&lt;&gt;"",ISNUMBER(E96)),V96/E96,"")</f>
        <v/>
      </c>
      <c r="X96" s="17" t="str">
        <f aca="false">IF(OR(S96="",Parametros!$B$14&gt;=1),"",S96/(1-Parametros!$B$14))</f>
        <v/>
      </c>
      <c r="Y96" s="17" t="str">
        <f aca="false">IF(OR(S96="",Parametros!$B$14+Parametros!$B$18&gt;=1),"",S96/(1-Parametros!$B$14-Parametros!$B$18))</f>
        <v/>
      </c>
      <c r="Z96" s="20" t="str">
        <f aca="false">IF(B96="","",IF(S96="","FALTAN DATOS",IF(NOT(ISNUMBER(E96)),"FALTA PRECIO",IF(V96&lt;0,"PIERDE",IF(W96&lt;Parametros!$B$18,"BAJO META","OK")))))</f>
        <v/>
      </c>
      <c r="AA96" s="21" t="str">
        <f aca="false">IF(B96="","",IF(F96="","Tela. ","")&amp;IF(NOT(ISNUMBER(G96)),"Kg de tela. ","")&amp;IF(AND(F96&lt;&gt;"",NOT(ISNUMBER(IFERROR(INDEX(Precios!$D$5:$D$120,MATCH(F96,Precios!$A$5:$A$120,0)),"x")))),"Tela sin precio. ","")&amp;IF(AND(H96&lt;&gt;"",NOT(ISNUMBER(IFERROR(INDEX(Precios!$D$5:$D$120,MATCH(H96,Precios!$A$5:$A$120,0)),"x")))),"Tela 2 sin precio. ","")&amp;IF(J96="","Metros impresos. ","")&amp;IF(AND(N(J96)&gt;0,Parametros!$B$27=0),"Impresión sin costo. ","")&amp;IF(K96="","Confección. ",IF(Q96=0,"Confección sin valor. ",""))&amp;IF(NOT(ISNUMBER(E96)),"Precio de venta. ",""))</f>
        <v/>
      </c>
    </row>
    <row r="97" customFormat="false" ht="15" hidden="false" customHeight="false" outlineLevel="0" collapsed="false">
      <c r="A97" s="22"/>
      <c r="B97" s="22"/>
      <c r="C97" s="22"/>
      <c r="D97" s="13"/>
      <c r="E97" s="12"/>
      <c r="F97" s="13"/>
      <c r="G97" s="14"/>
      <c r="H97" s="13"/>
      <c r="I97" s="14"/>
      <c r="J97" s="15"/>
      <c r="K97" s="13"/>
      <c r="L97" s="12"/>
      <c r="M97" s="13"/>
      <c r="O97" s="17" t="str">
        <f aca="false">IF(B97="","",IFERROR(G97*INDEX(Precios!$D$5:$D$120,MATCH(F97,Precios!$A$5:$A$120,0)),0)+IF(H97="",0,IFERROR(I97*INDEX(Precios!$D$5:$D$120,MATCH(H97,Precios!$A$5:$A$120,0)),0)))</f>
        <v/>
      </c>
      <c r="P97" s="17" t="str">
        <f aca="false">IF(B97="","",N(J97)*Parametros!$B$27)</f>
        <v/>
      </c>
      <c r="Q97" s="17" t="str">
        <f aca="false">IF(B97="","",IFERROR(INDEX(Confeccion!$B$5:$B$100,MATCH(K97,Confeccion!$A$5:$A$100,0)),0))</f>
        <v/>
      </c>
      <c r="R97" s="17" t="str">
        <f aca="false">IF(B97="","",N(L97))</f>
        <v/>
      </c>
      <c r="S97" s="18" t="str">
        <f aca="false">IF(B97="","",IF(AND(F97&lt;&gt;"",ISNUMBER(G97),ISNUMBER(IFERROR(INDEX(Precios!$D$5:$D$120,MATCH(F97,Precios!$A$5:$A$120,0)),"x")),OR(H97="",ISNUMBER(IFERROR(INDEX(Precios!$D$5:$D$120,MATCH(H97,Precios!$A$5:$A$120,0)),"x"))),J97&lt;&gt;"",K97&lt;&gt;"",Q97&gt;0),SUM(O97:R97),""))</f>
        <v/>
      </c>
      <c r="T97" s="17" t="str">
        <f aca="false">IF(AND(S97&lt;&gt;"",ISNUMBER(E97)),E97*Parametros!$B$12,"")</f>
        <v/>
      </c>
      <c r="U97" s="17" t="str">
        <f aca="false">IF(AND(S97&lt;&gt;"",ISNUMBER(E97)),E97*Parametros!$B$13,"")</f>
        <v/>
      </c>
      <c r="V97" s="18" t="str">
        <f aca="false">IF(AND(S97&lt;&gt;"",ISNUMBER(E97)),E97-S97-T97-U97,"")</f>
        <v/>
      </c>
      <c r="W97" s="19" t="str">
        <f aca="false">IF(AND(S97&lt;&gt;"",ISNUMBER(E97)),V97/E97,"")</f>
        <v/>
      </c>
      <c r="X97" s="17" t="str">
        <f aca="false">IF(OR(S97="",Parametros!$B$14&gt;=1),"",S97/(1-Parametros!$B$14))</f>
        <v/>
      </c>
      <c r="Y97" s="17" t="str">
        <f aca="false">IF(OR(S97="",Parametros!$B$14+Parametros!$B$18&gt;=1),"",S97/(1-Parametros!$B$14-Parametros!$B$18))</f>
        <v/>
      </c>
      <c r="Z97" s="20" t="str">
        <f aca="false">IF(B97="","",IF(S97="","FALTAN DATOS",IF(NOT(ISNUMBER(E97)),"FALTA PRECIO",IF(V97&lt;0,"PIERDE",IF(W97&lt;Parametros!$B$18,"BAJO META","OK")))))</f>
        <v/>
      </c>
      <c r="AA97" s="21" t="str">
        <f aca="false">IF(B97="","",IF(F97="","Tela. ","")&amp;IF(NOT(ISNUMBER(G97)),"Kg de tela. ","")&amp;IF(AND(F97&lt;&gt;"",NOT(ISNUMBER(IFERROR(INDEX(Precios!$D$5:$D$120,MATCH(F97,Precios!$A$5:$A$120,0)),"x")))),"Tela sin precio. ","")&amp;IF(AND(H97&lt;&gt;"",NOT(ISNUMBER(IFERROR(INDEX(Precios!$D$5:$D$120,MATCH(H97,Precios!$A$5:$A$120,0)),"x")))),"Tela 2 sin precio. ","")&amp;IF(J97="","Metros impresos. ","")&amp;IF(AND(N(J97)&gt;0,Parametros!$B$27=0),"Impresión sin costo. ","")&amp;IF(K97="","Confección. ",IF(Q97=0,"Confección sin valor. ",""))&amp;IF(NOT(ISNUMBER(E97)),"Precio de venta. ",""))</f>
        <v/>
      </c>
    </row>
    <row r="98" customFormat="false" ht="15" hidden="false" customHeight="false" outlineLevel="0" collapsed="false">
      <c r="A98" s="22"/>
      <c r="B98" s="22"/>
      <c r="C98" s="22"/>
      <c r="D98" s="13"/>
      <c r="E98" s="12"/>
      <c r="F98" s="13"/>
      <c r="G98" s="14"/>
      <c r="H98" s="13"/>
      <c r="I98" s="14"/>
      <c r="J98" s="15"/>
      <c r="K98" s="13"/>
      <c r="L98" s="12"/>
      <c r="M98" s="13"/>
      <c r="O98" s="17" t="str">
        <f aca="false">IF(B98="","",IFERROR(G98*INDEX(Precios!$D$5:$D$120,MATCH(F98,Precios!$A$5:$A$120,0)),0)+IF(H98="",0,IFERROR(I98*INDEX(Precios!$D$5:$D$120,MATCH(H98,Precios!$A$5:$A$120,0)),0)))</f>
        <v/>
      </c>
      <c r="P98" s="17" t="str">
        <f aca="false">IF(B98="","",N(J98)*Parametros!$B$27)</f>
        <v/>
      </c>
      <c r="Q98" s="17" t="str">
        <f aca="false">IF(B98="","",IFERROR(INDEX(Confeccion!$B$5:$B$100,MATCH(K98,Confeccion!$A$5:$A$100,0)),0))</f>
        <v/>
      </c>
      <c r="R98" s="17" t="str">
        <f aca="false">IF(B98="","",N(L98))</f>
        <v/>
      </c>
      <c r="S98" s="18" t="str">
        <f aca="false">IF(B98="","",IF(AND(F98&lt;&gt;"",ISNUMBER(G98),ISNUMBER(IFERROR(INDEX(Precios!$D$5:$D$120,MATCH(F98,Precios!$A$5:$A$120,0)),"x")),OR(H98="",ISNUMBER(IFERROR(INDEX(Precios!$D$5:$D$120,MATCH(H98,Precios!$A$5:$A$120,0)),"x"))),J98&lt;&gt;"",K98&lt;&gt;"",Q98&gt;0),SUM(O98:R98),""))</f>
        <v/>
      </c>
      <c r="T98" s="17" t="str">
        <f aca="false">IF(AND(S98&lt;&gt;"",ISNUMBER(E98)),E98*Parametros!$B$12,"")</f>
        <v/>
      </c>
      <c r="U98" s="17" t="str">
        <f aca="false">IF(AND(S98&lt;&gt;"",ISNUMBER(E98)),E98*Parametros!$B$13,"")</f>
        <v/>
      </c>
      <c r="V98" s="18" t="str">
        <f aca="false">IF(AND(S98&lt;&gt;"",ISNUMBER(E98)),E98-S98-T98-U98,"")</f>
        <v/>
      </c>
      <c r="W98" s="19" t="str">
        <f aca="false">IF(AND(S98&lt;&gt;"",ISNUMBER(E98)),V98/E98,"")</f>
        <v/>
      </c>
      <c r="X98" s="17" t="str">
        <f aca="false">IF(OR(S98="",Parametros!$B$14&gt;=1),"",S98/(1-Parametros!$B$14))</f>
        <v/>
      </c>
      <c r="Y98" s="17" t="str">
        <f aca="false">IF(OR(S98="",Parametros!$B$14+Parametros!$B$18&gt;=1),"",S98/(1-Parametros!$B$14-Parametros!$B$18))</f>
        <v/>
      </c>
      <c r="Z98" s="20" t="str">
        <f aca="false">IF(B98="","",IF(S98="","FALTAN DATOS",IF(NOT(ISNUMBER(E98)),"FALTA PRECIO",IF(V98&lt;0,"PIERDE",IF(W98&lt;Parametros!$B$18,"BAJO META","OK")))))</f>
        <v/>
      </c>
      <c r="AA98" s="21" t="str">
        <f aca="false">IF(B98="","",IF(F98="","Tela. ","")&amp;IF(NOT(ISNUMBER(G98)),"Kg de tela. ","")&amp;IF(AND(F98&lt;&gt;"",NOT(ISNUMBER(IFERROR(INDEX(Precios!$D$5:$D$120,MATCH(F98,Precios!$A$5:$A$120,0)),"x")))),"Tela sin precio. ","")&amp;IF(AND(H98&lt;&gt;"",NOT(ISNUMBER(IFERROR(INDEX(Precios!$D$5:$D$120,MATCH(H98,Precios!$A$5:$A$120,0)),"x")))),"Tela 2 sin precio. ","")&amp;IF(J98="","Metros impresos. ","")&amp;IF(AND(N(J98)&gt;0,Parametros!$B$27=0),"Impresión sin costo. ","")&amp;IF(K98="","Confección. ",IF(Q98=0,"Confección sin valor. ",""))&amp;IF(NOT(ISNUMBER(E98)),"Precio de venta. ",""))</f>
        <v/>
      </c>
    </row>
    <row r="99" customFormat="false" ht="15" hidden="false" customHeight="false" outlineLevel="0" collapsed="false">
      <c r="A99" s="22"/>
      <c r="B99" s="22"/>
      <c r="C99" s="22"/>
      <c r="D99" s="13"/>
      <c r="E99" s="12"/>
      <c r="F99" s="13"/>
      <c r="G99" s="14"/>
      <c r="H99" s="13"/>
      <c r="I99" s="14"/>
      <c r="J99" s="15"/>
      <c r="K99" s="13"/>
      <c r="L99" s="12"/>
      <c r="M99" s="13"/>
      <c r="O99" s="17" t="str">
        <f aca="false">IF(B99="","",IFERROR(G99*INDEX(Precios!$D$5:$D$120,MATCH(F99,Precios!$A$5:$A$120,0)),0)+IF(H99="",0,IFERROR(I99*INDEX(Precios!$D$5:$D$120,MATCH(H99,Precios!$A$5:$A$120,0)),0)))</f>
        <v/>
      </c>
      <c r="P99" s="17" t="str">
        <f aca="false">IF(B99="","",N(J99)*Parametros!$B$27)</f>
        <v/>
      </c>
      <c r="Q99" s="17" t="str">
        <f aca="false">IF(B99="","",IFERROR(INDEX(Confeccion!$B$5:$B$100,MATCH(K99,Confeccion!$A$5:$A$100,0)),0))</f>
        <v/>
      </c>
      <c r="R99" s="17" t="str">
        <f aca="false">IF(B99="","",N(L99))</f>
        <v/>
      </c>
      <c r="S99" s="18" t="str">
        <f aca="false">IF(B99="","",IF(AND(F99&lt;&gt;"",ISNUMBER(G99),ISNUMBER(IFERROR(INDEX(Precios!$D$5:$D$120,MATCH(F99,Precios!$A$5:$A$120,0)),"x")),OR(H99="",ISNUMBER(IFERROR(INDEX(Precios!$D$5:$D$120,MATCH(H99,Precios!$A$5:$A$120,0)),"x"))),J99&lt;&gt;"",K99&lt;&gt;"",Q99&gt;0),SUM(O99:R99),""))</f>
        <v/>
      </c>
      <c r="T99" s="17" t="str">
        <f aca="false">IF(AND(S99&lt;&gt;"",ISNUMBER(E99)),E99*Parametros!$B$12,"")</f>
        <v/>
      </c>
      <c r="U99" s="17" t="str">
        <f aca="false">IF(AND(S99&lt;&gt;"",ISNUMBER(E99)),E99*Parametros!$B$13,"")</f>
        <v/>
      </c>
      <c r="V99" s="18" t="str">
        <f aca="false">IF(AND(S99&lt;&gt;"",ISNUMBER(E99)),E99-S99-T99-U99,"")</f>
        <v/>
      </c>
      <c r="W99" s="19" t="str">
        <f aca="false">IF(AND(S99&lt;&gt;"",ISNUMBER(E99)),V99/E99,"")</f>
        <v/>
      </c>
      <c r="X99" s="17" t="str">
        <f aca="false">IF(OR(S99="",Parametros!$B$14&gt;=1),"",S99/(1-Parametros!$B$14))</f>
        <v/>
      </c>
      <c r="Y99" s="17" t="str">
        <f aca="false">IF(OR(S99="",Parametros!$B$14+Parametros!$B$18&gt;=1),"",S99/(1-Parametros!$B$14-Parametros!$B$18))</f>
        <v/>
      </c>
      <c r="Z99" s="20" t="str">
        <f aca="false">IF(B99="","",IF(S99="","FALTAN DATOS",IF(NOT(ISNUMBER(E99)),"FALTA PRECIO",IF(V99&lt;0,"PIERDE",IF(W99&lt;Parametros!$B$18,"BAJO META","OK")))))</f>
        <v/>
      </c>
      <c r="AA99" s="21" t="str">
        <f aca="false">IF(B99="","",IF(F99="","Tela. ","")&amp;IF(NOT(ISNUMBER(G99)),"Kg de tela. ","")&amp;IF(AND(F99&lt;&gt;"",NOT(ISNUMBER(IFERROR(INDEX(Precios!$D$5:$D$120,MATCH(F99,Precios!$A$5:$A$120,0)),"x")))),"Tela sin precio. ","")&amp;IF(AND(H99&lt;&gt;"",NOT(ISNUMBER(IFERROR(INDEX(Precios!$D$5:$D$120,MATCH(H99,Precios!$A$5:$A$120,0)),"x")))),"Tela 2 sin precio. ","")&amp;IF(J99="","Metros impresos. ","")&amp;IF(AND(N(J99)&gt;0,Parametros!$B$27=0),"Impresión sin costo. ","")&amp;IF(K99="","Confección. ",IF(Q99=0,"Confección sin valor. ",""))&amp;IF(NOT(ISNUMBER(E99)),"Precio de venta. ",""))</f>
        <v/>
      </c>
    </row>
    <row r="100" customFormat="false" ht="15" hidden="false" customHeight="false" outlineLevel="0" collapsed="false">
      <c r="A100" s="22"/>
      <c r="B100" s="22"/>
      <c r="C100" s="22"/>
      <c r="D100" s="13"/>
      <c r="E100" s="12"/>
      <c r="F100" s="13"/>
      <c r="G100" s="14"/>
      <c r="H100" s="13"/>
      <c r="I100" s="14"/>
      <c r="J100" s="15"/>
      <c r="K100" s="13"/>
      <c r="L100" s="12"/>
      <c r="M100" s="13"/>
      <c r="O100" s="17" t="str">
        <f aca="false">IF(B100="","",IFERROR(G100*INDEX(Precios!$D$5:$D$120,MATCH(F100,Precios!$A$5:$A$120,0)),0)+IF(H100="",0,IFERROR(I100*INDEX(Precios!$D$5:$D$120,MATCH(H100,Precios!$A$5:$A$120,0)),0)))</f>
        <v/>
      </c>
      <c r="P100" s="17" t="str">
        <f aca="false">IF(B100="","",N(J100)*Parametros!$B$27)</f>
        <v/>
      </c>
      <c r="Q100" s="17" t="str">
        <f aca="false">IF(B100="","",IFERROR(INDEX(Confeccion!$B$5:$B$100,MATCH(K100,Confeccion!$A$5:$A$100,0)),0))</f>
        <v/>
      </c>
      <c r="R100" s="17" t="str">
        <f aca="false">IF(B100="","",N(L100))</f>
        <v/>
      </c>
      <c r="S100" s="18" t="str">
        <f aca="false">IF(B100="","",IF(AND(F100&lt;&gt;"",ISNUMBER(G100),ISNUMBER(IFERROR(INDEX(Precios!$D$5:$D$120,MATCH(F100,Precios!$A$5:$A$120,0)),"x")),OR(H100="",ISNUMBER(IFERROR(INDEX(Precios!$D$5:$D$120,MATCH(H100,Precios!$A$5:$A$120,0)),"x"))),J100&lt;&gt;"",K100&lt;&gt;"",Q100&gt;0),SUM(O100:R100),""))</f>
        <v/>
      </c>
      <c r="T100" s="17" t="str">
        <f aca="false">IF(AND(S100&lt;&gt;"",ISNUMBER(E100)),E100*Parametros!$B$12,"")</f>
        <v/>
      </c>
      <c r="U100" s="17" t="str">
        <f aca="false">IF(AND(S100&lt;&gt;"",ISNUMBER(E100)),E100*Parametros!$B$13,"")</f>
        <v/>
      </c>
      <c r="V100" s="18" t="str">
        <f aca="false">IF(AND(S100&lt;&gt;"",ISNUMBER(E100)),E100-S100-T100-U100,"")</f>
        <v/>
      </c>
      <c r="W100" s="19" t="str">
        <f aca="false">IF(AND(S100&lt;&gt;"",ISNUMBER(E100)),V100/E100,"")</f>
        <v/>
      </c>
      <c r="X100" s="17" t="str">
        <f aca="false">IF(OR(S100="",Parametros!$B$14&gt;=1),"",S100/(1-Parametros!$B$14))</f>
        <v/>
      </c>
      <c r="Y100" s="17" t="str">
        <f aca="false">IF(OR(S100="",Parametros!$B$14+Parametros!$B$18&gt;=1),"",S100/(1-Parametros!$B$14-Parametros!$B$18))</f>
        <v/>
      </c>
      <c r="Z100" s="20" t="str">
        <f aca="false">IF(B100="","",IF(S100="","FALTAN DATOS",IF(NOT(ISNUMBER(E100)),"FALTA PRECIO",IF(V100&lt;0,"PIERDE",IF(W100&lt;Parametros!$B$18,"BAJO META","OK")))))</f>
        <v/>
      </c>
      <c r="AA100" s="21" t="str">
        <f aca="false">IF(B100="","",IF(F100="","Tela. ","")&amp;IF(NOT(ISNUMBER(G100)),"Kg de tela. ","")&amp;IF(AND(F100&lt;&gt;"",NOT(ISNUMBER(IFERROR(INDEX(Precios!$D$5:$D$120,MATCH(F100,Precios!$A$5:$A$120,0)),"x")))),"Tela sin precio. ","")&amp;IF(AND(H100&lt;&gt;"",NOT(ISNUMBER(IFERROR(INDEX(Precios!$D$5:$D$120,MATCH(H100,Precios!$A$5:$A$120,0)),"x")))),"Tela 2 sin precio. ","")&amp;IF(J100="","Metros impresos. ","")&amp;IF(AND(N(J100)&gt;0,Parametros!$B$27=0),"Impresión sin costo. ","")&amp;IF(K100="","Confección. ",IF(Q100=0,"Confección sin valor. ",""))&amp;IF(NOT(ISNUMBER(E100)),"Precio de venta. ",""))</f>
        <v/>
      </c>
    </row>
    <row r="101" customFormat="false" ht="15" hidden="false" customHeight="false" outlineLevel="0" collapsed="false">
      <c r="A101" s="22"/>
      <c r="B101" s="22"/>
      <c r="C101" s="22"/>
      <c r="D101" s="13"/>
      <c r="E101" s="12"/>
      <c r="F101" s="13"/>
      <c r="G101" s="14"/>
      <c r="H101" s="13"/>
      <c r="I101" s="14"/>
      <c r="J101" s="15"/>
      <c r="K101" s="13"/>
      <c r="L101" s="12"/>
      <c r="M101" s="13"/>
      <c r="O101" s="17" t="str">
        <f aca="false">IF(B101="","",IFERROR(G101*INDEX(Precios!$D$5:$D$120,MATCH(F101,Precios!$A$5:$A$120,0)),0)+IF(H101="",0,IFERROR(I101*INDEX(Precios!$D$5:$D$120,MATCH(H101,Precios!$A$5:$A$120,0)),0)))</f>
        <v/>
      </c>
      <c r="P101" s="17" t="str">
        <f aca="false">IF(B101="","",N(J101)*Parametros!$B$27)</f>
        <v/>
      </c>
      <c r="Q101" s="17" t="str">
        <f aca="false">IF(B101="","",IFERROR(INDEX(Confeccion!$B$5:$B$100,MATCH(K101,Confeccion!$A$5:$A$100,0)),0))</f>
        <v/>
      </c>
      <c r="R101" s="17" t="str">
        <f aca="false">IF(B101="","",N(L101))</f>
        <v/>
      </c>
      <c r="S101" s="18" t="str">
        <f aca="false">IF(B101="","",IF(AND(F101&lt;&gt;"",ISNUMBER(G101),ISNUMBER(IFERROR(INDEX(Precios!$D$5:$D$120,MATCH(F101,Precios!$A$5:$A$120,0)),"x")),OR(H101="",ISNUMBER(IFERROR(INDEX(Precios!$D$5:$D$120,MATCH(H101,Precios!$A$5:$A$120,0)),"x"))),J101&lt;&gt;"",K101&lt;&gt;"",Q101&gt;0),SUM(O101:R101),""))</f>
        <v/>
      </c>
      <c r="T101" s="17" t="str">
        <f aca="false">IF(AND(S101&lt;&gt;"",ISNUMBER(E101)),E101*Parametros!$B$12,"")</f>
        <v/>
      </c>
      <c r="U101" s="17" t="str">
        <f aca="false">IF(AND(S101&lt;&gt;"",ISNUMBER(E101)),E101*Parametros!$B$13,"")</f>
        <v/>
      </c>
      <c r="V101" s="18" t="str">
        <f aca="false">IF(AND(S101&lt;&gt;"",ISNUMBER(E101)),E101-S101-T101-U101,"")</f>
        <v/>
      </c>
      <c r="W101" s="19" t="str">
        <f aca="false">IF(AND(S101&lt;&gt;"",ISNUMBER(E101)),V101/E101,"")</f>
        <v/>
      </c>
      <c r="X101" s="17" t="str">
        <f aca="false">IF(OR(S101="",Parametros!$B$14&gt;=1),"",S101/(1-Parametros!$B$14))</f>
        <v/>
      </c>
      <c r="Y101" s="17" t="str">
        <f aca="false">IF(OR(S101="",Parametros!$B$14+Parametros!$B$18&gt;=1),"",S101/(1-Parametros!$B$14-Parametros!$B$18))</f>
        <v/>
      </c>
      <c r="Z101" s="20" t="str">
        <f aca="false">IF(B101="","",IF(S101="","FALTAN DATOS",IF(NOT(ISNUMBER(E101)),"FALTA PRECIO",IF(V101&lt;0,"PIERDE",IF(W101&lt;Parametros!$B$18,"BAJO META","OK")))))</f>
        <v/>
      </c>
      <c r="AA101" s="21" t="str">
        <f aca="false">IF(B101="","",IF(F101="","Tela. ","")&amp;IF(NOT(ISNUMBER(G101)),"Kg de tela. ","")&amp;IF(AND(F101&lt;&gt;"",NOT(ISNUMBER(IFERROR(INDEX(Precios!$D$5:$D$120,MATCH(F101,Precios!$A$5:$A$120,0)),"x")))),"Tela sin precio. ","")&amp;IF(AND(H101&lt;&gt;"",NOT(ISNUMBER(IFERROR(INDEX(Precios!$D$5:$D$120,MATCH(H101,Precios!$A$5:$A$120,0)),"x")))),"Tela 2 sin precio. ","")&amp;IF(J101="","Metros impresos. ","")&amp;IF(AND(N(J101)&gt;0,Parametros!$B$27=0),"Impresión sin costo. ","")&amp;IF(K101="","Confección. ",IF(Q101=0,"Confección sin valor. ",""))&amp;IF(NOT(ISNUMBER(E101)),"Precio de venta. ",""))</f>
        <v/>
      </c>
    </row>
    <row r="102" customFormat="false" ht="15" hidden="false" customHeight="false" outlineLevel="0" collapsed="false">
      <c r="A102" s="22"/>
      <c r="B102" s="22"/>
      <c r="C102" s="22"/>
      <c r="D102" s="13"/>
      <c r="E102" s="12"/>
      <c r="F102" s="13"/>
      <c r="G102" s="14"/>
      <c r="H102" s="13"/>
      <c r="I102" s="14"/>
      <c r="J102" s="15"/>
      <c r="K102" s="13"/>
      <c r="L102" s="12"/>
      <c r="M102" s="13"/>
      <c r="O102" s="17" t="str">
        <f aca="false">IF(B102="","",IFERROR(G102*INDEX(Precios!$D$5:$D$120,MATCH(F102,Precios!$A$5:$A$120,0)),0)+IF(H102="",0,IFERROR(I102*INDEX(Precios!$D$5:$D$120,MATCH(H102,Precios!$A$5:$A$120,0)),0)))</f>
        <v/>
      </c>
      <c r="P102" s="17" t="str">
        <f aca="false">IF(B102="","",N(J102)*Parametros!$B$27)</f>
        <v/>
      </c>
      <c r="Q102" s="17" t="str">
        <f aca="false">IF(B102="","",IFERROR(INDEX(Confeccion!$B$5:$B$100,MATCH(K102,Confeccion!$A$5:$A$100,0)),0))</f>
        <v/>
      </c>
      <c r="R102" s="17" t="str">
        <f aca="false">IF(B102="","",N(L102))</f>
        <v/>
      </c>
      <c r="S102" s="18" t="str">
        <f aca="false">IF(B102="","",IF(AND(F102&lt;&gt;"",ISNUMBER(G102),ISNUMBER(IFERROR(INDEX(Precios!$D$5:$D$120,MATCH(F102,Precios!$A$5:$A$120,0)),"x")),OR(H102="",ISNUMBER(IFERROR(INDEX(Precios!$D$5:$D$120,MATCH(H102,Precios!$A$5:$A$120,0)),"x"))),J102&lt;&gt;"",K102&lt;&gt;"",Q102&gt;0),SUM(O102:R102),""))</f>
        <v/>
      </c>
      <c r="T102" s="17" t="str">
        <f aca="false">IF(AND(S102&lt;&gt;"",ISNUMBER(E102)),E102*Parametros!$B$12,"")</f>
        <v/>
      </c>
      <c r="U102" s="17" t="str">
        <f aca="false">IF(AND(S102&lt;&gt;"",ISNUMBER(E102)),E102*Parametros!$B$13,"")</f>
        <v/>
      </c>
      <c r="V102" s="18" t="str">
        <f aca="false">IF(AND(S102&lt;&gt;"",ISNUMBER(E102)),E102-S102-T102-U102,"")</f>
        <v/>
      </c>
      <c r="W102" s="19" t="str">
        <f aca="false">IF(AND(S102&lt;&gt;"",ISNUMBER(E102)),V102/E102,"")</f>
        <v/>
      </c>
      <c r="X102" s="17" t="str">
        <f aca="false">IF(OR(S102="",Parametros!$B$14&gt;=1),"",S102/(1-Parametros!$B$14))</f>
        <v/>
      </c>
      <c r="Y102" s="17" t="str">
        <f aca="false">IF(OR(S102="",Parametros!$B$14+Parametros!$B$18&gt;=1),"",S102/(1-Parametros!$B$14-Parametros!$B$18))</f>
        <v/>
      </c>
      <c r="Z102" s="20" t="str">
        <f aca="false">IF(B102="","",IF(S102="","FALTAN DATOS",IF(NOT(ISNUMBER(E102)),"FALTA PRECIO",IF(V102&lt;0,"PIERDE",IF(W102&lt;Parametros!$B$18,"BAJO META","OK")))))</f>
        <v/>
      </c>
      <c r="AA102" s="21" t="str">
        <f aca="false">IF(B102="","",IF(F102="","Tela. ","")&amp;IF(NOT(ISNUMBER(G102)),"Kg de tela. ","")&amp;IF(AND(F102&lt;&gt;"",NOT(ISNUMBER(IFERROR(INDEX(Precios!$D$5:$D$120,MATCH(F102,Precios!$A$5:$A$120,0)),"x")))),"Tela sin precio. ","")&amp;IF(AND(H102&lt;&gt;"",NOT(ISNUMBER(IFERROR(INDEX(Precios!$D$5:$D$120,MATCH(H102,Precios!$A$5:$A$120,0)),"x")))),"Tela 2 sin precio. ","")&amp;IF(J102="","Metros impresos. ","")&amp;IF(AND(N(J102)&gt;0,Parametros!$B$27=0),"Impresión sin costo. ","")&amp;IF(K102="","Confección. ",IF(Q102=0,"Confección sin valor. ",""))&amp;IF(NOT(ISNUMBER(E102)),"Precio de venta. ",""))</f>
        <v/>
      </c>
    </row>
    <row r="103" customFormat="false" ht="15" hidden="false" customHeight="false" outlineLevel="0" collapsed="false">
      <c r="A103" s="22"/>
      <c r="B103" s="22"/>
      <c r="C103" s="22"/>
      <c r="D103" s="13"/>
      <c r="E103" s="12"/>
      <c r="F103" s="13"/>
      <c r="G103" s="14"/>
      <c r="H103" s="13"/>
      <c r="I103" s="14"/>
      <c r="J103" s="15"/>
      <c r="K103" s="13"/>
      <c r="L103" s="12"/>
      <c r="M103" s="13"/>
      <c r="O103" s="17" t="str">
        <f aca="false">IF(B103="","",IFERROR(G103*INDEX(Precios!$D$5:$D$120,MATCH(F103,Precios!$A$5:$A$120,0)),0)+IF(H103="",0,IFERROR(I103*INDEX(Precios!$D$5:$D$120,MATCH(H103,Precios!$A$5:$A$120,0)),0)))</f>
        <v/>
      </c>
      <c r="P103" s="17" t="str">
        <f aca="false">IF(B103="","",N(J103)*Parametros!$B$27)</f>
        <v/>
      </c>
      <c r="Q103" s="17" t="str">
        <f aca="false">IF(B103="","",IFERROR(INDEX(Confeccion!$B$5:$B$100,MATCH(K103,Confeccion!$A$5:$A$100,0)),0))</f>
        <v/>
      </c>
      <c r="R103" s="17" t="str">
        <f aca="false">IF(B103="","",N(L103))</f>
        <v/>
      </c>
      <c r="S103" s="18" t="str">
        <f aca="false">IF(B103="","",IF(AND(F103&lt;&gt;"",ISNUMBER(G103),ISNUMBER(IFERROR(INDEX(Precios!$D$5:$D$120,MATCH(F103,Precios!$A$5:$A$120,0)),"x")),OR(H103="",ISNUMBER(IFERROR(INDEX(Precios!$D$5:$D$120,MATCH(H103,Precios!$A$5:$A$120,0)),"x"))),J103&lt;&gt;"",K103&lt;&gt;"",Q103&gt;0),SUM(O103:R103),""))</f>
        <v/>
      </c>
      <c r="T103" s="17" t="str">
        <f aca="false">IF(AND(S103&lt;&gt;"",ISNUMBER(E103)),E103*Parametros!$B$12,"")</f>
        <v/>
      </c>
      <c r="U103" s="17" t="str">
        <f aca="false">IF(AND(S103&lt;&gt;"",ISNUMBER(E103)),E103*Parametros!$B$13,"")</f>
        <v/>
      </c>
      <c r="V103" s="18" t="str">
        <f aca="false">IF(AND(S103&lt;&gt;"",ISNUMBER(E103)),E103-S103-T103-U103,"")</f>
        <v/>
      </c>
      <c r="W103" s="19" t="str">
        <f aca="false">IF(AND(S103&lt;&gt;"",ISNUMBER(E103)),V103/E103,"")</f>
        <v/>
      </c>
      <c r="X103" s="17" t="str">
        <f aca="false">IF(OR(S103="",Parametros!$B$14&gt;=1),"",S103/(1-Parametros!$B$14))</f>
        <v/>
      </c>
      <c r="Y103" s="17" t="str">
        <f aca="false">IF(OR(S103="",Parametros!$B$14+Parametros!$B$18&gt;=1),"",S103/(1-Parametros!$B$14-Parametros!$B$18))</f>
        <v/>
      </c>
      <c r="Z103" s="20" t="str">
        <f aca="false">IF(B103="","",IF(S103="","FALTAN DATOS",IF(NOT(ISNUMBER(E103)),"FALTA PRECIO",IF(V103&lt;0,"PIERDE",IF(W103&lt;Parametros!$B$18,"BAJO META","OK")))))</f>
        <v/>
      </c>
      <c r="AA103" s="21" t="str">
        <f aca="false">IF(B103="","",IF(F103="","Tela. ","")&amp;IF(NOT(ISNUMBER(G103)),"Kg de tela. ","")&amp;IF(AND(F103&lt;&gt;"",NOT(ISNUMBER(IFERROR(INDEX(Precios!$D$5:$D$120,MATCH(F103,Precios!$A$5:$A$120,0)),"x")))),"Tela sin precio. ","")&amp;IF(AND(H103&lt;&gt;"",NOT(ISNUMBER(IFERROR(INDEX(Precios!$D$5:$D$120,MATCH(H103,Precios!$A$5:$A$120,0)),"x")))),"Tela 2 sin precio. ","")&amp;IF(J103="","Metros impresos. ","")&amp;IF(AND(N(J103)&gt;0,Parametros!$B$27=0),"Impresión sin costo. ","")&amp;IF(K103="","Confección. ",IF(Q103=0,"Confección sin valor. ",""))&amp;IF(NOT(ISNUMBER(E103)),"Precio de venta. ",""))</f>
        <v/>
      </c>
    </row>
    <row r="104" customFormat="false" ht="15" hidden="false" customHeight="false" outlineLevel="0" collapsed="false">
      <c r="A104" s="22"/>
      <c r="B104" s="22"/>
      <c r="C104" s="22"/>
      <c r="D104" s="13"/>
      <c r="E104" s="12"/>
      <c r="F104" s="13"/>
      <c r="G104" s="14"/>
      <c r="H104" s="13"/>
      <c r="I104" s="14"/>
      <c r="J104" s="15"/>
      <c r="K104" s="13"/>
      <c r="L104" s="12"/>
      <c r="M104" s="13"/>
      <c r="O104" s="17" t="str">
        <f aca="false">IF(B104="","",IFERROR(G104*INDEX(Precios!$D$5:$D$120,MATCH(F104,Precios!$A$5:$A$120,0)),0)+IF(H104="",0,IFERROR(I104*INDEX(Precios!$D$5:$D$120,MATCH(H104,Precios!$A$5:$A$120,0)),0)))</f>
        <v/>
      </c>
      <c r="P104" s="17" t="str">
        <f aca="false">IF(B104="","",N(J104)*Parametros!$B$27)</f>
        <v/>
      </c>
      <c r="Q104" s="17" t="str">
        <f aca="false">IF(B104="","",IFERROR(INDEX(Confeccion!$B$5:$B$100,MATCH(K104,Confeccion!$A$5:$A$100,0)),0))</f>
        <v/>
      </c>
      <c r="R104" s="17" t="str">
        <f aca="false">IF(B104="","",N(L104))</f>
        <v/>
      </c>
      <c r="S104" s="18" t="str">
        <f aca="false">IF(B104="","",IF(AND(F104&lt;&gt;"",ISNUMBER(G104),ISNUMBER(IFERROR(INDEX(Precios!$D$5:$D$120,MATCH(F104,Precios!$A$5:$A$120,0)),"x")),OR(H104="",ISNUMBER(IFERROR(INDEX(Precios!$D$5:$D$120,MATCH(H104,Precios!$A$5:$A$120,0)),"x"))),J104&lt;&gt;"",K104&lt;&gt;"",Q104&gt;0),SUM(O104:R104),""))</f>
        <v/>
      </c>
      <c r="T104" s="17" t="str">
        <f aca="false">IF(AND(S104&lt;&gt;"",ISNUMBER(E104)),E104*Parametros!$B$12,"")</f>
        <v/>
      </c>
      <c r="U104" s="17" t="str">
        <f aca="false">IF(AND(S104&lt;&gt;"",ISNUMBER(E104)),E104*Parametros!$B$13,"")</f>
        <v/>
      </c>
      <c r="V104" s="18" t="str">
        <f aca="false">IF(AND(S104&lt;&gt;"",ISNUMBER(E104)),E104-S104-T104-U104,"")</f>
        <v/>
      </c>
      <c r="W104" s="19" t="str">
        <f aca="false">IF(AND(S104&lt;&gt;"",ISNUMBER(E104)),V104/E104,"")</f>
        <v/>
      </c>
      <c r="X104" s="17" t="str">
        <f aca="false">IF(OR(S104="",Parametros!$B$14&gt;=1),"",S104/(1-Parametros!$B$14))</f>
        <v/>
      </c>
      <c r="Y104" s="17" t="str">
        <f aca="false">IF(OR(S104="",Parametros!$B$14+Parametros!$B$18&gt;=1),"",S104/(1-Parametros!$B$14-Parametros!$B$18))</f>
        <v/>
      </c>
      <c r="Z104" s="20" t="str">
        <f aca="false">IF(B104="","",IF(S104="","FALTAN DATOS",IF(NOT(ISNUMBER(E104)),"FALTA PRECIO",IF(V104&lt;0,"PIERDE",IF(W104&lt;Parametros!$B$18,"BAJO META","OK")))))</f>
        <v/>
      </c>
      <c r="AA104" s="21" t="str">
        <f aca="false">IF(B104="","",IF(F104="","Tela. ","")&amp;IF(NOT(ISNUMBER(G104)),"Kg de tela. ","")&amp;IF(AND(F104&lt;&gt;"",NOT(ISNUMBER(IFERROR(INDEX(Precios!$D$5:$D$120,MATCH(F104,Precios!$A$5:$A$120,0)),"x")))),"Tela sin precio. ","")&amp;IF(AND(H104&lt;&gt;"",NOT(ISNUMBER(IFERROR(INDEX(Precios!$D$5:$D$120,MATCH(H104,Precios!$A$5:$A$120,0)),"x")))),"Tela 2 sin precio. ","")&amp;IF(J104="","Metros impresos. ","")&amp;IF(AND(N(J104)&gt;0,Parametros!$B$27=0),"Impresión sin costo. ","")&amp;IF(K104="","Confección. ",IF(Q104=0,"Confección sin valor. ",""))&amp;IF(NOT(ISNUMBER(E104)),"Precio de venta. ",""))</f>
        <v/>
      </c>
    </row>
    <row r="105" customFormat="false" ht="15" hidden="false" customHeight="false" outlineLevel="0" collapsed="false">
      <c r="A105" s="22"/>
      <c r="B105" s="22"/>
      <c r="C105" s="22"/>
      <c r="D105" s="13"/>
      <c r="E105" s="12"/>
      <c r="F105" s="13"/>
      <c r="G105" s="14"/>
      <c r="H105" s="13"/>
      <c r="I105" s="14"/>
      <c r="J105" s="15"/>
      <c r="K105" s="13"/>
      <c r="L105" s="12"/>
      <c r="M105" s="13"/>
      <c r="O105" s="17" t="str">
        <f aca="false">IF(B105="","",IFERROR(G105*INDEX(Precios!$D$5:$D$120,MATCH(F105,Precios!$A$5:$A$120,0)),0)+IF(H105="",0,IFERROR(I105*INDEX(Precios!$D$5:$D$120,MATCH(H105,Precios!$A$5:$A$120,0)),0)))</f>
        <v/>
      </c>
      <c r="P105" s="17" t="str">
        <f aca="false">IF(B105="","",N(J105)*Parametros!$B$27)</f>
        <v/>
      </c>
      <c r="Q105" s="17" t="str">
        <f aca="false">IF(B105="","",IFERROR(INDEX(Confeccion!$B$5:$B$100,MATCH(K105,Confeccion!$A$5:$A$100,0)),0))</f>
        <v/>
      </c>
      <c r="R105" s="17" t="str">
        <f aca="false">IF(B105="","",N(L105))</f>
        <v/>
      </c>
      <c r="S105" s="18" t="str">
        <f aca="false">IF(B105="","",IF(AND(F105&lt;&gt;"",ISNUMBER(G105),ISNUMBER(IFERROR(INDEX(Precios!$D$5:$D$120,MATCH(F105,Precios!$A$5:$A$120,0)),"x")),OR(H105="",ISNUMBER(IFERROR(INDEX(Precios!$D$5:$D$120,MATCH(H105,Precios!$A$5:$A$120,0)),"x"))),J105&lt;&gt;"",K105&lt;&gt;"",Q105&gt;0),SUM(O105:R105),""))</f>
        <v/>
      </c>
      <c r="T105" s="17" t="str">
        <f aca="false">IF(AND(S105&lt;&gt;"",ISNUMBER(E105)),E105*Parametros!$B$12,"")</f>
        <v/>
      </c>
      <c r="U105" s="17" t="str">
        <f aca="false">IF(AND(S105&lt;&gt;"",ISNUMBER(E105)),E105*Parametros!$B$13,"")</f>
        <v/>
      </c>
      <c r="V105" s="18" t="str">
        <f aca="false">IF(AND(S105&lt;&gt;"",ISNUMBER(E105)),E105-S105-T105-U105,"")</f>
        <v/>
      </c>
      <c r="W105" s="19" t="str">
        <f aca="false">IF(AND(S105&lt;&gt;"",ISNUMBER(E105)),V105/E105,"")</f>
        <v/>
      </c>
      <c r="X105" s="17" t="str">
        <f aca="false">IF(OR(S105="",Parametros!$B$14&gt;=1),"",S105/(1-Parametros!$B$14))</f>
        <v/>
      </c>
      <c r="Y105" s="17" t="str">
        <f aca="false">IF(OR(S105="",Parametros!$B$14+Parametros!$B$18&gt;=1),"",S105/(1-Parametros!$B$14-Parametros!$B$18))</f>
        <v/>
      </c>
      <c r="Z105" s="20" t="str">
        <f aca="false">IF(B105="","",IF(S105="","FALTAN DATOS",IF(NOT(ISNUMBER(E105)),"FALTA PRECIO",IF(V105&lt;0,"PIERDE",IF(W105&lt;Parametros!$B$18,"BAJO META","OK")))))</f>
        <v/>
      </c>
      <c r="AA105" s="21" t="str">
        <f aca="false">IF(B105="","",IF(F105="","Tela. ","")&amp;IF(NOT(ISNUMBER(G105)),"Kg de tela. ","")&amp;IF(AND(F105&lt;&gt;"",NOT(ISNUMBER(IFERROR(INDEX(Precios!$D$5:$D$120,MATCH(F105,Precios!$A$5:$A$120,0)),"x")))),"Tela sin precio. ","")&amp;IF(AND(H105&lt;&gt;"",NOT(ISNUMBER(IFERROR(INDEX(Precios!$D$5:$D$120,MATCH(H105,Precios!$A$5:$A$120,0)),"x")))),"Tela 2 sin precio. ","")&amp;IF(J105="","Metros impresos. ","")&amp;IF(AND(N(J105)&gt;0,Parametros!$B$27=0),"Impresión sin costo. ","")&amp;IF(K105="","Confección. ",IF(Q105=0,"Confección sin valor. ",""))&amp;IF(NOT(ISNUMBER(E105)),"Precio de venta. ",""))</f>
        <v/>
      </c>
    </row>
    <row r="106" customFormat="false" ht="15" hidden="false" customHeight="false" outlineLevel="0" collapsed="false">
      <c r="A106" s="22"/>
      <c r="B106" s="22"/>
      <c r="C106" s="22"/>
      <c r="D106" s="13"/>
      <c r="E106" s="12"/>
      <c r="F106" s="13"/>
      <c r="G106" s="14"/>
      <c r="H106" s="13"/>
      <c r="I106" s="14"/>
      <c r="J106" s="15"/>
      <c r="K106" s="13"/>
      <c r="L106" s="12"/>
      <c r="M106" s="13"/>
      <c r="O106" s="17" t="str">
        <f aca="false">IF(B106="","",IFERROR(G106*INDEX(Precios!$D$5:$D$120,MATCH(F106,Precios!$A$5:$A$120,0)),0)+IF(H106="",0,IFERROR(I106*INDEX(Precios!$D$5:$D$120,MATCH(H106,Precios!$A$5:$A$120,0)),0)))</f>
        <v/>
      </c>
      <c r="P106" s="17" t="str">
        <f aca="false">IF(B106="","",N(J106)*Parametros!$B$27)</f>
        <v/>
      </c>
      <c r="Q106" s="17" t="str">
        <f aca="false">IF(B106="","",IFERROR(INDEX(Confeccion!$B$5:$B$100,MATCH(K106,Confeccion!$A$5:$A$100,0)),0))</f>
        <v/>
      </c>
      <c r="R106" s="17" t="str">
        <f aca="false">IF(B106="","",N(L106))</f>
        <v/>
      </c>
      <c r="S106" s="18" t="str">
        <f aca="false">IF(B106="","",IF(AND(F106&lt;&gt;"",ISNUMBER(G106),ISNUMBER(IFERROR(INDEX(Precios!$D$5:$D$120,MATCH(F106,Precios!$A$5:$A$120,0)),"x")),OR(H106="",ISNUMBER(IFERROR(INDEX(Precios!$D$5:$D$120,MATCH(H106,Precios!$A$5:$A$120,0)),"x"))),J106&lt;&gt;"",K106&lt;&gt;"",Q106&gt;0),SUM(O106:R106),""))</f>
        <v/>
      </c>
      <c r="T106" s="17" t="str">
        <f aca="false">IF(AND(S106&lt;&gt;"",ISNUMBER(E106)),E106*Parametros!$B$12,"")</f>
        <v/>
      </c>
      <c r="U106" s="17" t="str">
        <f aca="false">IF(AND(S106&lt;&gt;"",ISNUMBER(E106)),E106*Parametros!$B$13,"")</f>
        <v/>
      </c>
      <c r="V106" s="18" t="str">
        <f aca="false">IF(AND(S106&lt;&gt;"",ISNUMBER(E106)),E106-S106-T106-U106,"")</f>
        <v/>
      </c>
      <c r="W106" s="19" t="str">
        <f aca="false">IF(AND(S106&lt;&gt;"",ISNUMBER(E106)),V106/E106,"")</f>
        <v/>
      </c>
      <c r="X106" s="17" t="str">
        <f aca="false">IF(OR(S106="",Parametros!$B$14&gt;=1),"",S106/(1-Parametros!$B$14))</f>
        <v/>
      </c>
      <c r="Y106" s="17" t="str">
        <f aca="false">IF(OR(S106="",Parametros!$B$14+Parametros!$B$18&gt;=1),"",S106/(1-Parametros!$B$14-Parametros!$B$18))</f>
        <v/>
      </c>
      <c r="Z106" s="20" t="str">
        <f aca="false">IF(B106="","",IF(S106="","FALTAN DATOS",IF(NOT(ISNUMBER(E106)),"FALTA PRECIO",IF(V106&lt;0,"PIERDE",IF(W106&lt;Parametros!$B$18,"BAJO META","OK")))))</f>
        <v/>
      </c>
      <c r="AA106" s="21" t="str">
        <f aca="false">IF(B106="","",IF(F106="","Tela. ","")&amp;IF(NOT(ISNUMBER(G106)),"Kg de tela. ","")&amp;IF(AND(F106&lt;&gt;"",NOT(ISNUMBER(IFERROR(INDEX(Precios!$D$5:$D$120,MATCH(F106,Precios!$A$5:$A$120,0)),"x")))),"Tela sin precio. ","")&amp;IF(AND(H106&lt;&gt;"",NOT(ISNUMBER(IFERROR(INDEX(Precios!$D$5:$D$120,MATCH(H106,Precios!$A$5:$A$120,0)),"x")))),"Tela 2 sin precio. ","")&amp;IF(J106="","Metros impresos. ","")&amp;IF(AND(N(J106)&gt;0,Parametros!$B$27=0),"Impresión sin costo. ","")&amp;IF(K106="","Confección. ",IF(Q106=0,"Confección sin valor. ",""))&amp;IF(NOT(ISNUMBER(E106)),"Precio de venta. ",""))</f>
        <v/>
      </c>
    </row>
    <row r="107" customFormat="false" ht="15" hidden="false" customHeight="false" outlineLevel="0" collapsed="false">
      <c r="A107" s="22"/>
      <c r="B107" s="22"/>
      <c r="C107" s="22"/>
      <c r="D107" s="13"/>
      <c r="E107" s="12"/>
      <c r="F107" s="13"/>
      <c r="G107" s="14"/>
      <c r="H107" s="13"/>
      <c r="I107" s="14"/>
      <c r="J107" s="15"/>
      <c r="K107" s="13"/>
      <c r="L107" s="12"/>
      <c r="M107" s="13"/>
      <c r="O107" s="17" t="str">
        <f aca="false">IF(B107="","",IFERROR(G107*INDEX(Precios!$D$5:$D$120,MATCH(F107,Precios!$A$5:$A$120,0)),0)+IF(H107="",0,IFERROR(I107*INDEX(Precios!$D$5:$D$120,MATCH(H107,Precios!$A$5:$A$120,0)),0)))</f>
        <v/>
      </c>
      <c r="P107" s="17" t="str">
        <f aca="false">IF(B107="","",N(J107)*Parametros!$B$27)</f>
        <v/>
      </c>
      <c r="Q107" s="17" t="str">
        <f aca="false">IF(B107="","",IFERROR(INDEX(Confeccion!$B$5:$B$100,MATCH(K107,Confeccion!$A$5:$A$100,0)),0))</f>
        <v/>
      </c>
      <c r="R107" s="17" t="str">
        <f aca="false">IF(B107="","",N(L107))</f>
        <v/>
      </c>
      <c r="S107" s="18" t="str">
        <f aca="false">IF(B107="","",IF(AND(F107&lt;&gt;"",ISNUMBER(G107),ISNUMBER(IFERROR(INDEX(Precios!$D$5:$D$120,MATCH(F107,Precios!$A$5:$A$120,0)),"x")),OR(H107="",ISNUMBER(IFERROR(INDEX(Precios!$D$5:$D$120,MATCH(H107,Precios!$A$5:$A$120,0)),"x"))),J107&lt;&gt;"",K107&lt;&gt;"",Q107&gt;0),SUM(O107:R107),""))</f>
        <v/>
      </c>
      <c r="T107" s="17" t="str">
        <f aca="false">IF(AND(S107&lt;&gt;"",ISNUMBER(E107)),E107*Parametros!$B$12,"")</f>
        <v/>
      </c>
      <c r="U107" s="17" t="str">
        <f aca="false">IF(AND(S107&lt;&gt;"",ISNUMBER(E107)),E107*Parametros!$B$13,"")</f>
        <v/>
      </c>
      <c r="V107" s="18" t="str">
        <f aca="false">IF(AND(S107&lt;&gt;"",ISNUMBER(E107)),E107-S107-T107-U107,"")</f>
        <v/>
      </c>
      <c r="W107" s="19" t="str">
        <f aca="false">IF(AND(S107&lt;&gt;"",ISNUMBER(E107)),V107/E107,"")</f>
        <v/>
      </c>
      <c r="X107" s="17" t="str">
        <f aca="false">IF(OR(S107="",Parametros!$B$14&gt;=1),"",S107/(1-Parametros!$B$14))</f>
        <v/>
      </c>
      <c r="Y107" s="17" t="str">
        <f aca="false">IF(OR(S107="",Parametros!$B$14+Parametros!$B$18&gt;=1),"",S107/(1-Parametros!$B$14-Parametros!$B$18))</f>
        <v/>
      </c>
      <c r="Z107" s="20" t="str">
        <f aca="false">IF(B107="","",IF(S107="","FALTAN DATOS",IF(NOT(ISNUMBER(E107)),"FALTA PRECIO",IF(V107&lt;0,"PIERDE",IF(W107&lt;Parametros!$B$18,"BAJO META","OK")))))</f>
        <v/>
      </c>
      <c r="AA107" s="21" t="str">
        <f aca="false">IF(B107="","",IF(F107="","Tela. ","")&amp;IF(NOT(ISNUMBER(G107)),"Kg de tela. ","")&amp;IF(AND(F107&lt;&gt;"",NOT(ISNUMBER(IFERROR(INDEX(Precios!$D$5:$D$120,MATCH(F107,Precios!$A$5:$A$120,0)),"x")))),"Tela sin precio. ","")&amp;IF(AND(H107&lt;&gt;"",NOT(ISNUMBER(IFERROR(INDEX(Precios!$D$5:$D$120,MATCH(H107,Precios!$A$5:$A$120,0)),"x")))),"Tela 2 sin precio. ","")&amp;IF(J107="","Metros impresos. ","")&amp;IF(AND(N(J107)&gt;0,Parametros!$B$27=0),"Impresión sin costo. ","")&amp;IF(K107="","Confección. ",IF(Q107=0,"Confección sin valor. ",""))&amp;IF(NOT(ISNUMBER(E107)),"Precio de venta. ",""))</f>
        <v/>
      </c>
    </row>
    <row r="108" customFormat="false" ht="15" hidden="false" customHeight="false" outlineLevel="0" collapsed="false">
      <c r="A108" s="22"/>
      <c r="B108" s="22"/>
      <c r="C108" s="22"/>
      <c r="D108" s="13"/>
      <c r="E108" s="12"/>
      <c r="F108" s="13"/>
      <c r="G108" s="14"/>
      <c r="H108" s="13"/>
      <c r="I108" s="14"/>
      <c r="J108" s="15"/>
      <c r="K108" s="13"/>
      <c r="L108" s="12"/>
      <c r="M108" s="13"/>
      <c r="O108" s="17" t="str">
        <f aca="false">IF(B108="","",IFERROR(G108*INDEX(Precios!$D$5:$D$120,MATCH(F108,Precios!$A$5:$A$120,0)),0)+IF(H108="",0,IFERROR(I108*INDEX(Precios!$D$5:$D$120,MATCH(H108,Precios!$A$5:$A$120,0)),0)))</f>
        <v/>
      </c>
      <c r="P108" s="17" t="str">
        <f aca="false">IF(B108="","",N(J108)*Parametros!$B$27)</f>
        <v/>
      </c>
      <c r="Q108" s="17" t="str">
        <f aca="false">IF(B108="","",IFERROR(INDEX(Confeccion!$B$5:$B$100,MATCH(K108,Confeccion!$A$5:$A$100,0)),0))</f>
        <v/>
      </c>
      <c r="R108" s="17" t="str">
        <f aca="false">IF(B108="","",N(L108))</f>
        <v/>
      </c>
      <c r="S108" s="18" t="str">
        <f aca="false">IF(B108="","",IF(AND(F108&lt;&gt;"",ISNUMBER(G108),ISNUMBER(IFERROR(INDEX(Precios!$D$5:$D$120,MATCH(F108,Precios!$A$5:$A$120,0)),"x")),OR(H108="",ISNUMBER(IFERROR(INDEX(Precios!$D$5:$D$120,MATCH(H108,Precios!$A$5:$A$120,0)),"x"))),J108&lt;&gt;"",K108&lt;&gt;"",Q108&gt;0),SUM(O108:R108),""))</f>
        <v/>
      </c>
      <c r="T108" s="17" t="str">
        <f aca="false">IF(AND(S108&lt;&gt;"",ISNUMBER(E108)),E108*Parametros!$B$12,"")</f>
        <v/>
      </c>
      <c r="U108" s="17" t="str">
        <f aca="false">IF(AND(S108&lt;&gt;"",ISNUMBER(E108)),E108*Parametros!$B$13,"")</f>
        <v/>
      </c>
      <c r="V108" s="18" t="str">
        <f aca="false">IF(AND(S108&lt;&gt;"",ISNUMBER(E108)),E108-S108-T108-U108,"")</f>
        <v/>
      </c>
      <c r="W108" s="19" t="str">
        <f aca="false">IF(AND(S108&lt;&gt;"",ISNUMBER(E108)),V108/E108,"")</f>
        <v/>
      </c>
      <c r="X108" s="17" t="str">
        <f aca="false">IF(OR(S108="",Parametros!$B$14&gt;=1),"",S108/(1-Parametros!$B$14))</f>
        <v/>
      </c>
      <c r="Y108" s="17" t="str">
        <f aca="false">IF(OR(S108="",Parametros!$B$14+Parametros!$B$18&gt;=1),"",S108/(1-Parametros!$B$14-Parametros!$B$18))</f>
        <v/>
      </c>
      <c r="Z108" s="20" t="str">
        <f aca="false">IF(B108="","",IF(S108="","FALTAN DATOS",IF(NOT(ISNUMBER(E108)),"FALTA PRECIO",IF(V108&lt;0,"PIERDE",IF(W108&lt;Parametros!$B$18,"BAJO META","OK")))))</f>
        <v/>
      </c>
      <c r="AA108" s="21" t="str">
        <f aca="false">IF(B108="","",IF(F108="","Tela. ","")&amp;IF(NOT(ISNUMBER(G108)),"Kg de tela. ","")&amp;IF(AND(F108&lt;&gt;"",NOT(ISNUMBER(IFERROR(INDEX(Precios!$D$5:$D$120,MATCH(F108,Precios!$A$5:$A$120,0)),"x")))),"Tela sin precio. ","")&amp;IF(AND(H108&lt;&gt;"",NOT(ISNUMBER(IFERROR(INDEX(Precios!$D$5:$D$120,MATCH(H108,Precios!$A$5:$A$120,0)),"x")))),"Tela 2 sin precio. ","")&amp;IF(J108="","Metros impresos. ","")&amp;IF(AND(N(J108)&gt;0,Parametros!$B$27=0),"Impresión sin costo. ","")&amp;IF(K108="","Confección. ",IF(Q108=0,"Confección sin valor. ",""))&amp;IF(NOT(ISNUMBER(E108)),"Precio de venta. ",""))</f>
        <v/>
      </c>
    </row>
    <row r="109" customFormat="false" ht="15" hidden="false" customHeight="false" outlineLevel="0" collapsed="false">
      <c r="A109" s="22"/>
      <c r="B109" s="22"/>
      <c r="C109" s="22"/>
      <c r="D109" s="13"/>
      <c r="E109" s="12"/>
      <c r="F109" s="13"/>
      <c r="G109" s="14"/>
      <c r="H109" s="13"/>
      <c r="I109" s="14"/>
      <c r="J109" s="15"/>
      <c r="K109" s="13"/>
      <c r="L109" s="12"/>
      <c r="M109" s="13"/>
      <c r="O109" s="17" t="str">
        <f aca="false">IF(B109="","",IFERROR(G109*INDEX(Precios!$D$5:$D$120,MATCH(F109,Precios!$A$5:$A$120,0)),0)+IF(H109="",0,IFERROR(I109*INDEX(Precios!$D$5:$D$120,MATCH(H109,Precios!$A$5:$A$120,0)),0)))</f>
        <v/>
      </c>
      <c r="P109" s="17" t="str">
        <f aca="false">IF(B109="","",N(J109)*Parametros!$B$27)</f>
        <v/>
      </c>
      <c r="Q109" s="17" t="str">
        <f aca="false">IF(B109="","",IFERROR(INDEX(Confeccion!$B$5:$B$100,MATCH(K109,Confeccion!$A$5:$A$100,0)),0))</f>
        <v/>
      </c>
      <c r="R109" s="17" t="str">
        <f aca="false">IF(B109="","",N(L109))</f>
        <v/>
      </c>
      <c r="S109" s="18" t="str">
        <f aca="false">IF(B109="","",IF(AND(F109&lt;&gt;"",ISNUMBER(G109),ISNUMBER(IFERROR(INDEX(Precios!$D$5:$D$120,MATCH(F109,Precios!$A$5:$A$120,0)),"x")),OR(H109="",ISNUMBER(IFERROR(INDEX(Precios!$D$5:$D$120,MATCH(H109,Precios!$A$5:$A$120,0)),"x"))),J109&lt;&gt;"",K109&lt;&gt;"",Q109&gt;0),SUM(O109:R109),""))</f>
        <v/>
      </c>
      <c r="T109" s="17" t="str">
        <f aca="false">IF(AND(S109&lt;&gt;"",ISNUMBER(E109)),E109*Parametros!$B$12,"")</f>
        <v/>
      </c>
      <c r="U109" s="17" t="str">
        <f aca="false">IF(AND(S109&lt;&gt;"",ISNUMBER(E109)),E109*Parametros!$B$13,"")</f>
        <v/>
      </c>
      <c r="V109" s="18" t="str">
        <f aca="false">IF(AND(S109&lt;&gt;"",ISNUMBER(E109)),E109-S109-T109-U109,"")</f>
        <v/>
      </c>
      <c r="W109" s="19" t="str">
        <f aca="false">IF(AND(S109&lt;&gt;"",ISNUMBER(E109)),V109/E109,"")</f>
        <v/>
      </c>
      <c r="X109" s="17" t="str">
        <f aca="false">IF(OR(S109="",Parametros!$B$14&gt;=1),"",S109/(1-Parametros!$B$14))</f>
        <v/>
      </c>
      <c r="Y109" s="17" t="str">
        <f aca="false">IF(OR(S109="",Parametros!$B$14+Parametros!$B$18&gt;=1),"",S109/(1-Parametros!$B$14-Parametros!$B$18))</f>
        <v/>
      </c>
      <c r="Z109" s="20" t="str">
        <f aca="false">IF(B109="","",IF(S109="","FALTAN DATOS",IF(NOT(ISNUMBER(E109)),"FALTA PRECIO",IF(V109&lt;0,"PIERDE",IF(W109&lt;Parametros!$B$18,"BAJO META","OK")))))</f>
        <v/>
      </c>
      <c r="AA109" s="21" t="str">
        <f aca="false">IF(B109="","",IF(F109="","Tela. ","")&amp;IF(NOT(ISNUMBER(G109)),"Kg de tela. ","")&amp;IF(AND(F109&lt;&gt;"",NOT(ISNUMBER(IFERROR(INDEX(Precios!$D$5:$D$120,MATCH(F109,Precios!$A$5:$A$120,0)),"x")))),"Tela sin precio. ","")&amp;IF(AND(H109&lt;&gt;"",NOT(ISNUMBER(IFERROR(INDEX(Precios!$D$5:$D$120,MATCH(H109,Precios!$A$5:$A$120,0)),"x")))),"Tela 2 sin precio. ","")&amp;IF(J109="","Metros impresos. ","")&amp;IF(AND(N(J109)&gt;0,Parametros!$B$27=0),"Impresión sin costo. ","")&amp;IF(K109="","Confección. ",IF(Q109=0,"Confección sin valor. ",""))&amp;IF(NOT(ISNUMBER(E109)),"Precio de venta. ",""))</f>
        <v/>
      </c>
    </row>
    <row r="110" customFormat="false" ht="15" hidden="false" customHeight="false" outlineLevel="0" collapsed="false">
      <c r="A110" s="22"/>
      <c r="B110" s="22"/>
      <c r="C110" s="22"/>
      <c r="D110" s="13"/>
      <c r="E110" s="12"/>
      <c r="F110" s="13"/>
      <c r="G110" s="14"/>
      <c r="H110" s="13"/>
      <c r="I110" s="14"/>
      <c r="J110" s="15"/>
      <c r="K110" s="13"/>
      <c r="L110" s="12"/>
      <c r="M110" s="13"/>
      <c r="O110" s="17" t="str">
        <f aca="false">IF(B110="","",IFERROR(G110*INDEX(Precios!$D$5:$D$120,MATCH(F110,Precios!$A$5:$A$120,0)),0)+IF(H110="",0,IFERROR(I110*INDEX(Precios!$D$5:$D$120,MATCH(H110,Precios!$A$5:$A$120,0)),0)))</f>
        <v/>
      </c>
      <c r="P110" s="17" t="str">
        <f aca="false">IF(B110="","",N(J110)*Parametros!$B$27)</f>
        <v/>
      </c>
      <c r="Q110" s="17" t="str">
        <f aca="false">IF(B110="","",IFERROR(INDEX(Confeccion!$B$5:$B$100,MATCH(K110,Confeccion!$A$5:$A$100,0)),0))</f>
        <v/>
      </c>
      <c r="R110" s="17" t="str">
        <f aca="false">IF(B110="","",N(L110))</f>
        <v/>
      </c>
      <c r="S110" s="18" t="str">
        <f aca="false">IF(B110="","",IF(AND(F110&lt;&gt;"",ISNUMBER(G110),ISNUMBER(IFERROR(INDEX(Precios!$D$5:$D$120,MATCH(F110,Precios!$A$5:$A$120,0)),"x")),OR(H110="",ISNUMBER(IFERROR(INDEX(Precios!$D$5:$D$120,MATCH(H110,Precios!$A$5:$A$120,0)),"x"))),J110&lt;&gt;"",K110&lt;&gt;"",Q110&gt;0),SUM(O110:R110),""))</f>
        <v/>
      </c>
      <c r="T110" s="17" t="str">
        <f aca="false">IF(AND(S110&lt;&gt;"",ISNUMBER(E110)),E110*Parametros!$B$12,"")</f>
        <v/>
      </c>
      <c r="U110" s="17" t="str">
        <f aca="false">IF(AND(S110&lt;&gt;"",ISNUMBER(E110)),E110*Parametros!$B$13,"")</f>
        <v/>
      </c>
      <c r="V110" s="18" t="str">
        <f aca="false">IF(AND(S110&lt;&gt;"",ISNUMBER(E110)),E110-S110-T110-U110,"")</f>
        <v/>
      </c>
      <c r="W110" s="19" t="str">
        <f aca="false">IF(AND(S110&lt;&gt;"",ISNUMBER(E110)),V110/E110,"")</f>
        <v/>
      </c>
      <c r="X110" s="17" t="str">
        <f aca="false">IF(OR(S110="",Parametros!$B$14&gt;=1),"",S110/(1-Parametros!$B$14))</f>
        <v/>
      </c>
      <c r="Y110" s="17" t="str">
        <f aca="false">IF(OR(S110="",Parametros!$B$14+Parametros!$B$18&gt;=1),"",S110/(1-Parametros!$B$14-Parametros!$B$18))</f>
        <v/>
      </c>
      <c r="Z110" s="20" t="str">
        <f aca="false">IF(B110="","",IF(S110="","FALTAN DATOS",IF(NOT(ISNUMBER(E110)),"FALTA PRECIO",IF(V110&lt;0,"PIERDE",IF(W110&lt;Parametros!$B$18,"BAJO META","OK")))))</f>
        <v/>
      </c>
      <c r="AA110" s="21" t="str">
        <f aca="false">IF(B110="","",IF(F110="","Tela. ","")&amp;IF(NOT(ISNUMBER(G110)),"Kg de tela. ","")&amp;IF(AND(F110&lt;&gt;"",NOT(ISNUMBER(IFERROR(INDEX(Precios!$D$5:$D$120,MATCH(F110,Precios!$A$5:$A$120,0)),"x")))),"Tela sin precio. ","")&amp;IF(AND(H110&lt;&gt;"",NOT(ISNUMBER(IFERROR(INDEX(Precios!$D$5:$D$120,MATCH(H110,Precios!$A$5:$A$120,0)),"x")))),"Tela 2 sin precio. ","")&amp;IF(J110="","Metros impresos. ","")&amp;IF(AND(N(J110)&gt;0,Parametros!$B$27=0),"Impresión sin costo. ","")&amp;IF(K110="","Confección. ",IF(Q110=0,"Confección sin valor. ",""))&amp;IF(NOT(ISNUMBER(E110)),"Precio de venta. ",""))</f>
        <v/>
      </c>
    </row>
    <row r="111" customFormat="false" ht="15" hidden="false" customHeight="false" outlineLevel="0" collapsed="false">
      <c r="A111" s="22"/>
      <c r="B111" s="22"/>
      <c r="C111" s="22"/>
      <c r="D111" s="13"/>
      <c r="E111" s="12"/>
      <c r="F111" s="13"/>
      <c r="G111" s="14"/>
      <c r="H111" s="13"/>
      <c r="I111" s="14"/>
      <c r="J111" s="15"/>
      <c r="K111" s="13"/>
      <c r="L111" s="12"/>
      <c r="M111" s="13"/>
      <c r="O111" s="17" t="str">
        <f aca="false">IF(B111="","",IFERROR(G111*INDEX(Precios!$D$5:$D$120,MATCH(F111,Precios!$A$5:$A$120,0)),0)+IF(H111="",0,IFERROR(I111*INDEX(Precios!$D$5:$D$120,MATCH(H111,Precios!$A$5:$A$120,0)),0)))</f>
        <v/>
      </c>
      <c r="P111" s="17" t="str">
        <f aca="false">IF(B111="","",N(J111)*Parametros!$B$27)</f>
        <v/>
      </c>
      <c r="Q111" s="17" t="str">
        <f aca="false">IF(B111="","",IFERROR(INDEX(Confeccion!$B$5:$B$100,MATCH(K111,Confeccion!$A$5:$A$100,0)),0))</f>
        <v/>
      </c>
      <c r="R111" s="17" t="str">
        <f aca="false">IF(B111="","",N(L111))</f>
        <v/>
      </c>
      <c r="S111" s="18" t="str">
        <f aca="false">IF(B111="","",IF(AND(F111&lt;&gt;"",ISNUMBER(G111),ISNUMBER(IFERROR(INDEX(Precios!$D$5:$D$120,MATCH(F111,Precios!$A$5:$A$120,0)),"x")),OR(H111="",ISNUMBER(IFERROR(INDEX(Precios!$D$5:$D$120,MATCH(H111,Precios!$A$5:$A$120,0)),"x"))),J111&lt;&gt;"",K111&lt;&gt;"",Q111&gt;0),SUM(O111:R111),""))</f>
        <v/>
      </c>
      <c r="T111" s="17" t="str">
        <f aca="false">IF(AND(S111&lt;&gt;"",ISNUMBER(E111)),E111*Parametros!$B$12,"")</f>
        <v/>
      </c>
      <c r="U111" s="17" t="str">
        <f aca="false">IF(AND(S111&lt;&gt;"",ISNUMBER(E111)),E111*Parametros!$B$13,"")</f>
        <v/>
      </c>
      <c r="V111" s="18" t="str">
        <f aca="false">IF(AND(S111&lt;&gt;"",ISNUMBER(E111)),E111-S111-T111-U111,"")</f>
        <v/>
      </c>
      <c r="W111" s="19" t="str">
        <f aca="false">IF(AND(S111&lt;&gt;"",ISNUMBER(E111)),V111/E111,"")</f>
        <v/>
      </c>
      <c r="X111" s="17" t="str">
        <f aca="false">IF(OR(S111="",Parametros!$B$14&gt;=1),"",S111/(1-Parametros!$B$14))</f>
        <v/>
      </c>
      <c r="Y111" s="17" t="str">
        <f aca="false">IF(OR(S111="",Parametros!$B$14+Parametros!$B$18&gt;=1),"",S111/(1-Parametros!$B$14-Parametros!$B$18))</f>
        <v/>
      </c>
      <c r="Z111" s="20" t="str">
        <f aca="false">IF(B111="","",IF(S111="","FALTAN DATOS",IF(NOT(ISNUMBER(E111)),"FALTA PRECIO",IF(V111&lt;0,"PIERDE",IF(W111&lt;Parametros!$B$18,"BAJO META","OK")))))</f>
        <v/>
      </c>
      <c r="AA111" s="21" t="str">
        <f aca="false">IF(B111="","",IF(F111="","Tela. ","")&amp;IF(NOT(ISNUMBER(G111)),"Kg de tela. ","")&amp;IF(AND(F111&lt;&gt;"",NOT(ISNUMBER(IFERROR(INDEX(Precios!$D$5:$D$120,MATCH(F111,Precios!$A$5:$A$120,0)),"x")))),"Tela sin precio. ","")&amp;IF(AND(H111&lt;&gt;"",NOT(ISNUMBER(IFERROR(INDEX(Precios!$D$5:$D$120,MATCH(H111,Precios!$A$5:$A$120,0)),"x")))),"Tela 2 sin precio. ","")&amp;IF(J111="","Metros impresos. ","")&amp;IF(AND(N(J111)&gt;0,Parametros!$B$27=0),"Impresión sin costo. ","")&amp;IF(K111="","Confección. ",IF(Q111=0,"Confección sin valor. ",""))&amp;IF(NOT(ISNUMBER(E111)),"Precio de venta. ",""))</f>
        <v/>
      </c>
    </row>
    <row r="112" customFormat="false" ht="15" hidden="false" customHeight="false" outlineLevel="0" collapsed="false">
      <c r="A112" s="22"/>
      <c r="B112" s="22"/>
      <c r="C112" s="22"/>
      <c r="D112" s="13"/>
      <c r="E112" s="12"/>
      <c r="F112" s="13"/>
      <c r="G112" s="14"/>
      <c r="H112" s="13"/>
      <c r="I112" s="14"/>
      <c r="J112" s="15"/>
      <c r="K112" s="13"/>
      <c r="L112" s="12"/>
      <c r="M112" s="13"/>
      <c r="O112" s="17" t="str">
        <f aca="false">IF(B112="","",IFERROR(G112*INDEX(Precios!$D$5:$D$120,MATCH(F112,Precios!$A$5:$A$120,0)),0)+IF(H112="",0,IFERROR(I112*INDEX(Precios!$D$5:$D$120,MATCH(H112,Precios!$A$5:$A$120,0)),0)))</f>
        <v/>
      </c>
      <c r="P112" s="17" t="str">
        <f aca="false">IF(B112="","",N(J112)*Parametros!$B$27)</f>
        <v/>
      </c>
      <c r="Q112" s="17" t="str">
        <f aca="false">IF(B112="","",IFERROR(INDEX(Confeccion!$B$5:$B$100,MATCH(K112,Confeccion!$A$5:$A$100,0)),0))</f>
        <v/>
      </c>
      <c r="R112" s="17" t="str">
        <f aca="false">IF(B112="","",N(L112))</f>
        <v/>
      </c>
      <c r="S112" s="18" t="str">
        <f aca="false">IF(B112="","",IF(AND(F112&lt;&gt;"",ISNUMBER(G112),ISNUMBER(IFERROR(INDEX(Precios!$D$5:$D$120,MATCH(F112,Precios!$A$5:$A$120,0)),"x")),OR(H112="",ISNUMBER(IFERROR(INDEX(Precios!$D$5:$D$120,MATCH(H112,Precios!$A$5:$A$120,0)),"x"))),J112&lt;&gt;"",K112&lt;&gt;"",Q112&gt;0),SUM(O112:R112),""))</f>
        <v/>
      </c>
      <c r="T112" s="17" t="str">
        <f aca="false">IF(AND(S112&lt;&gt;"",ISNUMBER(E112)),E112*Parametros!$B$12,"")</f>
        <v/>
      </c>
      <c r="U112" s="17" t="str">
        <f aca="false">IF(AND(S112&lt;&gt;"",ISNUMBER(E112)),E112*Parametros!$B$13,"")</f>
        <v/>
      </c>
      <c r="V112" s="18" t="str">
        <f aca="false">IF(AND(S112&lt;&gt;"",ISNUMBER(E112)),E112-S112-T112-U112,"")</f>
        <v/>
      </c>
      <c r="W112" s="19" t="str">
        <f aca="false">IF(AND(S112&lt;&gt;"",ISNUMBER(E112)),V112/E112,"")</f>
        <v/>
      </c>
      <c r="X112" s="17" t="str">
        <f aca="false">IF(OR(S112="",Parametros!$B$14&gt;=1),"",S112/(1-Parametros!$B$14))</f>
        <v/>
      </c>
      <c r="Y112" s="17" t="str">
        <f aca="false">IF(OR(S112="",Parametros!$B$14+Parametros!$B$18&gt;=1),"",S112/(1-Parametros!$B$14-Parametros!$B$18))</f>
        <v/>
      </c>
      <c r="Z112" s="20" t="str">
        <f aca="false">IF(B112="","",IF(S112="","FALTAN DATOS",IF(NOT(ISNUMBER(E112)),"FALTA PRECIO",IF(V112&lt;0,"PIERDE",IF(W112&lt;Parametros!$B$18,"BAJO META","OK")))))</f>
        <v/>
      </c>
      <c r="AA112" s="21" t="str">
        <f aca="false">IF(B112="","",IF(F112="","Tela. ","")&amp;IF(NOT(ISNUMBER(G112)),"Kg de tela. ","")&amp;IF(AND(F112&lt;&gt;"",NOT(ISNUMBER(IFERROR(INDEX(Precios!$D$5:$D$120,MATCH(F112,Precios!$A$5:$A$120,0)),"x")))),"Tela sin precio. ","")&amp;IF(AND(H112&lt;&gt;"",NOT(ISNUMBER(IFERROR(INDEX(Precios!$D$5:$D$120,MATCH(H112,Precios!$A$5:$A$120,0)),"x")))),"Tela 2 sin precio. ","")&amp;IF(J112="","Metros impresos. ","")&amp;IF(AND(N(J112)&gt;0,Parametros!$B$27=0),"Impresión sin costo. ","")&amp;IF(K112="","Confección. ",IF(Q112=0,"Confección sin valor. ",""))&amp;IF(NOT(ISNUMBER(E112)),"Precio de venta. ",""))</f>
        <v/>
      </c>
    </row>
    <row r="113" customFormat="false" ht="15" hidden="false" customHeight="false" outlineLevel="0" collapsed="false">
      <c r="A113" s="22"/>
      <c r="B113" s="22"/>
      <c r="C113" s="22"/>
      <c r="D113" s="13"/>
      <c r="E113" s="12"/>
      <c r="F113" s="13"/>
      <c r="G113" s="14"/>
      <c r="H113" s="13"/>
      <c r="I113" s="14"/>
      <c r="J113" s="15"/>
      <c r="K113" s="13"/>
      <c r="L113" s="12"/>
      <c r="M113" s="13"/>
      <c r="O113" s="17" t="str">
        <f aca="false">IF(B113="","",IFERROR(G113*INDEX(Precios!$D$5:$D$120,MATCH(F113,Precios!$A$5:$A$120,0)),0)+IF(H113="",0,IFERROR(I113*INDEX(Precios!$D$5:$D$120,MATCH(H113,Precios!$A$5:$A$120,0)),0)))</f>
        <v/>
      </c>
      <c r="P113" s="17" t="str">
        <f aca="false">IF(B113="","",N(J113)*Parametros!$B$27)</f>
        <v/>
      </c>
      <c r="Q113" s="17" t="str">
        <f aca="false">IF(B113="","",IFERROR(INDEX(Confeccion!$B$5:$B$100,MATCH(K113,Confeccion!$A$5:$A$100,0)),0))</f>
        <v/>
      </c>
      <c r="R113" s="17" t="str">
        <f aca="false">IF(B113="","",N(L113))</f>
        <v/>
      </c>
      <c r="S113" s="18" t="str">
        <f aca="false">IF(B113="","",IF(AND(F113&lt;&gt;"",ISNUMBER(G113),ISNUMBER(IFERROR(INDEX(Precios!$D$5:$D$120,MATCH(F113,Precios!$A$5:$A$120,0)),"x")),OR(H113="",ISNUMBER(IFERROR(INDEX(Precios!$D$5:$D$120,MATCH(H113,Precios!$A$5:$A$120,0)),"x"))),J113&lt;&gt;"",K113&lt;&gt;"",Q113&gt;0),SUM(O113:R113),""))</f>
        <v/>
      </c>
      <c r="T113" s="17" t="str">
        <f aca="false">IF(AND(S113&lt;&gt;"",ISNUMBER(E113)),E113*Parametros!$B$12,"")</f>
        <v/>
      </c>
      <c r="U113" s="17" t="str">
        <f aca="false">IF(AND(S113&lt;&gt;"",ISNUMBER(E113)),E113*Parametros!$B$13,"")</f>
        <v/>
      </c>
      <c r="V113" s="18" t="str">
        <f aca="false">IF(AND(S113&lt;&gt;"",ISNUMBER(E113)),E113-S113-T113-U113,"")</f>
        <v/>
      </c>
      <c r="W113" s="19" t="str">
        <f aca="false">IF(AND(S113&lt;&gt;"",ISNUMBER(E113)),V113/E113,"")</f>
        <v/>
      </c>
      <c r="X113" s="17" t="str">
        <f aca="false">IF(OR(S113="",Parametros!$B$14&gt;=1),"",S113/(1-Parametros!$B$14))</f>
        <v/>
      </c>
      <c r="Y113" s="17" t="str">
        <f aca="false">IF(OR(S113="",Parametros!$B$14+Parametros!$B$18&gt;=1),"",S113/(1-Parametros!$B$14-Parametros!$B$18))</f>
        <v/>
      </c>
      <c r="Z113" s="20" t="str">
        <f aca="false">IF(B113="","",IF(S113="","FALTAN DATOS",IF(NOT(ISNUMBER(E113)),"FALTA PRECIO",IF(V113&lt;0,"PIERDE",IF(W113&lt;Parametros!$B$18,"BAJO META","OK")))))</f>
        <v/>
      </c>
      <c r="AA113" s="21" t="str">
        <f aca="false">IF(B113="","",IF(F113="","Tela. ","")&amp;IF(NOT(ISNUMBER(G113)),"Kg de tela. ","")&amp;IF(AND(F113&lt;&gt;"",NOT(ISNUMBER(IFERROR(INDEX(Precios!$D$5:$D$120,MATCH(F113,Precios!$A$5:$A$120,0)),"x")))),"Tela sin precio. ","")&amp;IF(AND(H113&lt;&gt;"",NOT(ISNUMBER(IFERROR(INDEX(Precios!$D$5:$D$120,MATCH(H113,Precios!$A$5:$A$120,0)),"x")))),"Tela 2 sin precio. ","")&amp;IF(J113="","Metros impresos. ","")&amp;IF(AND(N(J113)&gt;0,Parametros!$B$27=0),"Impresión sin costo. ","")&amp;IF(K113="","Confección. ",IF(Q113=0,"Confección sin valor. ",""))&amp;IF(NOT(ISNUMBER(E113)),"Precio de venta. ",""))</f>
        <v/>
      </c>
    </row>
    <row r="114" customFormat="false" ht="15" hidden="false" customHeight="false" outlineLevel="0" collapsed="false">
      <c r="A114" s="22"/>
      <c r="B114" s="22"/>
      <c r="C114" s="22"/>
      <c r="D114" s="13"/>
      <c r="E114" s="12"/>
      <c r="F114" s="13"/>
      <c r="G114" s="14"/>
      <c r="H114" s="13"/>
      <c r="I114" s="14"/>
      <c r="J114" s="15"/>
      <c r="K114" s="13"/>
      <c r="L114" s="12"/>
      <c r="M114" s="13"/>
      <c r="O114" s="17" t="str">
        <f aca="false">IF(B114="","",IFERROR(G114*INDEX(Precios!$D$5:$D$120,MATCH(F114,Precios!$A$5:$A$120,0)),0)+IF(H114="",0,IFERROR(I114*INDEX(Precios!$D$5:$D$120,MATCH(H114,Precios!$A$5:$A$120,0)),0)))</f>
        <v/>
      </c>
      <c r="P114" s="17" t="str">
        <f aca="false">IF(B114="","",N(J114)*Parametros!$B$27)</f>
        <v/>
      </c>
      <c r="Q114" s="17" t="str">
        <f aca="false">IF(B114="","",IFERROR(INDEX(Confeccion!$B$5:$B$100,MATCH(K114,Confeccion!$A$5:$A$100,0)),0))</f>
        <v/>
      </c>
      <c r="R114" s="17" t="str">
        <f aca="false">IF(B114="","",N(L114))</f>
        <v/>
      </c>
      <c r="S114" s="18" t="str">
        <f aca="false">IF(B114="","",IF(AND(F114&lt;&gt;"",ISNUMBER(G114),ISNUMBER(IFERROR(INDEX(Precios!$D$5:$D$120,MATCH(F114,Precios!$A$5:$A$120,0)),"x")),OR(H114="",ISNUMBER(IFERROR(INDEX(Precios!$D$5:$D$120,MATCH(H114,Precios!$A$5:$A$120,0)),"x"))),J114&lt;&gt;"",K114&lt;&gt;"",Q114&gt;0),SUM(O114:R114),""))</f>
        <v/>
      </c>
      <c r="T114" s="17" t="str">
        <f aca="false">IF(AND(S114&lt;&gt;"",ISNUMBER(E114)),E114*Parametros!$B$12,"")</f>
        <v/>
      </c>
      <c r="U114" s="17" t="str">
        <f aca="false">IF(AND(S114&lt;&gt;"",ISNUMBER(E114)),E114*Parametros!$B$13,"")</f>
        <v/>
      </c>
      <c r="V114" s="18" t="str">
        <f aca="false">IF(AND(S114&lt;&gt;"",ISNUMBER(E114)),E114-S114-T114-U114,"")</f>
        <v/>
      </c>
      <c r="W114" s="19" t="str">
        <f aca="false">IF(AND(S114&lt;&gt;"",ISNUMBER(E114)),V114/E114,"")</f>
        <v/>
      </c>
      <c r="X114" s="17" t="str">
        <f aca="false">IF(OR(S114="",Parametros!$B$14&gt;=1),"",S114/(1-Parametros!$B$14))</f>
        <v/>
      </c>
      <c r="Y114" s="17" t="str">
        <f aca="false">IF(OR(S114="",Parametros!$B$14+Parametros!$B$18&gt;=1),"",S114/(1-Parametros!$B$14-Parametros!$B$18))</f>
        <v/>
      </c>
      <c r="Z114" s="20" t="str">
        <f aca="false">IF(B114="","",IF(S114="","FALTAN DATOS",IF(NOT(ISNUMBER(E114)),"FALTA PRECIO",IF(V114&lt;0,"PIERDE",IF(W114&lt;Parametros!$B$18,"BAJO META","OK")))))</f>
        <v/>
      </c>
      <c r="AA114" s="21" t="str">
        <f aca="false">IF(B114="","",IF(F114="","Tela. ","")&amp;IF(NOT(ISNUMBER(G114)),"Kg de tela. ","")&amp;IF(AND(F114&lt;&gt;"",NOT(ISNUMBER(IFERROR(INDEX(Precios!$D$5:$D$120,MATCH(F114,Precios!$A$5:$A$120,0)),"x")))),"Tela sin precio. ","")&amp;IF(AND(H114&lt;&gt;"",NOT(ISNUMBER(IFERROR(INDEX(Precios!$D$5:$D$120,MATCH(H114,Precios!$A$5:$A$120,0)),"x")))),"Tela 2 sin precio. ","")&amp;IF(J114="","Metros impresos. ","")&amp;IF(AND(N(J114)&gt;0,Parametros!$B$27=0),"Impresión sin costo. ","")&amp;IF(K114="","Confección. ",IF(Q114=0,"Confección sin valor. ",""))&amp;IF(NOT(ISNUMBER(E114)),"Precio de venta. ",""))</f>
        <v/>
      </c>
    </row>
    <row r="115" customFormat="false" ht="15" hidden="false" customHeight="false" outlineLevel="0" collapsed="false">
      <c r="A115" s="22"/>
      <c r="B115" s="22"/>
      <c r="C115" s="22"/>
      <c r="D115" s="13"/>
      <c r="E115" s="12"/>
      <c r="F115" s="13"/>
      <c r="G115" s="14"/>
      <c r="H115" s="13"/>
      <c r="I115" s="14"/>
      <c r="J115" s="15"/>
      <c r="K115" s="13"/>
      <c r="L115" s="12"/>
      <c r="M115" s="13"/>
      <c r="O115" s="17" t="str">
        <f aca="false">IF(B115="","",IFERROR(G115*INDEX(Precios!$D$5:$D$120,MATCH(F115,Precios!$A$5:$A$120,0)),0)+IF(H115="",0,IFERROR(I115*INDEX(Precios!$D$5:$D$120,MATCH(H115,Precios!$A$5:$A$120,0)),0)))</f>
        <v/>
      </c>
      <c r="P115" s="17" t="str">
        <f aca="false">IF(B115="","",N(J115)*Parametros!$B$27)</f>
        <v/>
      </c>
      <c r="Q115" s="17" t="str">
        <f aca="false">IF(B115="","",IFERROR(INDEX(Confeccion!$B$5:$B$100,MATCH(K115,Confeccion!$A$5:$A$100,0)),0))</f>
        <v/>
      </c>
      <c r="R115" s="17" t="str">
        <f aca="false">IF(B115="","",N(L115))</f>
        <v/>
      </c>
      <c r="S115" s="18" t="str">
        <f aca="false">IF(B115="","",IF(AND(F115&lt;&gt;"",ISNUMBER(G115),ISNUMBER(IFERROR(INDEX(Precios!$D$5:$D$120,MATCH(F115,Precios!$A$5:$A$120,0)),"x")),OR(H115="",ISNUMBER(IFERROR(INDEX(Precios!$D$5:$D$120,MATCH(H115,Precios!$A$5:$A$120,0)),"x"))),J115&lt;&gt;"",K115&lt;&gt;"",Q115&gt;0),SUM(O115:R115),""))</f>
        <v/>
      </c>
      <c r="T115" s="17" t="str">
        <f aca="false">IF(AND(S115&lt;&gt;"",ISNUMBER(E115)),E115*Parametros!$B$12,"")</f>
        <v/>
      </c>
      <c r="U115" s="17" t="str">
        <f aca="false">IF(AND(S115&lt;&gt;"",ISNUMBER(E115)),E115*Parametros!$B$13,"")</f>
        <v/>
      </c>
      <c r="V115" s="18" t="str">
        <f aca="false">IF(AND(S115&lt;&gt;"",ISNUMBER(E115)),E115-S115-T115-U115,"")</f>
        <v/>
      </c>
      <c r="W115" s="19" t="str">
        <f aca="false">IF(AND(S115&lt;&gt;"",ISNUMBER(E115)),V115/E115,"")</f>
        <v/>
      </c>
      <c r="X115" s="17" t="str">
        <f aca="false">IF(OR(S115="",Parametros!$B$14&gt;=1),"",S115/(1-Parametros!$B$14))</f>
        <v/>
      </c>
      <c r="Y115" s="17" t="str">
        <f aca="false">IF(OR(S115="",Parametros!$B$14+Parametros!$B$18&gt;=1),"",S115/(1-Parametros!$B$14-Parametros!$B$18))</f>
        <v/>
      </c>
      <c r="Z115" s="20" t="str">
        <f aca="false">IF(B115="","",IF(S115="","FALTAN DATOS",IF(NOT(ISNUMBER(E115)),"FALTA PRECIO",IF(V115&lt;0,"PIERDE",IF(W115&lt;Parametros!$B$18,"BAJO META","OK")))))</f>
        <v/>
      </c>
      <c r="AA115" s="21" t="str">
        <f aca="false">IF(B115="","",IF(F115="","Tela. ","")&amp;IF(NOT(ISNUMBER(G115)),"Kg de tela. ","")&amp;IF(AND(F115&lt;&gt;"",NOT(ISNUMBER(IFERROR(INDEX(Precios!$D$5:$D$120,MATCH(F115,Precios!$A$5:$A$120,0)),"x")))),"Tela sin precio. ","")&amp;IF(AND(H115&lt;&gt;"",NOT(ISNUMBER(IFERROR(INDEX(Precios!$D$5:$D$120,MATCH(H115,Precios!$A$5:$A$120,0)),"x")))),"Tela 2 sin precio. ","")&amp;IF(J115="","Metros impresos. ","")&amp;IF(AND(N(J115)&gt;0,Parametros!$B$27=0),"Impresión sin costo. ","")&amp;IF(K115="","Confección. ",IF(Q115=0,"Confección sin valor. ",""))&amp;IF(NOT(ISNUMBER(E115)),"Precio de venta. ",""))</f>
        <v/>
      </c>
    </row>
    <row r="116" customFormat="false" ht="15" hidden="false" customHeight="false" outlineLevel="0" collapsed="false">
      <c r="A116" s="22"/>
      <c r="B116" s="22"/>
      <c r="C116" s="22"/>
      <c r="D116" s="13"/>
      <c r="E116" s="12"/>
      <c r="F116" s="13"/>
      <c r="G116" s="14"/>
      <c r="H116" s="13"/>
      <c r="I116" s="14"/>
      <c r="J116" s="15"/>
      <c r="K116" s="13"/>
      <c r="L116" s="12"/>
      <c r="M116" s="13"/>
      <c r="O116" s="17" t="str">
        <f aca="false">IF(B116="","",IFERROR(G116*INDEX(Precios!$D$5:$D$120,MATCH(F116,Precios!$A$5:$A$120,0)),0)+IF(H116="",0,IFERROR(I116*INDEX(Precios!$D$5:$D$120,MATCH(H116,Precios!$A$5:$A$120,0)),0)))</f>
        <v/>
      </c>
      <c r="P116" s="17" t="str">
        <f aca="false">IF(B116="","",N(J116)*Parametros!$B$27)</f>
        <v/>
      </c>
      <c r="Q116" s="17" t="str">
        <f aca="false">IF(B116="","",IFERROR(INDEX(Confeccion!$B$5:$B$100,MATCH(K116,Confeccion!$A$5:$A$100,0)),0))</f>
        <v/>
      </c>
      <c r="R116" s="17" t="str">
        <f aca="false">IF(B116="","",N(L116))</f>
        <v/>
      </c>
      <c r="S116" s="18" t="str">
        <f aca="false">IF(B116="","",IF(AND(F116&lt;&gt;"",ISNUMBER(G116),ISNUMBER(IFERROR(INDEX(Precios!$D$5:$D$120,MATCH(F116,Precios!$A$5:$A$120,0)),"x")),OR(H116="",ISNUMBER(IFERROR(INDEX(Precios!$D$5:$D$120,MATCH(H116,Precios!$A$5:$A$120,0)),"x"))),J116&lt;&gt;"",K116&lt;&gt;"",Q116&gt;0),SUM(O116:R116),""))</f>
        <v/>
      </c>
      <c r="T116" s="17" t="str">
        <f aca="false">IF(AND(S116&lt;&gt;"",ISNUMBER(E116)),E116*Parametros!$B$12,"")</f>
        <v/>
      </c>
      <c r="U116" s="17" t="str">
        <f aca="false">IF(AND(S116&lt;&gt;"",ISNUMBER(E116)),E116*Parametros!$B$13,"")</f>
        <v/>
      </c>
      <c r="V116" s="18" t="str">
        <f aca="false">IF(AND(S116&lt;&gt;"",ISNUMBER(E116)),E116-S116-T116-U116,"")</f>
        <v/>
      </c>
      <c r="W116" s="19" t="str">
        <f aca="false">IF(AND(S116&lt;&gt;"",ISNUMBER(E116)),V116/E116,"")</f>
        <v/>
      </c>
      <c r="X116" s="17" t="str">
        <f aca="false">IF(OR(S116="",Parametros!$B$14&gt;=1),"",S116/(1-Parametros!$B$14))</f>
        <v/>
      </c>
      <c r="Y116" s="17" t="str">
        <f aca="false">IF(OR(S116="",Parametros!$B$14+Parametros!$B$18&gt;=1),"",S116/(1-Parametros!$B$14-Parametros!$B$18))</f>
        <v/>
      </c>
      <c r="Z116" s="20" t="str">
        <f aca="false">IF(B116="","",IF(S116="","FALTAN DATOS",IF(NOT(ISNUMBER(E116)),"FALTA PRECIO",IF(V116&lt;0,"PIERDE",IF(W116&lt;Parametros!$B$18,"BAJO META","OK")))))</f>
        <v/>
      </c>
      <c r="AA116" s="21" t="str">
        <f aca="false">IF(B116="","",IF(F116="","Tela. ","")&amp;IF(NOT(ISNUMBER(G116)),"Kg de tela. ","")&amp;IF(AND(F116&lt;&gt;"",NOT(ISNUMBER(IFERROR(INDEX(Precios!$D$5:$D$120,MATCH(F116,Precios!$A$5:$A$120,0)),"x")))),"Tela sin precio. ","")&amp;IF(AND(H116&lt;&gt;"",NOT(ISNUMBER(IFERROR(INDEX(Precios!$D$5:$D$120,MATCH(H116,Precios!$A$5:$A$120,0)),"x")))),"Tela 2 sin precio. ","")&amp;IF(J116="","Metros impresos. ","")&amp;IF(AND(N(J116)&gt;0,Parametros!$B$27=0),"Impresión sin costo. ","")&amp;IF(K116="","Confección. ",IF(Q116=0,"Confección sin valor. ",""))&amp;IF(NOT(ISNUMBER(E116)),"Precio de venta. ",""))</f>
        <v/>
      </c>
    </row>
    <row r="117" customFormat="false" ht="15" hidden="false" customHeight="false" outlineLevel="0" collapsed="false">
      <c r="A117" s="22"/>
      <c r="B117" s="22"/>
      <c r="C117" s="22"/>
      <c r="D117" s="13"/>
      <c r="E117" s="12"/>
      <c r="F117" s="13"/>
      <c r="G117" s="14"/>
      <c r="H117" s="13"/>
      <c r="I117" s="14"/>
      <c r="J117" s="15"/>
      <c r="K117" s="13"/>
      <c r="L117" s="12"/>
      <c r="M117" s="13"/>
      <c r="O117" s="17" t="str">
        <f aca="false">IF(B117="","",IFERROR(G117*INDEX(Precios!$D$5:$D$120,MATCH(F117,Precios!$A$5:$A$120,0)),0)+IF(H117="",0,IFERROR(I117*INDEX(Precios!$D$5:$D$120,MATCH(H117,Precios!$A$5:$A$120,0)),0)))</f>
        <v/>
      </c>
      <c r="P117" s="17" t="str">
        <f aca="false">IF(B117="","",N(J117)*Parametros!$B$27)</f>
        <v/>
      </c>
      <c r="Q117" s="17" t="str">
        <f aca="false">IF(B117="","",IFERROR(INDEX(Confeccion!$B$5:$B$100,MATCH(K117,Confeccion!$A$5:$A$100,0)),0))</f>
        <v/>
      </c>
      <c r="R117" s="17" t="str">
        <f aca="false">IF(B117="","",N(L117))</f>
        <v/>
      </c>
      <c r="S117" s="18" t="str">
        <f aca="false">IF(B117="","",IF(AND(F117&lt;&gt;"",ISNUMBER(G117),ISNUMBER(IFERROR(INDEX(Precios!$D$5:$D$120,MATCH(F117,Precios!$A$5:$A$120,0)),"x")),OR(H117="",ISNUMBER(IFERROR(INDEX(Precios!$D$5:$D$120,MATCH(H117,Precios!$A$5:$A$120,0)),"x"))),J117&lt;&gt;"",K117&lt;&gt;"",Q117&gt;0),SUM(O117:R117),""))</f>
        <v/>
      </c>
      <c r="T117" s="17" t="str">
        <f aca="false">IF(AND(S117&lt;&gt;"",ISNUMBER(E117)),E117*Parametros!$B$12,"")</f>
        <v/>
      </c>
      <c r="U117" s="17" t="str">
        <f aca="false">IF(AND(S117&lt;&gt;"",ISNUMBER(E117)),E117*Parametros!$B$13,"")</f>
        <v/>
      </c>
      <c r="V117" s="18" t="str">
        <f aca="false">IF(AND(S117&lt;&gt;"",ISNUMBER(E117)),E117-S117-T117-U117,"")</f>
        <v/>
      </c>
      <c r="W117" s="19" t="str">
        <f aca="false">IF(AND(S117&lt;&gt;"",ISNUMBER(E117)),V117/E117,"")</f>
        <v/>
      </c>
      <c r="X117" s="17" t="str">
        <f aca="false">IF(OR(S117="",Parametros!$B$14&gt;=1),"",S117/(1-Parametros!$B$14))</f>
        <v/>
      </c>
      <c r="Y117" s="17" t="str">
        <f aca="false">IF(OR(S117="",Parametros!$B$14+Parametros!$B$18&gt;=1),"",S117/(1-Parametros!$B$14-Parametros!$B$18))</f>
        <v/>
      </c>
      <c r="Z117" s="20" t="str">
        <f aca="false">IF(B117="","",IF(S117="","FALTAN DATOS",IF(NOT(ISNUMBER(E117)),"FALTA PRECIO",IF(V117&lt;0,"PIERDE",IF(W117&lt;Parametros!$B$18,"BAJO META","OK")))))</f>
        <v/>
      </c>
      <c r="AA117" s="21" t="str">
        <f aca="false">IF(B117="","",IF(F117="","Tela. ","")&amp;IF(NOT(ISNUMBER(G117)),"Kg de tela. ","")&amp;IF(AND(F117&lt;&gt;"",NOT(ISNUMBER(IFERROR(INDEX(Precios!$D$5:$D$120,MATCH(F117,Precios!$A$5:$A$120,0)),"x")))),"Tela sin precio. ","")&amp;IF(AND(H117&lt;&gt;"",NOT(ISNUMBER(IFERROR(INDEX(Precios!$D$5:$D$120,MATCH(H117,Precios!$A$5:$A$120,0)),"x")))),"Tela 2 sin precio. ","")&amp;IF(J117="","Metros impresos. ","")&amp;IF(AND(N(J117)&gt;0,Parametros!$B$27=0),"Impresión sin costo. ","")&amp;IF(K117="","Confección. ",IF(Q117=0,"Confección sin valor. ",""))&amp;IF(NOT(ISNUMBER(E117)),"Precio de venta. ",""))</f>
        <v/>
      </c>
    </row>
    <row r="118" customFormat="false" ht="15" hidden="false" customHeight="false" outlineLevel="0" collapsed="false">
      <c r="A118" s="22"/>
      <c r="B118" s="22"/>
      <c r="C118" s="22"/>
      <c r="D118" s="13"/>
      <c r="E118" s="12"/>
      <c r="F118" s="13"/>
      <c r="G118" s="14"/>
      <c r="H118" s="13"/>
      <c r="I118" s="14"/>
      <c r="J118" s="15"/>
      <c r="K118" s="13"/>
      <c r="L118" s="12"/>
      <c r="M118" s="13"/>
      <c r="O118" s="17" t="str">
        <f aca="false">IF(B118="","",IFERROR(G118*INDEX(Precios!$D$5:$D$120,MATCH(F118,Precios!$A$5:$A$120,0)),0)+IF(H118="",0,IFERROR(I118*INDEX(Precios!$D$5:$D$120,MATCH(H118,Precios!$A$5:$A$120,0)),0)))</f>
        <v/>
      </c>
      <c r="P118" s="17" t="str">
        <f aca="false">IF(B118="","",N(J118)*Parametros!$B$27)</f>
        <v/>
      </c>
      <c r="Q118" s="17" t="str">
        <f aca="false">IF(B118="","",IFERROR(INDEX(Confeccion!$B$5:$B$100,MATCH(K118,Confeccion!$A$5:$A$100,0)),0))</f>
        <v/>
      </c>
      <c r="R118" s="17" t="str">
        <f aca="false">IF(B118="","",N(L118))</f>
        <v/>
      </c>
      <c r="S118" s="18" t="str">
        <f aca="false">IF(B118="","",IF(AND(F118&lt;&gt;"",ISNUMBER(G118),ISNUMBER(IFERROR(INDEX(Precios!$D$5:$D$120,MATCH(F118,Precios!$A$5:$A$120,0)),"x")),OR(H118="",ISNUMBER(IFERROR(INDEX(Precios!$D$5:$D$120,MATCH(H118,Precios!$A$5:$A$120,0)),"x"))),J118&lt;&gt;"",K118&lt;&gt;"",Q118&gt;0),SUM(O118:R118),""))</f>
        <v/>
      </c>
      <c r="T118" s="17" t="str">
        <f aca="false">IF(AND(S118&lt;&gt;"",ISNUMBER(E118)),E118*Parametros!$B$12,"")</f>
        <v/>
      </c>
      <c r="U118" s="17" t="str">
        <f aca="false">IF(AND(S118&lt;&gt;"",ISNUMBER(E118)),E118*Parametros!$B$13,"")</f>
        <v/>
      </c>
      <c r="V118" s="18" t="str">
        <f aca="false">IF(AND(S118&lt;&gt;"",ISNUMBER(E118)),E118-S118-T118-U118,"")</f>
        <v/>
      </c>
      <c r="W118" s="19" t="str">
        <f aca="false">IF(AND(S118&lt;&gt;"",ISNUMBER(E118)),V118/E118,"")</f>
        <v/>
      </c>
      <c r="X118" s="17" t="str">
        <f aca="false">IF(OR(S118="",Parametros!$B$14&gt;=1),"",S118/(1-Parametros!$B$14))</f>
        <v/>
      </c>
      <c r="Y118" s="17" t="str">
        <f aca="false">IF(OR(S118="",Parametros!$B$14+Parametros!$B$18&gt;=1),"",S118/(1-Parametros!$B$14-Parametros!$B$18))</f>
        <v/>
      </c>
      <c r="Z118" s="20" t="str">
        <f aca="false">IF(B118="","",IF(S118="","FALTAN DATOS",IF(NOT(ISNUMBER(E118)),"FALTA PRECIO",IF(V118&lt;0,"PIERDE",IF(W118&lt;Parametros!$B$18,"BAJO META","OK")))))</f>
        <v/>
      </c>
      <c r="AA118" s="21" t="str">
        <f aca="false">IF(B118="","",IF(F118="","Tela. ","")&amp;IF(NOT(ISNUMBER(G118)),"Kg de tela. ","")&amp;IF(AND(F118&lt;&gt;"",NOT(ISNUMBER(IFERROR(INDEX(Precios!$D$5:$D$120,MATCH(F118,Precios!$A$5:$A$120,0)),"x")))),"Tela sin precio. ","")&amp;IF(AND(H118&lt;&gt;"",NOT(ISNUMBER(IFERROR(INDEX(Precios!$D$5:$D$120,MATCH(H118,Precios!$A$5:$A$120,0)),"x")))),"Tela 2 sin precio. ","")&amp;IF(J118="","Metros impresos. ","")&amp;IF(AND(N(J118)&gt;0,Parametros!$B$27=0),"Impresión sin costo. ","")&amp;IF(K118="","Confección. ",IF(Q118=0,"Confección sin valor. ",""))&amp;IF(NOT(ISNUMBER(E118)),"Precio de venta. ",""))</f>
        <v/>
      </c>
    </row>
    <row r="119" customFormat="false" ht="15" hidden="false" customHeight="false" outlineLevel="0" collapsed="false">
      <c r="A119" s="22"/>
      <c r="B119" s="22"/>
      <c r="C119" s="22"/>
      <c r="D119" s="13"/>
      <c r="E119" s="12"/>
      <c r="F119" s="13"/>
      <c r="G119" s="14"/>
      <c r="H119" s="13"/>
      <c r="I119" s="14"/>
      <c r="J119" s="15"/>
      <c r="K119" s="13"/>
      <c r="L119" s="12"/>
      <c r="M119" s="13"/>
      <c r="O119" s="17" t="str">
        <f aca="false">IF(B119="","",IFERROR(G119*INDEX(Precios!$D$5:$D$120,MATCH(F119,Precios!$A$5:$A$120,0)),0)+IF(H119="",0,IFERROR(I119*INDEX(Precios!$D$5:$D$120,MATCH(H119,Precios!$A$5:$A$120,0)),0)))</f>
        <v/>
      </c>
      <c r="P119" s="17" t="str">
        <f aca="false">IF(B119="","",N(J119)*Parametros!$B$27)</f>
        <v/>
      </c>
      <c r="Q119" s="17" t="str">
        <f aca="false">IF(B119="","",IFERROR(INDEX(Confeccion!$B$5:$B$100,MATCH(K119,Confeccion!$A$5:$A$100,0)),0))</f>
        <v/>
      </c>
      <c r="R119" s="17" t="str">
        <f aca="false">IF(B119="","",N(L119))</f>
        <v/>
      </c>
      <c r="S119" s="18" t="str">
        <f aca="false">IF(B119="","",IF(AND(F119&lt;&gt;"",ISNUMBER(G119),ISNUMBER(IFERROR(INDEX(Precios!$D$5:$D$120,MATCH(F119,Precios!$A$5:$A$120,0)),"x")),OR(H119="",ISNUMBER(IFERROR(INDEX(Precios!$D$5:$D$120,MATCH(H119,Precios!$A$5:$A$120,0)),"x"))),J119&lt;&gt;"",K119&lt;&gt;"",Q119&gt;0),SUM(O119:R119),""))</f>
        <v/>
      </c>
      <c r="T119" s="17" t="str">
        <f aca="false">IF(AND(S119&lt;&gt;"",ISNUMBER(E119)),E119*Parametros!$B$12,"")</f>
        <v/>
      </c>
      <c r="U119" s="17" t="str">
        <f aca="false">IF(AND(S119&lt;&gt;"",ISNUMBER(E119)),E119*Parametros!$B$13,"")</f>
        <v/>
      </c>
      <c r="V119" s="18" t="str">
        <f aca="false">IF(AND(S119&lt;&gt;"",ISNUMBER(E119)),E119-S119-T119-U119,"")</f>
        <v/>
      </c>
      <c r="W119" s="19" t="str">
        <f aca="false">IF(AND(S119&lt;&gt;"",ISNUMBER(E119)),V119/E119,"")</f>
        <v/>
      </c>
      <c r="X119" s="17" t="str">
        <f aca="false">IF(OR(S119="",Parametros!$B$14&gt;=1),"",S119/(1-Parametros!$B$14))</f>
        <v/>
      </c>
      <c r="Y119" s="17" t="str">
        <f aca="false">IF(OR(S119="",Parametros!$B$14+Parametros!$B$18&gt;=1),"",S119/(1-Parametros!$B$14-Parametros!$B$18))</f>
        <v/>
      </c>
      <c r="Z119" s="20" t="str">
        <f aca="false">IF(B119="","",IF(S119="","FALTAN DATOS",IF(NOT(ISNUMBER(E119)),"FALTA PRECIO",IF(V119&lt;0,"PIERDE",IF(W119&lt;Parametros!$B$18,"BAJO META","OK")))))</f>
        <v/>
      </c>
      <c r="AA119" s="21" t="str">
        <f aca="false">IF(B119="","",IF(F119="","Tela. ","")&amp;IF(NOT(ISNUMBER(G119)),"Kg de tela. ","")&amp;IF(AND(F119&lt;&gt;"",NOT(ISNUMBER(IFERROR(INDEX(Precios!$D$5:$D$120,MATCH(F119,Precios!$A$5:$A$120,0)),"x")))),"Tela sin precio. ","")&amp;IF(AND(H119&lt;&gt;"",NOT(ISNUMBER(IFERROR(INDEX(Precios!$D$5:$D$120,MATCH(H119,Precios!$A$5:$A$120,0)),"x")))),"Tela 2 sin precio. ","")&amp;IF(J119="","Metros impresos. ","")&amp;IF(AND(N(J119)&gt;0,Parametros!$B$27=0),"Impresión sin costo. ","")&amp;IF(K119="","Confección. ",IF(Q119=0,"Confección sin valor. ",""))&amp;IF(NOT(ISNUMBER(E119)),"Precio de venta. ",""))</f>
        <v/>
      </c>
    </row>
    <row r="120" customFormat="false" ht="15" hidden="false" customHeight="false" outlineLevel="0" collapsed="false">
      <c r="A120" s="22"/>
      <c r="B120" s="22"/>
      <c r="C120" s="22"/>
      <c r="D120" s="13"/>
      <c r="E120" s="12"/>
      <c r="F120" s="13"/>
      <c r="G120" s="14"/>
      <c r="H120" s="13"/>
      <c r="I120" s="14"/>
      <c r="J120" s="15"/>
      <c r="K120" s="13"/>
      <c r="L120" s="12"/>
      <c r="M120" s="13"/>
      <c r="O120" s="17" t="str">
        <f aca="false">IF(B120="","",IFERROR(G120*INDEX(Precios!$D$5:$D$120,MATCH(F120,Precios!$A$5:$A$120,0)),0)+IF(H120="",0,IFERROR(I120*INDEX(Precios!$D$5:$D$120,MATCH(H120,Precios!$A$5:$A$120,0)),0)))</f>
        <v/>
      </c>
      <c r="P120" s="17" t="str">
        <f aca="false">IF(B120="","",N(J120)*Parametros!$B$27)</f>
        <v/>
      </c>
      <c r="Q120" s="17" t="str">
        <f aca="false">IF(B120="","",IFERROR(INDEX(Confeccion!$B$5:$B$100,MATCH(K120,Confeccion!$A$5:$A$100,0)),0))</f>
        <v/>
      </c>
      <c r="R120" s="17" t="str">
        <f aca="false">IF(B120="","",N(L120))</f>
        <v/>
      </c>
      <c r="S120" s="18" t="str">
        <f aca="false">IF(B120="","",IF(AND(F120&lt;&gt;"",ISNUMBER(G120),ISNUMBER(IFERROR(INDEX(Precios!$D$5:$D$120,MATCH(F120,Precios!$A$5:$A$120,0)),"x")),OR(H120="",ISNUMBER(IFERROR(INDEX(Precios!$D$5:$D$120,MATCH(H120,Precios!$A$5:$A$120,0)),"x"))),J120&lt;&gt;"",K120&lt;&gt;"",Q120&gt;0),SUM(O120:R120),""))</f>
        <v/>
      </c>
      <c r="T120" s="17" t="str">
        <f aca="false">IF(AND(S120&lt;&gt;"",ISNUMBER(E120)),E120*Parametros!$B$12,"")</f>
        <v/>
      </c>
      <c r="U120" s="17" t="str">
        <f aca="false">IF(AND(S120&lt;&gt;"",ISNUMBER(E120)),E120*Parametros!$B$13,"")</f>
        <v/>
      </c>
      <c r="V120" s="18" t="str">
        <f aca="false">IF(AND(S120&lt;&gt;"",ISNUMBER(E120)),E120-S120-T120-U120,"")</f>
        <v/>
      </c>
      <c r="W120" s="19" t="str">
        <f aca="false">IF(AND(S120&lt;&gt;"",ISNUMBER(E120)),V120/E120,"")</f>
        <v/>
      </c>
      <c r="X120" s="17" t="str">
        <f aca="false">IF(OR(S120="",Parametros!$B$14&gt;=1),"",S120/(1-Parametros!$B$14))</f>
        <v/>
      </c>
      <c r="Y120" s="17" t="str">
        <f aca="false">IF(OR(S120="",Parametros!$B$14+Parametros!$B$18&gt;=1),"",S120/(1-Parametros!$B$14-Parametros!$B$18))</f>
        <v/>
      </c>
      <c r="Z120" s="20" t="str">
        <f aca="false">IF(B120="","",IF(S120="","FALTAN DATOS",IF(NOT(ISNUMBER(E120)),"FALTA PRECIO",IF(V120&lt;0,"PIERDE",IF(W120&lt;Parametros!$B$18,"BAJO META","OK")))))</f>
        <v/>
      </c>
      <c r="AA120" s="21" t="str">
        <f aca="false">IF(B120="","",IF(F120="","Tela. ","")&amp;IF(NOT(ISNUMBER(G120)),"Kg de tela. ","")&amp;IF(AND(F120&lt;&gt;"",NOT(ISNUMBER(IFERROR(INDEX(Precios!$D$5:$D$120,MATCH(F120,Precios!$A$5:$A$120,0)),"x")))),"Tela sin precio. ","")&amp;IF(AND(H120&lt;&gt;"",NOT(ISNUMBER(IFERROR(INDEX(Precios!$D$5:$D$120,MATCH(H120,Precios!$A$5:$A$120,0)),"x")))),"Tela 2 sin precio. ","")&amp;IF(J120="","Metros impresos. ","")&amp;IF(AND(N(J120)&gt;0,Parametros!$B$27=0),"Impresión sin costo. ","")&amp;IF(K120="","Confección. ",IF(Q120=0,"Confección sin valor. ",""))&amp;IF(NOT(ISNUMBER(E120)),"Precio de venta. ",""))</f>
        <v/>
      </c>
    </row>
    <row r="121" customFormat="false" ht="15" hidden="false" customHeight="false" outlineLevel="0" collapsed="false">
      <c r="A121" s="22"/>
      <c r="B121" s="22"/>
      <c r="C121" s="22"/>
      <c r="D121" s="13"/>
      <c r="E121" s="12"/>
      <c r="F121" s="13"/>
      <c r="G121" s="14"/>
      <c r="H121" s="13"/>
      <c r="I121" s="14"/>
      <c r="J121" s="15"/>
      <c r="K121" s="13"/>
      <c r="L121" s="12"/>
      <c r="M121" s="13"/>
      <c r="O121" s="17" t="str">
        <f aca="false">IF(B121="","",IFERROR(G121*INDEX(Precios!$D$5:$D$120,MATCH(F121,Precios!$A$5:$A$120,0)),0)+IF(H121="",0,IFERROR(I121*INDEX(Precios!$D$5:$D$120,MATCH(H121,Precios!$A$5:$A$120,0)),0)))</f>
        <v/>
      </c>
      <c r="P121" s="17" t="str">
        <f aca="false">IF(B121="","",N(J121)*Parametros!$B$27)</f>
        <v/>
      </c>
      <c r="Q121" s="17" t="str">
        <f aca="false">IF(B121="","",IFERROR(INDEX(Confeccion!$B$5:$B$100,MATCH(K121,Confeccion!$A$5:$A$100,0)),0))</f>
        <v/>
      </c>
      <c r="R121" s="17" t="str">
        <f aca="false">IF(B121="","",N(L121))</f>
        <v/>
      </c>
      <c r="S121" s="18" t="str">
        <f aca="false">IF(B121="","",IF(AND(F121&lt;&gt;"",ISNUMBER(G121),ISNUMBER(IFERROR(INDEX(Precios!$D$5:$D$120,MATCH(F121,Precios!$A$5:$A$120,0)),"x")),OR(H121="",ISNUMBER(IFERROR(INDEX(Precios!$D$5:$D$120,MATCH(H121,Precios!$A$5:$A$120,0)),"x"))),J121&lt;&gt;"",K121&lt;&gt;"",Q121&gt;0),SUM(O121:R121),""))</f>
        <v/>
      </c>
      <c r="T121" s="17" t="str">
        <f aca="false">IF(AND(S121&lt;&gt;"",ISNUMBER(E121)),E121*Parametros!$B$12,"")</f>
        <v/>
      </c>
      <c r="U121" s="17" t="str">
        <f aca="false">IF(AND(S121&lt;&gt;"",ISNUMBER(E121)),E121*Parametros!$B$13,"")</f>
        <v/>
      </c>
      <c r="V121" s="18" t="str">
        <f aca="false">IF(AND(S121&lt;&gt;"",ISNUMBER(E121)),E121-S121-T121-U121,"")</f>
        <v/>
      </c>
      <c r="W121" s="19" t="str">
        <f aca="false">IF(AND(S121&lt;&gt;"",ISNUMBER(E121)),V121/E121,"")</f>
        <v/>
      </c>
      <c r="X121" s="17" t="str">
        <f aca="false">IF(OR(S121="",Parametros!$B$14&gt;=1),"",S121/(1-Parametros!$B$14))</f>
        <v/>
      </c>
      <c r="Y121" s="17" t="str">
        <f aca="false">IF(OR(S121="",Parametros!$B$14+Parametros!$B$18&gt;=1),"",S121/(1-Parametros!$B$14-Parametros!$B$18))</f>
        <v/>
      </c>
      <c r="Z121" s="20" t="str">
        <f aca="false">IF(B121="","",IF(S121="","FALTAN DATOS",IF(NOT(ISNUMBER(E121)),"FALTA PRECIO",IF(V121&lt;0,"PIERDE",IF(W121&lt;Parametros!$B$18,"BAJO META","OK")))))</f>
        <v/>
      </c>
      <c r="AA121" s="21" t="str">
        <f aca="false">IF(B121="","",IF(F121="","Tela. ","")&amp;IF(NOT(ISNUMBER(G121)),"Kg de tela. ","")&amp;IF(AND(F121&lt;&gt;"",NOT(ISNUMBER(IFERROR(INDEX(Precios!$D$5:$D$120,MATCH(F121,Precios!$A$5:$A$120,0)),"x")))),"Tela sin precio. ","")&amp;IF(AND(H121&lt;&gt;"",NOT(ISNUMBER(IFERROR(INDEX(Precios!$D$5:$D$120,MATCH(H121,Precios!$A$5:$A$120,0)),"x")))),"Tela 2 sin precio. ","")&amp;IF(J121="","Metros impresos. ","")&amp;IF(AND(N(J121)&gt;0,Parametros!$B$27=0),"Impresión sin costo. ","")&amp;IF(K121="","Confección. ",IF(Q121=0,"Confección sin valor. ",""))&amp;IF(NOT(ISNUMBER(E121)),"Precio de venta. ",""))</f>
        <v/>
      </c>
    </row>
    <row r="122" customFormat="false" ht="15" hidden="false" customHeight="false" outlineLevel="0" collapsed="false">
      <c r="A122" s="22"/>
      <c r="B122" s="22"/>
      <c r="C122" s="22"/>
      <c r="D122" s="13"/>
      <c r="E122" s="12"/>
      <c r="F122" s="13"/>
      <c r="G122" s="14"/>
      <c r="H122" s="13"/>
      <c r="I122" s="14"/>
      <c r="J122" s="15"/>
      <c r="K122" s="13"/>
      <c r="L122" s="12"/>
      <c r="M122" s="13"/>
      <c r="O122" s="17" t="str">
        <f aca="false">IF(B122="","",IFERROR(G122*INDEX(Precios!$D$5:$D$120,MATCH(F122,Precios!$A$5:$A$120,0)),0)+IF(H122="",0,IFERROR(I122*INDEX(Precios!$D$5:$D$120,MATCH(H122,Precios!$A$5:$A$120,0)),0)))</f>
        <v/>
      </c>
      <c r="P122" s="17" t="str">
        <f aca="false">IF(B122="","",N(J122)*Parametros!$B$27)</f>
        <v/>
      </c>
      <c r="Q122" s="17" t="str">
        <f aca="false">IF(B122="","",IFERROR(INDEX(Confeccion!$B$5:$B$100,MATCH(K122,Confeccion!$A$5:$A$100,0)),0))</f>
        <v/>
      </c>
      <c r="R122" s="17" t="str">
        <f aca="false">IF(B122="","",N(L122))</f>
        <v/>
      </c>
      <c r="S122" s="18" t="str">
        <f aca="false">IF(B122="","",IF(AND(F122&lt;&gt;"",ISNUMBER(G122),ISNUMBER(IFERROR(INDEX(Precios!$D$5:$D$120,MATCH(F122,Precios!$A$5:$A$120,0)),"x")),OR(H122="",ISNUMBER(IFERROR(INDEX(Precios!$D$5:$D$120,MATCH(H122,Precios!$A$5:$A$120,0)),"x"))),J122&lt;&gt;"",K122&lt;&gt;"",Q122&gt;0),SUM(O122:R122),""))</f>
        <v/>
      </c>
      <c r="T122" s="17" t="str">
        <f aca="false">IF(AND(S122&lt;&gt;"",ISNUMBER(E122)),E122*Parametros!$B$12,"")</f>
        <v/>
      </c>
      <c r="U122" s="17" t="str">
        <f aca="false">IF(AND(S122&lt;&gt;"",ISNUMBER(E122)),E122*Parametros!$B$13,"")</f>
        <v/>
      </c>
      <c r="V122" s="18" t="str">
        <f aca="false">IF(AND(S122&lt;&gt;"",ISNUMBER(E122)),E122-S122-T122-U122,"")</f>
        <v/>
      </c>
      <c r="W122" s="19" t="str">
        <f aca="false">IF(AND(S122&lt;&gt;"",ISNUMBER(E122)),V122/E122,"")</f>
        <v/>
      </c>
      <c r="X122" s="17" t="str">
        <f aca="false">IF(OR(S122="",Parametros!$B$14&gt;=1),"",S122/(1-Parametros!$B$14))</f>
        <v/>
      </c>
      <c r="Y122" s="17" t="str">
        <f aca="false">IF(OR(S122="",Parametros!$B$14+Parametros!$B$18&gt;=1),"",S122/(1-Parametros!$B$14-Parametros!$B$18))</f>
        <v/>
      </c>
      <c r="Z122" s="20" t="str">
        <f aca="false">IF(B122="","",IF(S122="","FALTAN DATOS",IF(NOT(ISNUMBER(E122)),"FALTA PRECIO",IF(V122&lt;0,"PIERDE",IF(W122&lt;Parametros!$B$18,"BAJO META","OK")))))</f>
        <v/>
      </c>
      <c r="AA122" s="21" t="str">
        <f aca="false">IF(B122="","",IF(F122="","Tela. ","")&amp;IF(NOT(ISNUMBER(G122)),"Kg de tela. ","")&amp;IF(AND(F122&lt;&gt;"",NOT(ISNUMBER(IFERROR(INDEX(Precios!$D$5:$D$120,MATCH(F122,Precios!$A$5:$A$120,0)),"x")))),"Tela sin precio. ","")&amp;IF(AND(H122&lt;&gt;"",NOT(ISNUMBER(IFERROR(INDEX(Precios!$D$5:$D$120,MATCH(H122,Precios!$A$5:$A$120,0)),"x")))),"Tela 2 sin precio. ","")&amp;IF(J122="","Metros impresos. ","")&amp;IF(AND(N(J122)&gt;0,Parametros!$B$27=0),"Impresión sin costo. ","")&amp;IF(K122="","Confección. ",IF(Q122=0,"Confección sin valor. ",""))&amp;IF(NOT(ISNUMBER(E122)),"Precio de venta. ",""))</f>
        <v/>
      </c>
    </row>
    <row r="123" customFormat="false" ht="15" hidden="false" customHeight="false" outlineLevel="0" collapsed="false">
      <c r="A123" s="22"/>
      <c r="B123" s="22"/>
      <c r="C123" s="22"/>
      <c r="D123" s="13"/>
      <c r="E123" s="12"/>
      <c r="F123" s="13"/>
      <c r="G123" s="14"/>
      <c r="H123" s="13"/>
      <c r="I123" s="14"/>
      <c r="J123" s="15"/>
      <c r="K123" s="13"/>
      <c r="L123" s="12"/>
      <c r="M123" s="13"/>
      <c r="O123" s="17" t="str">
        <f aca="false">IF(B123="","",IFERROR(G123*INDEX(Precios!$D$5:$D$120,MATCH(F123,Precios!$A$5:$A$120,0)),0)+IF(H123="",0,IFERROR(I123*INDEX(Precios!$D$5:$D$120,MATCH(H123,Precios!$A$5:$A$120,0)),0)))</f>
        <v/>
      </c>
      <c r="P123" s="17" t="str">
        <f aca="false">IF(B123="","",N(J123)*Parametros!$B$27)</f>
        <v/>
      </c>
      <c r="Q123" s="17" t="str">
        <f aca="false">IF(B123="","",IFERROR(INDEX(Confeccion!$B$5:$B$100,MATCH(K123,Confeccion!$A$5:$A$100,0)),0))</f>
        <v/>
      </c>
      <c r="R123" s="17" t="str">
        <f aca="false">IF(B123="","",N(L123))</f>
        <v/>
      </c>
      <c r="S123" s="18" t="str">
        <f aca="false">IF(B123="","",IF(AND(F123&lt;&gt;"",ISNUMBER(G123),ISNUMBER(IFERROR(INDEX(Precios!$D$5:$D$120,MATCH(F123,Precios!$A$5:$A$120,0)),"x")),OR(H123="",ISNUMBER(IFERROR(INDEX(Precios!$D$5:$D$120,MATCH(H123,Precios!$A$5:$A$120,0)),"x"))),J123&lt;&gt;"",K123&lt;&gt;"",Q123&gt;0),SUM(O123:R123),""))</f>
        <v/>
      </c>
      <c r="T123" s="17" t="str">
        <f aca="false">IF(AND(S123&lt;&gt;"",ISNUMBER(E123)),E123*Parametros!$B$12,"")</f>
        <v/>
      </c>
      <c r="U123" s="17" t="str">
        <f aca="false">IF(AND(S123&lt;&gt;"",ISNUMBER(E123)),E123*Parametros!$B$13,"")</f>
        <v/>
      </c>
      <c r="V123" s="18" t="str">
        <f aca="false">IF(AND(S123&lt;&gt;"",ISNUMBER(E123)),E123-S123-T123-U123,"")</f>
        <v/>
      </c>
      <c r="W123" s="19" t="str">
        <f aca="false">IF(AND(S123&lt;&gt;"",ISNUMBER(E123)),V123/E123,"")</f>
        <v/>
      </c>
      <c r="X123" s="17" t="str">
        <f aca="false">IF(OR(S123="",Parametros!$B$14&gt;=1),"",S123/(1-Parametros!$B$14))</f>
        <v/>
      </c>
      <c r="Y123" s="17" t="str">
        <f aca="false">IF(OR(S123="",Parametros!$B$14+Parametros!$B$18&gt;=1),"",S123/(1-Parametros!$B$14-Parametros!$B$18))</f>
        <v/>
      </c>
      <c r="Z123" s="20" t="str">
        <f aca="false">IF(B123="","",IF(S123="","FALTAN DATOS",IF(NOT(ISNUMBER(E123)),"FALTA PRECIO",IF(V123&lt;0,"PIERDE",IF(W123&lt;Parametros!$B$18,"BAJO META","OK")))))</f>
        <v/>
      </c>
      <c r="AA123" s="21" t="str">
        <f aca="false">IF(B123="","",IF(F123="","Tela. ","")&amp;IF(NOT(ISNUMBER(G123)),"Kg de tela. ","")&amp;IF(AND(F123&lt;&gt;"",NOT(ISNUMBER(IFERROR(INDEX(Precios!$D$5:$D$120,MATCH(F123,Precios!$A$5:$A$120,0)),"x")))),"Tela sin precio. ","")&amp;IF(AND(H123&lt;&gt;"",NOT(ISNUMBER(IFERROR(INDEX(Precios!$D$5:$D$120,MATCH(H123,Precios!$A$5:$A$120,0)),"x")))),"Tela 2 sin precio. ","")&amp;IF(J123="","Metros impresos. ","")&amp;IF(AND(N(J123)&gt;0,Parametros!$B$27=0),"Impresión sin costo. ","")&amp;IF(K123="","Confección. ",IF(Q123=0,"Confección sin valor. ",""))&amp;IF(NOT(ISNUMBER(E123)),"Precio de venta. ",""))</f>
        <v/>
      </c>
    </row>
    <row r="124" customFormat="false" ht="15" hidden="false" customHeight="false" outlineLevel="0" collapsed="false">
      <c r="A124" s="22"/>
      <c r="B124" s="22"/>
      <c r="C124" s="22"/>
      <c r="D124" s="13"/>
      <c r="E124" s="12"/>
      <c r="F124" s="13"/>
      <c r="G124" s="14"/>
      <c r="H124" s="13"/>
      <c r="I124" s="14"/>
      <c r="J124" s="15"/>
      <c r="K124" s="13"/>
      <c r="L124" s="12"/>
      <c r="M124" s="13"/>
      <c r="O124" s="17" t="str">
        <f aca="false">IF(B124="","",IFERROR(G124*INDEX(Precios!$D$5:$D$120,MATCH(F124,Precios!$A$5:$A$120,0)),0)+IF(H124="",0,IFERROR(I124*INDEX(Precios!$D$5:$D$120,MATCH(H124,Precios!$A$5:$A$120,0)),0)))</f>
        <v/>
      </c>
      <c r="P124" s="17" t="str">
        <f aca="false">IF(B124="","",N(J124)*Parametros!$B$27)</f>
        <v/>
      </c>
      <c r="Q124" s="17" t="str">
        <f aca="false">IF(B124="","",IFERROR(INDEX(Confeccion!$B$5:$B$100,MATCH(K124,Confeccion!$A$5:$A$100,0)),0))</f>
        <v/>
      </c>
      <c r="R124" s="17" t="str">
        <f aca="false">IF(B124="","",N(L124))</f>
        <v/>
      </c>
      <c r="S124" s="18" t="str">
        <f aca="false">IF(B124="","",IF(AND(F124&lt;&gt;"",ISNUMBER(G124),ISNUMBER(IFERROR(INDEX(Precios!$D$5:$D$120,MATCH(F124,Precios!$A$5:$A$120,0)),"x")),OR(H124="",ISNUMBER(IFERROR(INDEX(Precios!$D$5:$D$120,MATCH(H124,Precios!$A$5:$A$120,0)),"x"))),J124&lt;&gt;"",K124&lt;&gt;"",Q124&gt;0),SUM(O124:R124),""))</f>
        <v/>
      </c>
      <c r="T124" s="17" t="str">
        <f aca="false">IF(AND(S124&lt;&gt;"",ISNUMBER(E124)),E124*Parametros!$B$12,"")</f>
        <v/>
      </c>
      <c r="U124" s="17" t="str">
        <f aca="false">IF(AND(S124&lt;&gt;"",ISNUMBER(E124)),E124*Parametros!$B$13,"")</f>
        <v/>
      </c>
      <c r="V124" s="18" t="str">
        <f aca="false">IF(AND(S124&lt;&gt;"",ISNUMBER(E124)),E124-S124-T124-U124,"")</f>
        <v/>
      </c>
      <c r="W124" s="19" t="str">
        <f aca="false">IF(AND(S124&lt;&gt;"",ISNUMBER(E124)),V124/E124,"")</f>
        <v/>
      </c>
      <c r="X124" s="17" t="str">
        <f aca="false">IF(OR(S124="",Parametros!$B$14&gt;=1),"",S124/(1-Parametros!$B$14))</f>
        <v/>
      </c>
      <c r="Y124" s="17" t="str">
        <f aca="false">IF(OR(S124="",Parametros!$B$14+Parametros!$B$18&gt;=1),"",S124/(1-Parametros!$B$14-Parametros!$B$18))</f>
        <v/>
      </c>
      <c r="Z124" s="20" t="str">
        <f aca="false">IF(B124="","",IF(S124="","FALTAN DATOS",IF(NOT(ISNUMBER(E124)),"FALTA PRECIO",IF(V124&lt;0,"PIERDE",IF(W124&lt;Parametros!$B$18,"BAJO META","OK")))))</f>
        <v/>
      </c>
      <c r="AA124" s="21" t="str">
        <f aca="false">IF(B124="","",IF(F124="","Tela. ","")&amp;IF(NOT(ISNUMBER(G124)),"Kg de tela. ","")&amp;IF(AND(F124&lt;&gt;"",NOT(ISNUMBER(IFERROR(INDEX(Precios!$D$5:$D$120,MATCH(F124,Precios!$A$5:$A$120,0)),"x")))),"Tela sin precio. ","")&amp;IF(AND(H124&lt;&gt;"",NOT(ISNUMBER(IFERROR(INDEX(Precios!$D$5:$D$120,MATCH(H124,Precios!$A$5:$A$120,0)),"x")))),"Tela 2 sin precio. ","")&amp;IF(J124="","Metros impresos. ","")&amp;IF(AND(N(J124)&gt;0,Parametros!$B$27=0),"Impresión sin costo. ","")&amp;IF(K124="","Confección. ",IF(Q124=0,"Confección sin valor. ",""))&amp;IF(NOT(ISNUMBER(E124)),"Precio de venta. ",""))</f>
        <v/>
      </c>
    </row>
    <row r="125" customFormat="false" ht="15" hidden="false" customHeight="false" outlineLevel="0" collapsed="false">
      <c r="A125" s="22"/>
      <c r="B125" s="22"/>
      <c r="C125" s="22"/>
      <c r="D125" s="13"/>
      <c r="E125" s="12"/>
      <c r="F125" s="13"/>
      <c r="G125" s="14"/>
      <c r="H125" s="13"/>
      <c r="I125" s="14"/>
      <c r="J125" s="15"/>
      <c r="K125" s="13"/>
      <c r="L125" s="12"/>
      <c r="M125" s="13"/>
      <c r="O125" s="17" t="str">
        <f aca="false">IF(B125="","",IFERROR(G125*INDEX(Precios!$D$5:$D$120,MATCH(F125,Precios!$A$5:$A$120,0)),0)+IF(H125="",0,IFERROR(I125*INDEX(Precios!$D$5:$D$120,MATCH(H125,Precios!$A$5:$A$120,0)),0)))</f>
        <v/>
      </c>
      <c r="P125" s="17" t="str">
        <f aca="false">IF(B125="","",N(J125)*Parametros!$B$27)</f>
        <v/>
      </c>
      <c r="Q125" s="17" t="str">
        <f aca="false">IF(B125="","",IFERROR(INDEX(Confeccion!$B$5:$B$100,MATCH(K125,Confeccion!$A$5:$A$100,0)),0))</f>
        <v/>
      </c>
      <c r="R125" s="17" t="str">
        <f aca="false">IF(B125="","",N(L125))</f>
        <v/>
      </c>
      <c r="S125" s="18" t="str">
        <f aca="false">IF(B125="","",IF(AND(F125&lt;&gt;"",ISNUMBER(G125),ISNUMBER(IFERROR(INDEX(Precios!$D$5:$D$120,MATCH(F125,Precios!$A$5:$A$120,0)),"x")),OR(H125="",ISNUMBER(IFERROR(INDEX(Precios!$D$5:$D$120,MATCH(H125,Precios!$A$5:$A$120,0)),"x"))),J125&lt;&gt;"",K125&lt;&gt;"",Q125&gt;0),SUM(O125:R125),""))</f>
        <v/>
      </c>
      <c r="T125" s="17" t="str">
        <f aca="false">IF(AND(S125&lt;&gt;"",ISNUMBER(E125)),E125*Parametros!$B$12,"")</f>
        <v/>
      </c>
      <c r="U125" s="17" t="str">
        <f aca="false">IF(AND(S125&lt;&gt;"",ISNUMBER(E125)),E125*Parametros!$B$13,"")</f>
        <v/>
      </c>
      <c r="V125" s="18" t="str">
        <f aca="false">IF(AND(S125&lt;&gt;"",ISNUMBER(E125)),E125-S125-T125-U125,"")</f>
        <v/>
      </c>
      <c r="W125" s="19" t="str">
        <f aca="false">IF(AND(S125&lt;&gt;"",ISNUMBER(E125)),V125/E125,"")</f>
        <v/>
      </c>
      <c r="X125" s="17" t="str">
        <f aca="false">IF(OR(S125="",Parametros!$B$14&gt;=1),"",S125/(1-Parametros!$B$14))</f>
        <v/>
      </c>
      <c r="Y125" s="17" t="str">
        <f aca="false">IF(OR(S125="",Parametros!$B$14+Parametros!$B$18&gt;=1),"",S125/(1-Parametros!$B$14-Parametros!$B$18))</f>
        <v/>
      </c>
      <c r="Z125" s="20" t="str">
        <f aca="false">IF(B125="","",IF(S125="","FALTAN DATOS",IF(NOT(ISNUMBER(E125)),"FALTA PRECIO",IF(V125&lt;0,"PIERDE",IF(W125&lt;Parametros!$B$18,"BAJO META","OK")))))</f>
        <v/>
      </c>
      <c r="AA125" s="21" t="str">
        <f aca="false">IF(B125="","",IF(F125="","Tela. ","")&amp;IF(NOT(ISNUMBER(G125)),"Kg de tela. ","")&amp;IF(AND(F125&lt;&gt;"",NOT(ISNUMBER(IFERROR(INDEX(Precios!$D$5:$D$120,MATCH(F125,Precios!$A$5:$A$120,0)),"x")))),"Tela sin precio. ","")&amp;IF(AND(H125&lt;&gt;"",NOT(ISNUMBER(IFERROR(INDEX(Precios!$D$5:$D$120,MATCH(H125,Precios!$A$5:$A$120,0)),"x")))),"Tela 2 sin precio. ","")&amp;IF(J125="","Metros impresos. ","")&amp;IF(AND(N(J125)&gt;0,Parametros!$B$27=0),"Impresión sin costo. ","")&amp;IF(K125="","Confección. ",IF(Q125=0,"Confección sin valor. ",""))&amp;IF(NOT(ISNUMBER(E125)),"Precio de venta. ",""))</f>
        <v/>
      </c>
    </row>
    <row r="126" customFormat="false" ht="15" hidden="false" customHeight="false" outlineLevel="0" collapsed="false">
      <c r="A126" s="22"/>
      <c r="B126" s="22"/>
      <c r="C126" s="22"/>
      <c r="D126" s="13"/>
      <c r="E126" s="12"/>
      <c r="F126" s="13"/>
      <c r="G126" s="14"/>
      <c r="H126" s="13"/>
      <c r="I126" s="14"/>
      <c r="J126" s="15"/>
      <c r="K126" s="13"/>
      <c r="L126" s="12"/>
      <c r="M126" s="13"/>
      <c r="O126" s="17" t="str">
        <f aca="false">IF(B126="","",IFERROR(G126*INDEX(Precios!$D$5:$D$120,MATCH(F126,Precios!$A$5:$A$120,0)),0)+IF(H126="",0,IFERROR(I126*INDEX(Precios!$D$5:$D$120,MATCH(H126,Precios!$A$5:$A$120,0)),0)))</f>
        <v/>
      </c>
      <c r="P126" s="17" t="str">
        <f aca="false">IF(B126="","",N(J126)*Parametros!$B$27)</f>
        <v/>
      </c>
      <c r="Q126" s="17" t="str">
        <f aca="false">IF(B126="","",IFERROR(INDEX(Confeccion!$B$5:$B$100,MATCH(K126,Confeccion!$A$5:$A$100,0)),0))</f>
        <v/>
      </c>
      <c r="R126" s="17" t="str">
        <f aca="false">IF(B126="","",N(L126))</f>
        <v/>
      </c>
      <c r="S126" s="18" t="str">
        <f aca="false">IF(B126="","",IF(AND(F126&lt;&gt;"",ISNUMBER(G126),ISNUMBER(IFERROR(INDEX(Precios!$D$5:$D$120,MATCH(F126,Precios!$A$5:$A$120,0)),"x")),OR(H126="",ISNUMBER(IFERROR(INDEX(Precios!$D$5:$D$120,MATCH(H126,Precios!$A$5:$A$120,0)),"x"))),J126&lt;&gt;"",K126&lt;&gt;"",Q126&gt;0),SUM(O126:R126),""))</f>
        <v/>
      </c>
      <c r="T126" s="17" t="str">
        <f aca="false">IF(AND(S126&lt;&gt;"",ISNUMBER(E126)),E126*Parametros!$B$12,"")</f>
        <v/>
      </c>
      <c r="U126" s="17" t="str">
        <f aca="false">IF(AND(S126&lt;&gt;"",ISNUMBER(E126)),E126*Parametros!$B$13,"")</f>
        <v/>
      </c>
      <c r="V126" s="18" t="str">
        <f aca="false">IF(AND(S126&lt;&gt;"",ISNUMBER(E126)),E126-S126-T126-U126,"")</f>
        <v/>
      </c>
      <c r="W126" s="19" t="str">
        <f aca="false">IF(AND(S126&lt;&gt;"",ISNUMBER(E126)),V126/E126,"")</f>
        <v/>
      </c>
      <c r="X126" s="17" t="str">
        <f aca="false">IF(OR(S126="",Parametros!$B$14&gt;=1),"",S126/(1-Parametros!$B$14))</f>
        <v/>
      </c>
      <c r="Y126" s="17" t="str">
        <f aca="false">IF(OR(S126="",Parametros!$B$14+Parametros!$B$18&gt;=1),"",S126/(1-Parametros!$B$14-Parametros!$B$18))</f>
        <v/>
      </c>
      <c r="Z126" s="20" t="str">
        <f aca="false">IF(B126="","",IF(S126="","FALTAN DATOS",IF(NOT(ISNUMBER(E126)),"FALTA PRECIO",IF(V126&lt;0,"PIERDE",IF(W126&lt;Parametros!$B$18,"BAJO META","OK")))))</f>
        <v/>
      </c>
      <c r="AA126" s="21" t="str">
        <f aca="false">IF(B126="","",IF(F126="","Tela. ","")&amp;IF(NOT(ISNUMBER(G126)),"Kg de tela. ","")&amp;IF(AND(F126&lt;&gt;"",NOT(ISNUMBER(IFERROR(INDEX(Precios!$D$5:$D$120,MATCH(F126,Precios!$A$5:$A$120,0)),"x")))),"Tela sin precio. ","")&amp;IF(AND(H126&lt;&gt;"",NOT(ISNUMBER(IFERROR(INDEX(Precios!$D$5:$D$120,MATCH(H126,Precios!$A$5:$A$120,0)),"x")))),"Tela 2 sin precio. ","")&amp;IF(J126="","Metros impresos. ","")&amp;IF(AND(N(J126)&gt;0,Parametros!$B$27=0),"Impresión sin costo. ","")&amp;IF(K126="","Confección. ",IF(Q126=0,"Confección sin valor. ",""))&amp;IF(NOT(ISNUMBER(E126)),"Precio de venta. ",""))</f>
        <v/>
      </c>
    </row>
    <row r="127" customFormat="false" ht="15" hidden="false" customHeight="false" outlineLevel="0" collapsed="false">
      <c r="A127" s="22"/>
      <c r="B127" s="22"/>
      <c r="C127" s="22"/>
      <c r="D127" s="13"/>
      <c r="E127" s="12"/>
      <c r="F127" s="13"/>
      <c r="G127" s="14"/>
      <c r="H127" s="13"/>
      <c r="I127" s="14"/>
      <c r="J127" s="15"/>
      <c r="K127" s="13"/>
      <c r="L127" s="12"/>
      <c r="M127" s="13"/>
      <c r="O127" s="17" t="str">
        <f aca="false">IF(B127="","",IFERROR(G127*INDEX(Precios!$D$5:$D$120,MATCH(F127,Precios!$A$5:$A$120,0)),0)+IF(H127="",0,IFERROR(I127*INDEX(Precios!$D$5:$D$120,MATCH(H127,Precios!$A$5:$A$120,0)),0)))</f>
        <v/>
      </c>
      <c r="P127" s="17" t="str">
        <f aca="false">IF(B127="","",N(J127)*Parametros!$B$27)</f>
        <v/>
      </c>
      <c r="Q127" s="17" t="str">
        <f aca="false">IF(B127="","",IFERROR(INDEX(Confeccion!$B$5:$B$100,MATCH(K127,Confeccion!$A$5:$A$100,0)),0))</f>
        <v/>
      </c>
      <c r="R127" s="17" t="str">
        <f aca="false">IF(B127="","",N(L127))</f>
        <v/>
      </c>
      <c r="S127" s="18" t="str">
        <f aca="false">IF(B127="","",IF(AND(F127&lt;&gt;"",ISNUMBER(G127),ISNUMBER(IFERROR(INDEX(Precios!$D$5:$D$120,MATCH(F127,Precios!$A$5:$A$120,0)),"x")),OR(H127="",ISNUMBER(IFERROR(INDEX(Precios!$D$5:$D$120,MATCH(H127,Precios!$A$5:$A$120,0)),"x"))),J127&lt;&gt;"",K127&lt;&gt;"",Q127&gt;0),SUM(O127:R127),""))</f>
        <v/>
      </c>
      <c r="T127" s="17" t="str">
        <f aca="false">IF(AND(S127&lt;&gt;"",ISNUMBER(E127)),E127*Parametros!$B$12,"")</f>
        <v/>
      </c>
      <c r="U127" s="17" t="str">
        <f aca="false">IF(AND(S127&lt;&gt;"",ISNUMBER(E127)),E127*Parametros!$B$13,"")</f>
        <v/>
      </c>
      <c r="V127" s="18" t="str">
        <f aca="false">IF(AND(S127&lt;&gt;"",ISNUMBER(E127)),E127-S127-T127-U127,"")</f>
        <v/>
      </c>
      <c r="W127" s="19" t="str">
        <f aca="false">IF(AND(S127&lt;&gt;"",ISNUMBER(E127)),V127/E127,"")</f>
        <v/>
      </c>
      <c r="X127" s="17" t="str">
        <f aca="false">IF(OR(S127="",Parametros!$B$14&gt;=1),"",S127/(1-Parametros!$B$14))</f>
        <v/>
      </c>
      <c r="Y127" s="17" t="str">
        <f aca="false">IF(OR(S127="",Parametros!$B$14+Parametros!$B$18&gt;=1),"",S127/(1-Parametros!$B$14-Parametros!$B$18))</f>
        <v/>
      </c>
      <c r="Z127" s="20" t="str">
        <f aca="false">IF(B127="","",IF(S127="","FALTAN DATOS",IF(NOT(ISNUMBER(E127)),"FALTA PRECIO",IF(V127&lt;0,"PIERDE",IF(W127&lt;Parametros!$B$18,"BAJO META","OK")))))</f>
        <v/>
      </c>
      <c r="AA127" s="21" t="str">
        <f aca="false">IF(B127="","",IF(F127="","Tela. ","")&amp;IF(NOT(ISNUMBER(G127)),"Kg de tela. ","")&amp;IF(AND(F127&lt;&gt;"",NOT(ISNUMBER(IFERROR(INDEX(Precios!$D$5:$D$120,MATCH(F127,Precios!$A$5:$A$120,0)),"x")))),"Tela sin precio. ","")&amp;IF(AND(H127&lt;&gt;"",NOT(ISNUMBER(IFERROR(INDEX(Precios!$D$5:$D$120,MATCH(H127,Precios!$A$5:$A$120,0)),"x")))),"Tela 2 sin precio. ","")&amp;IF(J127="","Metros impresos. ","")&amp;IF(AND(N(J127)&gt;0,Parametros!$B$27=0),"Impresión sin costo. ","")&amp;IF(K127="","Confección. ",IF(Q127=0,"Confección sin valor. ",""))&amp;IF(NOT(ISNUMBER(E127)),"Precio de venta. ",""))</f>
        <v/>
      </c>
    </row>
    <row r="128" customFormat="false" ht="15" hidden="false" customHeight="false" outlineLevel="0" collapsed="false">
      <c r="A128" s="22"/>
      <c r="B128" s="22"/>
      <c r="C128" s="22"/>
      <c r="D128" s="13"/>
      <c r="E128" s="12"/>
      <c r="F128" s="13"/>
      <c r="G128" s="14"/>
      <c r="H128" s="13"/>
      <c r="I128" s="14"/>
      <c r="J128" s="15"/>
      <c r="K128" s="13"/>
      <c r="L128" s="12"/>
      <c r="M128" s="13"/>
      <c r="O128" s="17" t="str">
        <f aca="false">IF(B128="","",IFERROR(G128*INDEX(Precios!$D$5:$D$120,MATCH(F128,Precios!$A$5:$A$120,0)),0)+IF(H128="",0,IFERROR(I128*INDEX(Precios!$D$5:$D$120,MATCH(H128,Precios!$A$5:$A$120,0)),0)))</f>
        <v/>
      </c>
      <c r="P128" s="17" t="str">
        <f aca="false">IF(B128="","",N(J128)*Parametros!$B$27)</f>
        <v/>
      </c>
      <c r="Q128" s="17" t="str">
        <f aca="false">IF(B128="","",IFERROR(INDEX(Confeccion!$B$5:$B$100,MATCH(K128,Confeccion!$A$5:$A$100,0)),0))</f>
        <v/>
      </c>
      <c r="R128" s="17" t="str">
        <f aca="false">IF(B128="","",N(L128))</f>
        <v/>
      </c>
      <c r="S128" s="18" t="str">
        <f aca="false">IF(B128="","",IF(AND(F128&lt;&gt;"",ISNUMBER(G128),ISNUMBER(IFERROR(INDEX(Precios!$D$5:$D$120,MATCH(F128,Precios!$A$5:$A$120,0)),"x")),OR(H128="",ISNUMBER(IFERROR(INDEX(Precios!$D$5:$D$120,MATCH(H128,Precios!$A$5:$A$120,0)),"x"))),J128&lt;&gt;"",K128&lt;&gt;"",Q128&gt;0),SUM(O128:R128),""))</f>
        <v/>
      </c>
      <c r="T128" s="17" t="str">
        <f aca="false">IF(AND(S128&lt;&gt;"",ISNUMBER(E128)),E128*Parametros!$B$12,"")</f>
        <v/>
      </c>
      <c r="U128" s="17" t="str">
        <f aca="false">IF(AND(S128&lt;&gt;"",ISNUMBER(E128)),E128*Parametros!$B$13,"")</f>
        <v/>
      </c>
      <c r="V128" s="18" t="str">
        <f aca="false">IF(AND(S128&lt;&gt;"",ISNUMBER(E128)),E128-S128-T128-U128,"")</f>
        <v/>
      </c>
      <c r="W128" s="19" t="str">
        <f aca="false">IF(AND(S128&lt;&gt;"",ISNUMBER(E128)),V128/E128,"")</f>
        <v/>
      </c>
      <c r="X128" s="17" t="str">
        <f aca="false">IF(OR(S128="",Parametros!$B$14&gt;=1),"",S128/(1-Parametros!$B$14))</f>
        <v/>
      </c>
      <c r="Y128" s="17" t="str">
        <f aca="false">IF(OR(S128="",Parametros!$B$14+Parametros!$B$18&gt;=1),"",S128/(1-Parametros!$B$14-Parametros!$B$18))</f>
        <v/>
      </c>
      <c r="Z128" s="20" t="str">
        <f aca="false">IF(B128="","",IF(S128="","FALTAN DATOS",IF(NOT(ISNUMBER(E128)),"FALTA PRECIO",IF(V128&lt;0,"PIERDE",IF(W128&lt;Parametros!$B$18,"BAJO META","OK")))))</f>
        <v/>
      </c>
      <c r="AA128" s="21" t="str">
        <f aca="false">IF(B128="","",IF(F128="","Tela. ","")&amp;IF(NOT(ISNUMBER(G128)),"Kg de tela. ","")&amp;IF(AND(F128&lt;&gt;"",NOT(ISNUMBER(IFERROR(INDEX(Precios!$D$5:$D$120,MATCH(F128,Precios!$A$5:$A$120,0)),"x")))),"Tela sin precio. ","")&amp;IF(AND(H128&lt;&gt;"",NOT(ISNUMBER(IFERROR(INDEX(Precios!$D$5:$D$120,MATCH(H128,Precios!$A$5:$A$120,0)),"x")))),"Tela 2 sin precio. ","")&amp;IF(J128="","Metros impresos. ","")&amp;IF(AND(N(J128)&gt;0,Parametros!$B$27=0),"Impresión sin costo. ","")&amp;IF(K128="","Confección. ",IF(Q128=0,"Confección sin valor. ",""))&amp;IF(NOT(ISNUMBER(E128)),"Precio de venta. ",""))</f>
        <v/>
      </c>
    </row>
    <row r="129" customFormat="false" ht="15" hidden="false" customHeight="false" outlineLevel="0" collapsed="false">
      <c r="A129" s="22"/>
      <c r="B129" s="22"/>
      <c r="C129" s="22"/>
      <c r="D129" s="13"/>
      <c r="E129" s="12"/>
      <c r="F129" s="13"/>
      <c r="G129" s="14"/>
      <c r="H129" s="13"/>
      <c r="I129" s="14"/>
      <c r="J129" s="15"/>
      <c r="K129" s="13"/>
      <c r="L129" s="12"/>
      <c r="M129" s="13"/>
      <c r="O129" s="17" t="str">
        <f aca="false">IF(B129="","",IFERROR(G129*INDEX(Precios!$D$5:$D$120,MATCH(F129,Precios!$A$5:$A$120,0)),0)+IF(H129="",0,IFERROR(I129*INDEX(Precios!$D$5:$D$120,MATCH(H129,Precios!$A$5:$A$120,0)),0)))</f>
        <v/>
      </c>
      <c r="P129" s="17" t="str">
        <f aca="false">IF(B129="","",N(J129)*Parametros!$B$27)</f>
        <v/>
      </c>
      <c r="Q129" s="17" t="str">
        <f aca="false">IF(B129="","",IFERROR(INDEX(Confeccion!$B$5:$B$100,MATCH(K129,Confeccion!$A$5:$A$100,0)),0))</f>
        <v/>
      </c>
      <c r="R129" s="17" t="str">
        <f aca="false">IF(B129="","",N(L129))</f>
        <v/>
      </c>
      <c r="S129" s="18" t="str">
        <f aca="false">IF(B129="","",IF(AND(F129&lt;&gt;"",ISNUMBER(G129),ISNUMBER(IFERROR(INDEX(Precios!$D$5:$D$120,MATCH(F129,Precios!$A$5:$A$120,0)),"x")),OR(H129="",ISNUMBER(IFERROR(INDEX(Precios!$D$5:$D$120,MATCH(H129,Precios!$A$5:$A$120,0)),"x"))),J129&lt;&gt;"",K129&lt;&gt;"",Q129&gt;0),SUM(O129:R129),""))</f>
        <v/>
      </c>
      <c r="T129" s="17" t="str">
        <f aca="false">IF(AND(S129&lt;&gt;"",ISNUMBER(E129)),E129*Parametros!$B$12,"")</f>
        <v/>
      </c>
      <c r="U129" s="17" t="str">
        <f aca="false">IF(AND(S129&lt;&gt;"",ISNUMBER(E129)),E129*Parametros!$B$13,"")</f>
        <v/>
      </c>
      <c r="V129" s="18" t="str">
        <f aca="false">IF(AND(S129&lt;&gt;"",ISNUMBER(E129)),E129-S129-T129-U129,"")</f>
        <v/>
      </c>
      <c r="W129" s="19" t="str">
        <f aca="false">IF(AND(S129&lt;&gt;"",ISNUMBER(E129)),V129/E129,"")</f>
        <v/>
      </c>
      <c r="X129" s="17" t="str">
        <f aca="false">IF(OR(S129="",Parametros!$B$14&gt;=1),"",S129/(1-Parametros!$B$14))</f>
        <v/>
      </c>
      <c r="Y129" s="17" t="str">
        <f aca="false">IF(OR(S129="",Parametros!$B$14+Parametros!$B$18&gt;=1),"",S129/(1-Parametros!$B$14-Parametros!$B$18))</f>
        <v/>
      </c>
      <c r="Z129" s="20" t="str">
        <f aca="false">IF(B129="","",IF(S129="","FALTAN DATOS",IF(NOT(ISNUMBER(E129)),"FALTA PRECIO",IF(V129&lt;0,"PIERDE",IF(W129&lt;Parametros!$B$18,"BAJO META","OK")))))</f>
        <v/>
      </c>
      <c r="AA129" s="21" t="str">
        <f aca="false">IF(B129="","",IF(F129="","Tela. ","")&amp;IF(NOT(ISNUMBER(G129)),"Kg de tela. ","")&amp;IF(AND(F129&lt;&gt;"",NOT(ISNUMBER(IFERROR(INDEX(Precios!$D$5:$D$120,MATCH(F129,Precios!$A$5:$A$120,0)),"x")))),"Tela sin precio. ","")&amp;IF(AND(H129&lt;&gt;"",NOT(ISNUMBER(IFERROR(INDEX(Precios!$D$5:$D$120,MATCH(H129,Precios!$A$5:$A$120,0)),"x")))),"Tela 2 sin precio. ","")&amp;IF(J129="","Metros impresos. ","")&amp;IF(AND(N(J129)&gt;0,Parametros!$B$27=0),"Impresión sin costo. ","")&amp;IF(K129="","Confección. ",IF(Q129=0,"Confección sin valor. ",""))&amp;IF(NOT(ISNUMBER(E129)),"Precio de venta. ",""))</f>
        <v/>
      </c>
    </row>
    <row r="130" customFormat="false" ht="15" hidden="false" customHeight="false" outlineLevel="0" collapsed="false">
      <c r="A130" s="22"/>
      <c r="B130" s="22"/>
      <c r="C130" s="22"/>
      <c r="D130" s="13"/>
      <c r="E130" s="12"/>
      <c r="F130" s="13"/>
      <c r="G130" s="14"/>
      <c r="H130" s="13"/>
      <c r="I130" s="14"/>
      <c r="J130" s="15"/>
      <c r="K130" s="13"/>
      <c r="L130" s="12"/>
      <c r="M130" s="13"/>
      <c r="O130" s="17" t="str">
        <f aca="false">IF(B130="","",IFERROR(G130*INDEX(Precios!$D$5:$D$120,MATCH(F130,Precios!$A$5:$A$120,0)),0)+IF(H130="",0,IFERROR(I130*INDEX(Precios!$D$5:$D$120,MATCH(H130,Precios!$A$5:$A$120,0)),0)))</f>
        <v/>
      </c>
      <c r="P130" s="17" t="str">
        <f aca="false">IF(B130="","",N(J130)*Parametros!$B$27)</f>
        <v/>
      </c>
      <c r="Q130" s="17" t="str">
        <f aca="false">IF(B130="","",IFERROR(INDEX(Confeccion!$B$5:$B$100,MATCH(K130,Confeccion!$A$5:$A$100,0)),0))</f>
        <v/>
      </c>
      <c r="R130" s="17" t="str">
        <f aca="false">IF(B130="","",N(L130))</f>
        <v/>
      </c>
      <c r="S130" s="18" t="str">
        <f aca="false">IF(B130="","",IF(AND(F130&lt;&gt;"",ISNUMBER(G130),ISNUMBER(IFERROR(INDEX(Precios!$D$5:$D$120,MATCH(F130,Precios!$A$5:$A$120,0)),"x")),OR(H130="",ISNUMBER(IFERROR(INDEX(Precios!$D$5:$D$120,MATCH(H130,Precios!$A$5:$A$120,0)),"x"))),J130&lt;&gt;"",K130&lt;&gt;"",Q130&gt;0),SUM(O130:R130),""))</f>
        <v/>
      </c>
      <c r="T130" s="17" t="str">
        <f aca="false">IF(AND(S130&lt;&gt;"",ISNUMBER(E130)),E130*Parametros!$B$12,"")</f>
        <v/>
      </c>
      <c r="U130" s="17" t="str">
        <f aca="false">IF(AND(S130&lt;&gt;"",ISNUMBER(E130)),E130*Parametros!$B$13,"")</f>
        <v/>
      </c>
      <c r="V130" s="18" t="str">
        <f aca="false">IF(AND(S130&lt;&gt;"",ISNUMBER(E130)),E130-S130-T130-U130,"")</f>
        <v/>
      </c>
      <c r="W130" s="19" t="str">
        <f aca="false">IF(AND(S130&lt;&gt;"",ISNUMBER(E130)),V130/E130,"")</f>
        <v/>
      </c>
      <c r="X130" s="17" t="str">
        <f aca="false">IF(OR(S130="",Parametros!$B$14&gt;=1),"",S130/(1-Parametros!$B$14))</f>
        <v/>
      </c>
      <c r="Y130" s="17" t="str">
        <f aca="false">IF(OR(S130="",Parametros!$B$14+Parametros!$B$18&gt;=1),"",S130/(1-Parametros!$B$14-Parametros!$B$18))</f>
        <v/>
      </c>
      <c r="Z130" s="20" t="str">
        <f aca="false">IF(B130="","",IF(S130="","FALTAN DATOS",IF(NOT(ISNUMBER(E130)),"FALTA PRECIO",IF(V130&lt;0,"PIERDE",IF(W130&lt;Parametros!$B$18,"BAJO META","OK")))))</f>
        <v/>
      </c>
      <c r="AA130" s="21" t="str">
        <f aca="false">IF(B130="","",IF(F130="","Tela. ","")&amp;IF(NOT(ISNUMBER(G130)),"Kg de tela. ","")&amp;IF(AND(F130&lt;&gt;"",NOT(ISNUMBER(IFERROR(INDEX(Precios!$D$5:$D$120,MATCH(F130,Precios!$A$5:$A$120,0)),"x")))),"Tela sin precio. ","")&amp;IF(AND(H130&lt;&gt;"",NOT(ISNUMBER(IFERROR(INDEX(Precios!$D$5:$D$120,MATCH(H130,Precios!$A$5:$A$120,0)),"x")))),"Tela 2 sin precio. ","")&amp;IF(J130="","Metros impresos. ","")&amp;IF(AND(N(J130)&gt;0,Parametros!$B$27=0),"Impresión sin costo. ","")&amp;IF(K130="","Confección. ",IF(Q130=0,"Confección sin valor. ",""))&amp;IF(NOT(ISNUMBER(E130)),"Precio de venta. ",""))</f>
        <v/>
      </c>
    </row>
    <row r="131" customFormat="false" ht="15" hidden="false" customHeight="false" outlineLevel="0" collapsed="false">
      <c r="A131" s="22"/>
      <c r="B131" s="22"/>
      <c r="C131" s="22"/>
      <c r="D131" s="13"/>
      <c r="E131" s="12"/>
      <c r="F131" s="13"/>
      <c r="G131" s="14"/>
      <c r="H131" s="13"/>
      <c r="I131" s="14"/>
      <c r="J131" s="15"/>
      <c r="K131" s="13"/>
      <c r="L131" s="12"/>
      <c r="M131" s="13"/>
      <c r="O131" s="17" t="str">
        <f aca="false">IF(B131="","",IFERROR(G131*INDEX(Precios!$D$5:$D$120,MATCH(F131,Precios!$A$5:$A$120,0)),0)+IF(H131="",0,IFERROR(I131*INDEX(Precios!$D$5:$D$120,MATCH(H131,Precios!$A$5:$A$120,0)),0)))</f>
        <v/>
      </c>
      <c r="P131" s="17" t="str">
        <f aca="false">IF(B131="","",N(J131)*Parametros!$B$27)</f>
        <v/>
      </c>
      <c r="Q131" s="17" t="str">
        <f aca="false">IF(B131="","",IFERROR(INDEX(Confeccion!$B$5:$B$100,MATCH(K131,Confeccion!$A$5:$A$100,0)),0))</f>
        <v/>
      </c>
      <c r="R131" s="17" t="str">
        <f aca="false">IF(B131="","",N(L131))</f>
        <v/>
      </c>
      <c r="S131" s="18" t="str">
        <f aca="false">IF(B131="","",IF(AND(F131&lt;&gt;"",ISNUMBER(G131),ISNUMBER(IFERROR(INDEX(Precios!$D$5:$D$120,MATCH(F131,Precios!$A$5:$A$120,0)),"x")),OR(H131="",ISNUMBER(IFERROR(INDEX(Precios!$D$5:$D$120,MATCH(H131,Precios!$A$5:$A$120,0)),"x"))),J131&lt;&gt;"",K131&lt;&gt;"",Q131&gt;0),SUM(O131:R131),""))</f>
        <v/>
      </c>
      <c r="T131" s="17" t="str">
        <f aca="false">IF(AND(S131&lt;&gt;"",ISNUMBER(E131)),E131*Parametros!$B$12,"")</f>
        <v/>
      </c>
      <c r="U131" s="17" t="str">
        <f aca="false">IF(AND(S131&lt;&gt;"",ISNUMBER(E131)),E131*Parametros!$B$13,"")</f>
        <v/>
      </c>
      <c r="V131" s="18" t="str">
        <f aca="false">IF(AND(S131&lt;&gt;"",ISNUMBER(E131)),E131-S131-T131-U131,"")</f>
        <v/>
      </c>
      <c r="W131" s="19" t="str">
        <f aca="false">IF(AND(S131&lt;&gt;"",ISNUMBER(E131)),V131/E131,"")</f>
        <v/>
      </c>
      <c r="X131" s="17" t="str">
        <f aca="false">IF(OR(S131="",Parametros!$B$14&gt;=1),"",S131/(1-Parametros!$B$14))</f>
        <v/>
      </c>
      <c r="Y131" s="17" t="str">
        <f aca="false">IF(OR(S131="",Parametros!$B$14+Parametros!$B$18&gt;=1),"",S131/(1-Parametros!$B$14-Parametros!$B$18))</f>
        <v/>
      </c>
      <c r="Z131" s="20" t="str">
        <f aca="false">IF(B131="","",IF(S131="","FALTAN DATOS",IF(NOT(ISNUMBER(E131)),"FALTA PRECIO",IF(V131&lt;0,"PIERDE",IF(W131&lt;Parametros!$B$18,"BAJO META","OK")))))</f>
        <v/>
      </c>
      <c r="AA131" s="21" t="str">
        <f aca="false">IF(B131="","",IF(F131="","Tela. ","")&amp;IF(NOT(ISNUMBER(G131)),"Kg de tela. ","")&amp;IF(AND(F131&lt;&gt;"",NOT(ISNUMBER(IFERROR(INDEX(Precios!$D$5:$D$120,MATCH(F131,Precios!$A$5:$A$120,0)),"x")))),"Tela sin precio. ","")&amp;IF(AND(H131&lt;&gt;"",NOT(ISNUMBER(IFERROR(INDEX(Precios!$D$5:$D$120,MATCH(H131,Precios!$A$5:$A$120,0)),"x")))),"Tela 2 sin precio. ","")&amp;IF(J131="","Metros impresos. ","")&amp;IF(AND(N(J131)&gt;0,Parametros!$B$27=0),"Impresión sin costo. ","")&amp;IF(K131="","Confección. ",IF(Q131=0,"Confección sin valor. ",""))&amp;IF(NOT(ISNUMBER(E131)),"Precio de venta. ",""))</f>
        <v/>
      </c>
    </row>
    <row r="132" customFormat="false" ht="15" hidden="false" customHeight="false" outlineLevel="0" collapsed="false">
      <c r="A132" s="22"/>
      <c r="B132" s="22"/>
      <c r="C132" s="22"/>
      <c r="D132" s="13"/>
      <c r="E132" s="12"/>
      <c r="F132" s="13"/>
      <c r="G132" s="14"/>
      <c r="H132" s="13"/>
      <c r="I132" s="14"/>
      <c r="J132" s="15"/>
      <c r="K132" s="13"/>
      <c r="L132" s="12"/>
      <c r="M132" s="13"/>
      <c r="O132" s="17" t="str">
        <f aca="false">IF(B132="","",IFERROR(G132*INDEX(Precios!$D$5:$D$120,MATCH(F132,Precios!$A$5:$A$120,0)),0)+IF(H132="",0,IFERROR(I132*INDEX(Precios!$D$5:$D$120,MATCH(H132,Precios!$A$5:$A$120,0)),0)))</f>
        <v/>
      </c>
      <c r="P132" s="17" t="str">
        <f aca="false">IF(B132="","",N(J132)*Parametros!$B$27)</f>
        <v/>
      </c>
      <c r="Q132" s="17" t="str">
        <f aca="false">IF(B132="","",IFERROR(INDEX(Confeccion!$B$5:$B$100,MATCH(K132,Confeccion!$A$5:$A$100,0)),0))</f>
        <v/>
      </c>
      <c r="R132" s="17" t="str">
        <f aca="false">IF(B132="","",N(L132))</f>
        <v/>
      </c>
      <c r="S132" s="18" t="str">
        <f aca="false">IF(B132="","",IF(AND(F132&lt;&gt;"",ISNUMBER(G132),ISNUMBER(IFERROR(INDEX(Precios!$D$5:$D$120,MATCH(F132,Precios!$A$5:$A$120,0)),"x")),OR(H132="",ISNUMBER(IFERROR(INDEX(Precios!$D$5:$D$120,MATCH(H132,Precios!$A$5:$A$120,0)),"x"))),J132&lt;&gt;"",K132&lt;&gt;"",Q132&gt;0),SUM(O132:R132),""))</f>
        <v/>
      </c>
      <c r="T132" s="17" t="str">
        <f aca="false">IF(AND(S132&lt;&gt;"",ISNUMBER(E132)),E132*Parametros!$B$12,"")</f>
        <v/>
      </c>
      <c r="U132" s="17" t="str">
        <f aca="false">IF(AND(S132&lt;&gt;"",ISNUMBER(E132)),E132*Parametros!$B$13,"")</f>
        <v/>
      </c>
      <c r="V132" s="18" t="str">
        <f aca="false">IF(AND(S132&lt;&gt;"",ISNUMBER(E132)),E132-S132-T132-U132,"")</f>
        <v/>
      </c>
      <c r="W132" s="19" t="str">
        <f aca="false">IF(AND(S132&lt;&gt;"",ISNUMBER(E132)),V132/E132,"")</f>
        <v/>
      </c>
      <c r="X132" s="17" t="str">
        <f aca="false">IF(OR(S132="",Parametros!$B$14&gt;=1),"",S132/(1-Parametros!$B$14))</f>
        <v/>
      </c>
      <c r="Y132" s="17" t="str">
        <f aca="false">IF(OR(S132="",Parametros!$B$14+Parametros!$B$18&gt;=1),"",S132/(1-Parametros!$B$14-Parametros!$B$18))</f>
        <v/>
      </c>
      <c r="Z132" s="20" t="str">
        <f aca="false">IF(B132="","",IF(S132="","FALTAN DATOS",IF(NOT(ISNUMBER(E132)),"FALTA PRECIO",IF(V132&lt;0,"PIERDE",IF(W132&lt;Parametros!$B$18,"BAJO META","OK")))))</f>
        <v/>
      </c>
      <c r="AA132" s="21" t="str">
        <f aca="false">IF(B132="","",IF(F132="","Tela. ","")&amp;IF(NOT(ISNUMBER(G132)),"Kg de tela. ","")&amp;IF(AND(F132&lt;&gt;"",NOT(ISNUMBER(IFERROR(INDEX(Precios!$D$5:$D$120,MATCH(F132,Precios!$A$5:$A$120,0)),"x")))),"Tela sin precio. ","")&amp;IF(AND(H132&lt;&gt;"",NOT(ISNUMBER(IFERROR(INDEX(Precios!$D$5:$D$120,MATCH(H132,Precios!$A$5:$A$120,0)),"x")))),"Tela 2 sin precio. ","")&amp;IF(J132="","Metros impresos. ","")&amp;IF(AND(N(J132)&gt;0,Parametros!$B$27=0),"Impresión sin costo. ","")&amp;IF(K132="","Confección. ",IF(Q132=0,"Confección sin valor. ",""))&amp;IF(NOT(ISNUMBER(E132)),"Precio de venta. ",""))</f>
        <v/>
      </c>
    </row>
    <row r="133" customFormat="false" ht="15" hidden="false" customHeight="false" outlineLevel="0" collapsed="false">
      <c r="A133" s="22"/>
      <c r="B133" s="22"/>
      <c r="C133" s="22"/>
      <c r="D133" s="13"/>
      <c r="E133" s="12"/>
      <c r="F133" s="13"/>
      <c r="G133" s="14"/>
      <c r="H133" s="13"/>
      <c r="I133" s="14"/>
      <c r="J133" s="15"/>
      <c r="K133" s="13"/>
      <c r="L133" s="12"/>
      <c r="M133" s="13"/>
      <c r="O133" s="17" t="str">
        <f aca="false">IF(B133="","",IFERROR(G133*INDEX(Precios!$D$5:$D$120,MATCH(F133,Precios!$A$5:$A$120,0)),0)+IF(H133="",0,IFERROR(I133*INDEX(Precios!$D$5:$D$120,MATCH(H133,Precios!$A$5:$A$120,0)),0)))</f>
        <v/>
      </c>
      <c r="P133" s="17" t="str">
        <f aca="false">IF(B133="","",N(J133)*Parametros!$B$27)</f>
        <v/>
      </c>
      <c r="Q133" s="17" t="str">
        <f aca="false">IF(B133="","",IFERROR(INDEX(Confeccion!$B$5:$B$100,MATCH(K133,Confeccion!$A$5:$A$100,0)),0))</f>
        <v/>
      </c>
      <c r="R133" s="17" t="str">
        <f aca="false">IF(B133="","",N(L133))</f>
        <v/>
      </c>
      <c r="S133" s="18" t="str">
        <f aca="false">IF(B133="","",IF(AND(F133&lt;&gt;"",ISNUMBER(G133),ISNUMBER(IFERROR(INDEX(Precios!$D$5:$D$120,MATCH(F133,Precios!$A$5:$A$120,0)),"x")),OR(H133="",ISNUMBER(IFERROR(INDEX(Precios!$D$5:$D$120,MATCH(H133,Precios!$A$5:$A$120,0)),"x"))),J133&lt;&gt;"",K133&lt;&gt;"",Q133&gt;0),SUM(O133:R133),""))</f>
        <v/>
      </c>
      <c r="T133" s="17" t="str">
        <f aca="false">IF(AND(S133&lt;&gt;"",ISNUMBER(E133)),E133*Parametros!$B$12,"")</f>
        <v/>
      </c>
      <c r="U133" s="17" t="str">
        <f aca="false">IF(AND(S133&lt;&gt;"",ISNUMBER(E133)),E133*Parametros!$B$13,"")</f>
        <v/>
      </c>
      <c r="V133" s="18" t="str">
        <f aca="false">IF(AND(S133&lt;&gt;"",ISNUMBER(E133)),E133-S133-T133-U133,"")</f>
        <v/>
      </c>
      <c r="W133" s="19" t="str">
        <f aca="false">IF(AND(S133&lt;&gt;"",ISNUMBER(E133)),V133/E133,"")</f>
        <v/>
      </c>
      <c r="X133" s="17" t="str">
        <f aca="false">IF(OR(S133="",Parametros!$B$14&gt;=1),"",S133/(1-Parametros!$B$14))</f>
        <v/>
      </c>
      <c r="Y133" s="17" t="str">
        <f aca="false">IF(OR(S133="",Parametros!$B$14+Parametros!$B$18&gt;=1),"",S133/(1-Parametros!$B$14-Parametros!$B$18))</f>
        <v/>
      </c>
      <c r="Z133" s="20" t="str">
        <f aca="false">IF(B133="","",IF(S133="","FALTAN DATOS",IF(NOT(ISNUMBER(E133)),"FALTA PRECIO",IF(V133&lt;0,"PIERDE",IF(W133&lt;Parametros!$B$18,"BAJO META","OK")))))</f>
        <v/>
      </c>
      <c r="AA133" s="21" t="str">
        <f aca="false">IF(B133="","",IF(F133="","Tela. ","")&amp;IF(NOT(ISNUMBER(G133)),"Kg de tela. ","")&amp;IF(AND(F133&lt;&gt;"",NOT(ISNUMBER(IFERROR(INDEX(Precios!$D$5:$D$120,MATCH(F133,Precios!$A$5:$A$120,0)),"x")))),"Tela sin precio. ","")&amp;IF(AND(H133&lt;&gt;"",NOT(ISNUMBER(IFERROR(INDEX(Precios!$D$5:$D$120,MATCH(H133,Precios!$A$5:$A$120,0)),"x")))),"Tela 2 sin precio. ","")&amp;IF(J133="","Metros impresos. ","")&amp;IF(AND(N(J133)&gt;0,Parametros!$B$27=0),"Impresión sin costo. ","")&amp;IF(K133="","Confección. ",IF(Q133=0,"Confección sin valor. ",""))&amp;IF(NOT(ISNUMBER(E133)),"Precio de venta. ",""))</f>
        <v/>
      </c>
    </row>
    <row r="134" customFormat="false" ht="15" hidden="false" customHeight="false" outlineLevel="0" collapsed="false">
      <c r="A134" s="22"/>
      <c r="B134" s="22"/>
      <c r="C134" s="22"/>
      <c r="D134" s="13"/>
      <c r="E134" s="12"/>
      <c r="F134" s="13"/>
      <c r="G134" s="14"/>
      <c r="H134" s="13"/>
      <c r="I134" s="14"/>
      <c r="J134" s="15"/>
      <c r="K134" s="13"/>
      <c r="L134" s="12"/>
      <c r="M134" s="13"/>
      <c r="O134" s="17" t="str">
        <f aca="false">IF(B134="","",IFERROR(G134*INDEX(Precios!$D$5:$D$120,MATCH(F134,Precios!$A$5:$A$120,0)),0)+IF(H134="",0,IFERROR(I134*INDEX(Precios!$D$5:$D$120,MATCH(H134,Precios!$A$5:$A$120,0)),0)))</f>
        <v/>
      </c>
      <c r="P134" s="17" t="str">
        <f aca="false">IF(B134="","",N(J134)*Parametros!$B$27)</f>
        <v/>
      </c>
      <c r="Q134" s="17" t="str">
        <f aca="false">IF(B134="","",IFERROR(INDEX(Confeccion!$B$5:$B$100,MATCH(K134,Confeccion!$A$5:$A$100,0)),0))</f>
        <v/>
      </c>
      <c r="R134" s="17" t="str">
        <f aca="false">IF(B134="","",N(L134))</f>
        <v/>
      </c>
      <c r="S134" s="18" t="str">
        <f aca="false">IF(B134="","",IF(AND(F134&lt;&gt;"",ISNUMBER(G134),ISNUMBER(IFERROR(INDEX(Precios!$D$5:$D$120,MATCH(F134,Precios!$A$5:$A$120,0)),"x")),OR(H134="",ISNUMBER(IFERROR(INDEX(Precios!$D$5:$D$120,MATCH(H134,Precios!$A$5:$A$120,0)),"x"))),J134&lt;&gt;"",K134&lt;&gt;"",Q134&gt;0),SUM(O134:R134),""))</f>
        <v/>
      </c>
      <c r="T134" s="17" t="str">
        <f aca="false">IF(AND(S134&lt;&gt;"",ISNUMBER(E134)),E134*Parametros!$B$12,"")</f>
        <v/>
      </c>
      <c r="U134" s="17" t="str">
        <f aca="false">IF(AND(S134&lt;&gt;"",ISNUMBER(E134)),E134*Parametros!$B$13,"")</f>
        <v/>
      </c>
      <c r="V134" s="18" t="str">
        <f aca="false">IF(AND(S134&lt;&gt;"",ISNUMBER(E134)),E134-S134-T134-U134,"")</f>
        <v/>
      </c>
      <c r="W134" s="19" t="str">
        <f aca="false">IF(AND(S134&lt;&gt;"",ISNUMBER(E134)),V134/E134,"")</f>
        <v/>
      </c>
      <c r="X134" s="17" t="str">
        <f aca="false">IF(OR(S134="",Parametros!$B$14&gt;=1),"",S134/(1-Parametros!$B$14))</f>
        <v/>
      </c>
      <c r="Y134" s="17" t="str">
        <f aca="false">IF(OR(S134="",Parametros!$B$14+Parametros!$B$18&gt;=1),"",S134/(1-Parametros!$B$14-Parametros!$B$18))</f>
        <v/>
      </c>
      <c r="Z134" s="20" t="str">
        <f aca="false">IF(B134="","",IF(S134="","FALTAN DATOS",IF(NOT(ISNUMBER(E134)),"FALTA PRECIO",IF(V134&lt;0,"PIERDE",IF(W134&lt;Parametros!$B$18,"BAJO META","OK")))))</f>
        <v/>
      </c>
      <c r="AA134" s="21" t="str">
        <f aca="false">IF(B134="","",IF(F134="","Tela. ","")&amp;IF(NOT(ISNUMBER(G134)),"Kg de tela. ","")&amp;IF(AND(F134&lt;&gt;"",NOT(ISNUMBER(IFERROR(INDEX(Precios!$D$5:$D$120,MATCH(F134,Precios!$A$5:$A$120,0)),"x")))),"Tela sin precio. ","")&amp;IF(AND(H134&lt;&gt;"",NOT(ISNUMBER(IFERROR(INDEX(Precios!$D$5:$D$120,MATCH(H134,Precios!$A$5:$A$120,0)),"x")))),"Tela 2 sin precio. ","")&amp;IF(J134="","Metros impresos. ","")&amp;IF(AND(N(J134)&gt;0,Parametros!$B$27=0),"Impresión sin costo. ","")&amp;IF(K134="","Confección. ",IF(Q134=0,"Confección sin valor. ",""))&amp;IF(NOT(ISNUMBER(E134)),"Precio de venta. ",""))</f>
        <v/>
      </c>
    </row>
    <row r="135" customFormat="false" ht="15" hidden="false" customHeight="false" outlineLevel="0" collapsed="false">
      <c r="A135" s="22"/>
      <c r="B135" s="22"/>
      <c r="C135" s="22"/>
      <c r="D135" s="13"/>
      <c r="E135" s="12"/>
      <c r="F135" s="13"/>
      <c r="G135" s="14"/>
      <c r="H135" s="13"/>
      <c r="I135" s="14"/>
      <c r="J135" s="15"/>
      <c r="K135" s="13"/>
      <c r="L135" s="12"/>
      <c r="M135" s="13"/>
      <c r="O135" s="17" t="str">
        <f aca="false">IF(B135="","",IFERROR(G135*INDEX(Precios!$D$5:$D$120,MATCH(F135,Precios!$A$5:$A$120,0)),0)+IF(H135="",0,IFERROR(I135*INDEX(Precios!$D$5:$D$120,MATCH(H135,Precios!$A$5:$A$120,0)),0)))</f>
        <v/>
      </c>
      <c r="P135" s="17" t="str">
        <f aca="false">IF(B135="","",N(J135)*Parametros!$B$27)</f>
        <v/>
      </c>
      <c r="Q135" s="17" t="str">
        <f aca="false">IF(B135="","",IFERROR(INDEX(Confeccion!$B$5:$B$100,MATCH(K135,Confeccion!$A$5:$A$100,0)),0))</f>
        <v/>
      </c>
      <c r="R135" s="17" t="str">
        <f aca="false">IF(B135="","",N(L135))</f>
        <v/>
      </c>
      <c r="S135" s="18" t="str">
        <f aca="false">IF(B135="","",IF(AND(F135&lt;&gt;"",ISNUMBER(G135),ISNUMBER(IFERROR(INDEX(Precios!$D$5:$D$120,MATCH(F135,Precios!$A$5:$A$120,0)),"x")),OR(H135="",ISNUMBER(IFERROR(INDEX(Precios!$D$5:$D$120,MATCH(H135,Precios!$A$5:$A$120,0)),"x"))),J135&lt;&gt;"",K135&lt;&gt;"",Q135&gt;0),SUM(O135:R135),""))</f>
        <v/>
      </c>
      <c r="T135" s="17" t="str">
        <f aca="false">IF(AND(S135&lt;&gt;"",ISNUMBER(E135)),E135*Parametros!$B$12,"")</f>
        <v/>
      </c>
      <c r="U135" s="17" t="str">
        <f aca="false">IF(AND(S135&lt;&gt;"",ISNUMBER(E135)),E135*Parametros!$B$13,"")</f>
        <v/>
      </c>
      <c r="V135" s="18" t="str">
        <f aca="false">IF(AND(S135&lt;&gt;"",ISNUMBER(E135)),E135-S135-T135-U135,"")</f>
        <v/>
      </c>
      <c r="W135" s="19" t="str">
        <f aca="false">IF(AND(S135&lt;&gt;"",ISNUMBER(E135)),V135/E135,"")</f>
        <v/>
      </c>
      <c r="X135" s="17" t="str">
        <f aca="false">IF(OR(S135="",Parametros!$B$14&gt;=1),"",S135/(1-Parametros!$B$14))</f>
        <v/>
      </c>
      <c r="Y135" s="17" t="str">
        <f aca="false">IF(OR(S135="",Parametros!$B$14+Parametros!$B$18&gt;=1),"",S135/(1-Parametros!$B$14-Parametros!$B$18))</f>
        <v/>
      </c>
      <c r="Z135" s="20" t="str">
        <f aca="false">IF(B135="","",IF(S135="","FALTAN DATOS",IF(NOT(ISNUMBER(E135)),"FALTA PRECIO",IF(V135&lt;0,"PIERDE",IF(W135&lt;Parametros!$B$18,"BAJO META","OK")))))</f>
        <v/>
      </c>
      <c r="AA135" s="21" t="str">
        <f aca="false">IF(B135="","",IF(F135="","Tela. ","")&amp;IF(NOT(ISNUMBER(G135)),"Kg de tela. ","")&amp;IF(AND(F135&lt;&gt;"",NOT(ISNUMBER(IFERROR(INDEX(Precios!$D$5:$D$120,MATCH(F135,Precios!$A$5:$A$120,0)),"x")))),"Tela sin precio. ","")&amp;IF(AND(H135&lt;&gt;"",NOT(ISNUMBER(IFERROR(INDEX(Precios!$D$5:$D$120,MATCH(H135,Precios!$A$5:$A$120,0)),"x")))),"Tela 2 sin precio. ","")&amp;IF(J135="","Metros impresos. ","")&amp;IF(AND(N(J135)&gt;0,Parametros!$B$27=0),"Impresión sin costo. ","")&amp;IF(K135="","Confección. ",IF(Q135=0,"Confección sin valor. ",""))&amp;IF(NOT(ISNUMBER(E135)),"Precio de venta. ",""))</f>
        <v/>
      </c>
    </row>
    <row r="136" customFormat="false" ht="15" hidden="false" customHeight="false" outlineLevel="0" collapsed="false">
      <c r="A136" s="22"/>
      <c r="B136" s="22"/>
      <c r="C136" s="22"/>
      <c r="D136" s="13"/>
      <c r="E136" s="12"/>
      <c r="F136" s="13"/>
      <c r="G136" s="14"/>
      <c r="H136" s="13"/>
      <c r="I136" s="14"/>
      <c r="J136" s="15"/>
      <c r="K136" s="13"/>
      <c r="L136" s="12"/>
      <c r="M136" s="13"/>
      <c r="O136" s="17" t="str">
        <f aca="false">IF(B136="","",IFERROR(G136*INDEX(Precios!$D$5:$D$120,MATCH(F136,Precios!$A$5:$A$120,0)),0)+IF(H136="",0,IFERROR(I136*INDEX(Precios!$D$5:$D$120,MATCH(H136,Precios!$A$5:$A$120,0)),0)))</f>
        <v/>
      </c>
      <c r="P136" s="17" t="str">
        <f aca="false">IF(B136="","",N(J136)*Parametros!$B$27)</f>
        <v/>
      </c>
      <c r="Q136" s="17" t="str">
        <f aca="false">IF(B136="","",IFERROR(INDEX(Confeccion!$B$5:$B$100,MATCH(K136,Confeccion!$A$5:$A$100,0)),0))</f>
        <v/>
      </c>
      <c r="R136" s="17" t="str">
        <f aca="false">IF(B136="","",N(L136))</f>
        <v/>
      </c>
      <c r="S136" s="18" t="str">
        <f aca="false">IF(B136="","",IF(AND(F136&lt;&gt;"",ISNUMBER(G136),ISNUMBER(IFERROR(INDEX(Precios!$D$5:$D$120,MATCH(F136,Precios!$A$5:$A$120,0)),"x")),OR(H136="",ISNUMBER(IFERROR(INDEX(Precios!$D$5:$D$120,MATCH(H136,Precios!$A$5:$A$120,0)),"x"))),J136&lt;&gt;"",K136&lt;&gt;"",Q136&gt;0),SUM(O136:R136),""))</f>
        <v/>
      </c>
      <c r="T136" s="17" t="str">
        <f aca="false">IF(AND(S136&lt;&gt;"",ISNUMBER(E136)),E136*Parametros!$B$12,"")</f>
        <v/>
      </c>
      <c r="U136" s="17" t="str">
        <f aca="false">IF(AND(S136&lt;&gt;"",ISNUMBER(E136)),E136*Parametros!$B$13,"")</f>
        <v/>
      </c>
      <c r="V136" s="18" t="str">
        <f aca="false">IF(AND(S136&lt;&gt;"",ISNUMBER(E136)),E136-S136-T136-U136,"")</f>
        <v/>
      </c>
      <c r="W136" s="19" t="str">
        <f aca="false">IF(AND(S136&lt;&gt;"",ISNUMBER(E136)),V136/E136,"")</f>
        <v/>
      </c>
      <c r="X136" s="17" t="str">
        <f aca="false">IF(OR(S136="",Parametros!$B$14&gt;=1),"",S136/(1-Parametros!$B$14))</f>
        <v/>
      </c>
      <c r="Y136" s="17" t="str">
        <f aca="false">IF(OR(S136="",Parametros!$B$14+Parametros!$B$18&gt;=1),"",S136/(1-Parametros!$B$14-Parametros!$B$18))</f>
        <v/>
      </c>
      <c r="Z136" s="20" t="str">
        <f aca="false">IF(B136="","",IF(S136="","FALTAN DATOS",IF(NOT(ISNUMBER(E136)),"FALTA PRECIO",IF(V136&lt;0,"PIERDE",IF(W136&lt;Parametros!$B$18,"BAJO META","OK")))))</f>
        <v/>
      </c>
      <c r="AA136" s="21" t="str">
        <f aca="false">IF(B136="","",IF(F136="","Tela. ","")&amp;IF(NOT(ISNUMBER(G136)),"Kg de tela. ","")&amp;IF(AND(F136&lt;&gt;"",NOT(ISNUMBER(IFERROR(INDEX(Precios!$D$5:$D$120,MATCH(F136,Precios!$A$5:$A$120,0)),"x")))),"Tela sin precio. ","")&amp;IF(AND(H136&lt;&gt;"",NOT(ISNUMBER(IFERROR(INDEX(Precios!$D$5:$D$120,MATCH(H136,Precios!$A$5:$A$120,0)),"x")))),"Tela 2 sin precio. ","")&amp;IF(J136="","Metros impresos. ","")&amp;IF(AND(N(J136)&gt;0,Parametros!$B$27=0),"Impresión sin costo. ","")&amp;IF(K136="","Confección. ",IF(Q136=0,"Confección sin valor. ",""))&amp;IF(NOT(ISNUMBER(E136)),"Precio de venta. ",""))</f>
        <v/>
      </c>
    </row>
    <row r="137" customFormat="false" ht="15" hidden="false" customHeight="false" outlineLevel="0" collapsed="false">
      <c r="A137" s="22"/>
      <c r="B137" s="22"/>
      <c r="C137" s="22"/>
      <c r="D137" s="13"/>
      <c r="E137" s="12"/>
      <c r="F137" s="13"/>
      <c r="G137" s="14"/>
      <c r="H137" s="13"/>
      <c r="I137" s="14"/>
      <c r="J137" s="15"/>
      <c r="K137" s="13"/>
      <c r="L137" s="12"/>
      <c r="M137" s="13"/>
      <c r="O137" s="17" t="str">
        <f aca="false">IF(B137="","",IFERROR(G137*INDEX(Precios!$D$5:$D$120,MATCH(F137,Precios!$A$5:$A$120,0)),0)+IF(H137="",0,IFERROR(I137*INDEX(Precios!$D$5:$D$120,MATCH(H137,Precios!$A$5:$A$120,0)),0)))</f>
        <v/>
      </c>
      <c r="P137" s="17" t="str">
        <f aca="false">IF(B137="","",N(J137)*Parametros!$B$27)</f>
        <v/>
      </c>
      <c r="Q137" s="17" t="str">
        <f aca="false">IF(B137="","",IFERROR(INDEX(Confeccion!$B$5:$B$100,MATCH(K137,Confeccion!$A$5:$A$100,0)),0))</f>
        <v/>
      </c>
      <c r="R137" s="17" t="str">
        <f aca="false">IF(B137="","",N(L137))</f>
        <v/>
      </c>
      <c r="S137" s="18" t="str">
        <f aca="false">IF(B137="","",IF(AND(F137&lt;&gt;"",ISNUMBER(G137),ISNUMBER(IFERROR(INDEX(Precios!$D$5:$D$120,MATCH(F137,Precios!$A$5:$A$120,0)),"x")),OR(H137="",ISNUMBER(IFERROR(INDEX(Precios!$D$5:$D$120,MATCH(H137,Precios!$A$5:$A$120,0)),"x"))),J137&lt;&gt;"",K137&lt;&gt;"",Q137&gt;0),SUM(O137:R137),""))</f>
        <v/>
      </c>
      <c r="T137" s="17" t="str">
        <f aca="false">IF(AND(S137&lt;&gt;"",ISNUMBER(E137)),E137*Parametros!$B$12,"")</f>
        <v/>
      </c>
      <c r="U137" s="17" t="str">
        <f aca="false">IF(AND(S137&lt;&gt;"",ISNUMBER(E137)),E137*Parametros!$B$13,"")</f>
        <v/>
      </c>
      <c r="V137" s="18" t="str">
        <f aca="false">IF(AND(S137&lt;&gt;"",ISNUMBER(E137)),E137-S137-T137-U137,"")</f>
        <v/>
      </c>
      <c r="W137" s="19" t="str">
        <f aca="false">IF(AND(S137&lt;&gt;"",ISNUMBER(E137)),V137/E137,"")</f>
        <v/>
      </c>
      <c r="X137" s="17" t="str">
        <f aca="false">IF(OR(S137="",Parametros!$B$14&gt;=1),"",S137/(1-Parametros!$B$14))</f>
        <v/>
      </c>
      <c r="Y137" s="17" t="str">
        <f aca="false">IF(OR(S137="",Parametros!$B$14+Parametros!$B$18&gt;=1),"",S137/(1-Parametros!$B$14-Parametros!$B$18))</f>
        <v/>
      </c>
      <c r="Z137" s="20" t="str">
        <f aca="false">IF(B137="","",IF(S137="","FALTAN DATOS",IF(NOT(ISNUMBER(E137)),"FALTA PRECIO",IF(V137&lt;0,"PIERDE",IF(W137&lt;Parametros!$B$18,"BAJO META","OK")))))</f>
        <v/>
      </c>
      <c r="AA137" s="21" t="str">
        <f aca="false">IF(B137="","",IF(F137="","Tela. ","")&amp;IF(NOT(ISNUMBER(G137)),"Kg de tela. ","")&amp;IF(AND(F137&lt;&gt;"",NOT(ISNUMBER(IFERROR(INDEX(Precios!$D$5:$D$120,MATCH(F137,Precios!$A$5:$A$120,0)),"x")))),"Tela sin precio. ","")&amp;IF(AND(H137&lt;&gt;"",NOT(ISNUMBER(IFERROR(INDEX(Precios!$D$5:$D$120,MATCH(H137,Precios!$A$5:$A$120,0)),"x")))),"Tela 2 sin precio. ","")&amp;IF(J137="","Metros impresos. ","")&amp;IF(AND(N(J137)&gt;0,Parametros!$B$27=0),"Impresión sin costo. ","")&amp;IF(K137="","Confección. ",IF(Q137=0,"Confección sin valor. ",""))&amp;IF(NOT(ISNUMBER(E137)),"Precio de venta. ",""))</f>
        <v/>
      </c>
    </row>
    <row r="138" customFormat="false" ht="15" hidden="false" customHeight="false" outlineLevel="0" collapsed="false">
      <c r="A138" s="22"/>
      <c r="B138" s="22"/>
      <c r="C138" s="22"/>
      <c r="D138" s="13"/>
      <c r="E138" s="12"/>
      <c r="F138" s="13"/>
      <c r="G138" s="14"/>
      <c r="H138" s="13"/>
      <c r="I138" s="14"/>
      <c r="J138" s="15"/>
      <c r="K138" s="13"/>
      <c r="L138" s="12"/>
      <c r="M138" s="13"/>
      <c r="O138" s="17" t="str">
        <f aca="false">IF(B138="","",IFERROR(G138*INDEX(Precios!$D$5:$D$120,MATCH(F138,Precios!$A$5:$A$120,0)),0)+IF(H138="",0,IFERROR(I138*INDEX(Precios!$D$5:$D$120,MATCH(H138,Precios!$A$5:$A$120,0)),0)))</f>
        <v/>
      </c>
      <c r="P138" s="17" t="str">
        <f aca="false">IF(B138="","",N(J138)*Parametros!$B$27)</f>
        <v/>
      </c>
      <c r="Q138" s="17" t="str">
        <f aca="false">IF(B138="","",IFERROR(INDEX(Confeccion!$B$5:$B$100,MATCH(K138,Confeccion!$A$5:$A$100,0)),0))</f>
        <v/>
      </c>
      <c r="R138" s="17" t="str">
        <f aca="false">IF(B138="","",N(L138))</f>
        <v/>
      </c>
      <c r="S138" s="18" t="str">
        <f aca="false">IF(B138="","",IF(AND(F138&lt;&gt;"",ISNUMBER(G138),ISNUMBER(IFERROR(INDEX(Precios!$D$5:$D$120,MATCH(F138,Precios!$A$5:$A$120,0)),"x")),OR(H138="",ISNUMBER(IFERROR(INDEX(Precios!$D$5:$D$120,MATCH(H138,Precios!$A$5:$A$120,0)),"x"))),J138&lt;&gt;"",K138&lt;&gt;"",Q138&gt;0),SUM(O138:R138),""))</f>
        <v/>
      </c>
      <c r="T138" s="17" t="str">
        <f aca="false">IF(AND(S138&lt;&gt;"",ISNUMBER(E138)),E138*Parametros!$B$12,"")</f>
        <v/>
      </c>
      <c r="U138" s="17" t="str">
        <f aca="false">IF(AND(S138&lt;&gt;"",ISNUMBER(E138)),E138*Parametros!$B$13,"")</f>
        <v/>
      </c>
      <c r="V138" s="18" t="str">
        <f aca="false">IF(AND(S138&lt;&gt;"",ISNUMBER(E138)),E138-S138-T138-U138,"")</f>
        <v/>
      </c>
      <c r="W138" s="19" t="str">
        <f aca="false">IF(AND(S138&lt;&gt;"",ISNUMBER(E138)),V138/E138,"")</f>
        <v/>
      </c>
      <c r="X138" s="17" t="str">
        <f aca="false">IF(OR(S138="",Parametros!$B$14&gt;=1),"",S138/(1-Parametros!$B$14))</f>
        <v/>
      </c>
      <c r="Y138" s="17" t="str">
        <f aca="false">IF(OR(S138="",Parametros!$B$14+Parametros!$B$18&gt;=1),"",S138/(1-Parametros!$B$14-Parametros!$B$18))</f>
        <v/>
      </c>
      <c r="Z138" s="20" t="str">
        <f aca="false">IF(B138="","",IF(S138="","FALTAN DATOS",IF(NOT(ISNUMBER(E138)),"FALTA PRECIO",IF(V138&lt;0,"PIERDE",IF(W138&lt;Parametros!$B$18,"BAJO META","OK")))))</f>
        <v/>
      </c>
      <c r="AA138" s="21" t="str">
        <f aca="false">IF(B138="","",IF(F138="","Tela. ","")&amp;IF(NOT(ISNUMBER(G138)),"Kg de tela. ","")&amp;IF(AND(F138&lt;&gt;"",NOT(ISNUMBER(IFERROR(INDEX(Precios!$D$5:$D$120,MATCH(F138,Precios!$A$5:$A$120,0)),"x")))),"Tela sin precio. ","")&amp;IF(AND(H138&lt;&gt;"",NOT(ISNUMBER(IFERROR(INDEX(Precios!$D$5:$D$120,MATCH(H138,Precios!$A$5:$A$120,0)),"x")))),"Tela 2 sin precio. ","")&amp;IF(J138="","Metros impresos. ","")&amp;IF(AND(N(J138)&gt;0,Parametros!$B$27=0),"Impresión sin costo. ","")&amp;IF(K138="","Confección. ",IF(Q138=0,"Confección sin valor. ",""))&amp;IF(NOT(ISNUMBER(E138)),"Precio de venta. ",""))</f>
        <v/>
      </c>
    </row>
    <row r="139" customFormat="false" ht="15" hidden="false" customHeight="false" outlineLevel="0" collapsed="false">
      <c r="A139" s="22"/>
      <c r="B139" s="22"/>
      <c r="C139" s="22"/>
      <c r="D139" s="13"/>
      <c r="E139" s="12"/>
      <c r="F139" s="13"/>
      <c r="G139" s="14"/>
      <c r="H139" s="13"/>
      <c r="I139" s="14"/>
      <c r="J139" s="15"/>
      <c r="K139" s="13"/>
      <c r="L139" s="12"/>
      <c r="M139" s="13"/>
      <c r="O139" s="17" t="str">
        <f aca="false">IF(B139="","",IFERROR(G139*INDEX(Precios!$D$5:$D$120,MATCH(F139,Precios!$A$5:$A$120,0)),0)+IF(H139="",0,IFERROR(I139*INDEX(Precios!$D$5:$D$120,MATCH(H139,Precios!$A$5:$A$120,0)),0)))</f>
        <v/>
      </c>
      <c r="P139" s="17" t="str">
        <f aca="false">IF(B139="","",N(J139)*Parametros!$B$27)</f>
        <v/>
      </c>
      <c r="Q139" s="17" t="str">
        <f aca="false">IF(B139="","",IFERROR(INDEX(Confeccion!$B$5:$B$100,MATCH(K139,Confeccion!$A$5:$A$100,0)),0))</f>
        <v/>
      </c>
      <c r="R139" s="17" t="str">
        <f aca="false">IF(B139="","",N(L139))</f>
        <v/>
      </c>
      <c r="S139" s="18" t="str">
        <f aca="false">IF(B139="","",IF(AND(F139&lt;&gt;"",ISNUMBER(G139),ISNUMBER(IFERROR(INDEX(Precios!$D$5:$D$120,MATCH(F139,Precios!$A$5:$A$120,0)),"x")),OR(H139="",ISNUMBER(IFERROR(INDEX(Precios!$D$5:$D$120,MATCH(H139,Precios!$A$5:$A$120,0)),"x"))),J139&lt;&gt;"",K139&lt;&gt;"",Q139&gt;0),SUM(O139:R139),""))</f>
        <v/>
      </c>
      <c r="T139" s="17" t="str">
        <f aca="false">IF(AND(S139&lt;&gt;"",ISNUMBER(E139)),E139*Parametros!$B$12,"")</f>
        <v/>
      </c>
      <c r="U139" s="17" t="str">
        <f aca="false">IF(AND(S139&lt;&gt;"",ISNUMBER(E139)),E139*Parametros!$B$13,"")</f>
        <v/>
      </c>
      <c r="V139" s="18" t="str">
        <f aca="false">IF(AND(S139&lt;&gt;"",ISNUMBER(E139)),E139-S139-T139-U139,"")</f>
        <v/>
      </c>
      <c r="W139" s="19" t="str">
        <f aca="false">IF(AND(S139&lt;&gt;"",ISNUMBER(E139)),V139/E139,"")</f>
        <v/>
      </c>
      <c r="X139" s="17" t="str">
        <f aca="false">IF(OR(S139="",Parametros!$B$14&gt;=1),"",S139/(1-Parametros!$B$14))</f>
        <v/>
      </c>
      <c r="Y139" s="17" t="str">
        <f aca="false">IF(OR(S139="",Parametros!$B$14+Parametros!$B$18&gt;=1),"",S139/(1-Parametros!$B$14-Parametros!$B$18))</f>
        <v/>
      </c>
      <c r="Z139" s="20" t="str">
        <f aca="false">IF(B139="","",IF(S139="","FALTAN DATOS",IF(NOT(ISNUMBER(E139)),"FALTA PRECIO",IF(V139&lt;0,"PIERDE",IF(W139&lt;Parametros!$B$18,"BAJO META","OK")))))</f>
        <v/>
      </c>
      <c r="AA139" s="21" t="str">
        <f aca="false">IF(B139="","",IF(F139="","Tela. ","")&amp;IF(NOT(ISNUMBER(G139)),"Kg de tela. ","")&amp;IF(AND(F139&lt;&gt;"",NOT(ISNUMBER(IFERROR(INDEX(Precios!$D$5:$D$120,MATCH(F139,Precios!$A$5:$A$120,0)),"x")))),"Tela sin precio. ","")&amp;IF(AND(H139&lt;&gt;"",NOT(ISNUMBER(IFERROR(INDEX(Precios!$D$5:$D$120,MATCH(H139,Precios!$A$5:$A$120,0)),"x")))),"Tela 2 sin precio. ","")&amp;IF(J139="","Metros impresos. ","")&amp;IF(AND(N(J139)&gt;0,Parametros!$B$27=0),"Impresión sin costo. ","")&amp;IF(K139="","Confección. ",IF(Q139=0,"Confección sin valor. ",""))&amp;IF(NOT(ISNUMBER(E139)),"Precio de venta. ",""))</f>
        <v/>
      </c>
    </row>
    <row r="140" customFormat="false" ht="15" hidden="false" customHeight="false" outlineLevel="0" collapsed="false">
      <c r="A140" s="22"/>
      <c r="B140" s="22"/>
      <c r="C140" s="22"/>
      <c r="D140" s="13"/>
      <c r="E140" s="12"/>
      <c r="F140" s="13"/>
      <c r="G140" s="14"/>
      <c r="H140" s="13"/>
      <c r="I140" s="14"/>
      <c r="J140" s="15"/>
      <c r="K140" s="13"/>
      <c r="L140" s="12"/>
      <c r="M140" s="13"/>
      <c r="O140" s="17" t="str">
        <f aca="false">IF(B140="","",IFERROR(G140*INDEX(Precios!$D$5:$D$120,MATCH(F140,Precios!$A$5:$A$120,0)),0)+IF(H140="",0,IFERROR(I140*INDEX(Precios!$D$5:$D$120,MATCH(H140,Precios!$A$5:$A$120,0)),0)))</f>
        <v/>
      </c>
      <c r="P140" s="17" t="str">
        <f aca="false">IF(B140="","",N(J140)*Parametros!$B$27)</f>
        <v/>
      </c>
      <c r="Q140" s="17" t="str">
        <f aca="false">IF(B140="","",IFERROR(INDEX(Confeccion!$B$5:$B$100,MATCH(K140,Confeccion!$A$5:$A$100,0)),0))</f>
        <v/>
      </c>
      <c r="R140" s="17" t="str">
        <f aca="false">IF(B140="","",N(L140))</f>
        <v/>
      </c>
      <c r="S140" s="18" t="str">
        <f aca="false">IF(B140="","",IF(AND(F140&lt;&gt;"",ISNUMBER(G140),ISNUMBER(IFERROR(INDEX(Precios!$D$5:$D$120,MATCH(F140,Precios!$A$5:$A$120,0)),"x")),OR(H140="",ISNUMBER(IFERROR(INDEX(Precios!$D$5:$D$120,MATCH(H140,Precios!$A$5:$A$120,0)),"x"))),J140&lt;&gt;"",K140&lt;&gt;"",Q140&gt;0),SUM(O140:R140),""))</f>
        <v/>
      </c>
      <c r="T140" s="17" t="str">
        <f aca="false">IF(AND(S140&lt;&gt;"",ISNUMBER(E140)),E140*Parametros!$B$12,"")</f>
        <v/>
      </c>
      <c r="U140" s="17" t="str">
        <f aca="false">IF(AND(S140&lt;&gt;"",ISNUMBER(E140)),E140*Parametros!$B$13,"")</f>
        <v/>
      </c>
      <c r="V140" s="18" t="str">
        <f aca="false">IF(AND(S140&lt;&gt;"",ISNUMBER(E140)),E140-S140-T140-U140,"")</f>
        <v/>
      </c>
      <c r="W140" s="19" t="str">
        <f aca="false">IF(AND(S140&lt;&gt;"",ISNUMBER(E140)),V140/E140,"")</f>
        <v/>
      </c>
      <c r="X140" s="17" t="str">
        <f aca="false">IF(OR(S140="",Parametros!$B$14&gt;=1),"",S140/(1-Parametros!$B$14))</f>
        <v/>
      </c>
      <c r="Y140" s="17" t="str">
        <f aca="false">IF(OR(S140="",Parametros!$B$14+Parametros!$B$18&gt;=1),"",S140/(1-Parametros!$B$14-Parametros!$B$18))</f>
        <v/>
      </c>
      <c r="Z140" s="20" t="str">
        <f aca="false">IF(B140="","",IF(S140="","FALTAN DATOS",IF(NOT(ISNUMBER(E140)),"FALTA PRECIO",IF(V140&lt;0,"PIERDE",IF(W140&lt;Parametros!$B$18,"BAJO META","OK")))))</f>
        <v/>
      </c>
      <c r="AA140" s="21" t="str">
        <f aca="false">IF(B140="","",IF(F140="","Tela. ","")&amp;IF(NOT(ISNUMBER(G140)),"Kg de tela. ","")&amp;IF(AND(F140&lt;&gt;"",NOT(ISNUMBER(IFERROR(INDEX(Precios!$D$5:$D$120,MATCH(F140,Precios!$A$5:$A$120,0)),"x")))),"Tela sin precio. ","")&amp;IF(AND(H140&lt;&gt;"",NOT(ISNUMBER(IFERROR(INDEX(Precios!$D$5:$D$120,MATCH(H140,Precios!$A$5:$A$120,0)),"x")))),"Tela 2 sin precio. ","")&amp;IF(J140="","Metros impresos. ","")&amp;IF(AND(N(J140)&gt;0,Parametros!$B$27=0),"Impresión sin costo. ","")&amp;IF(K140="","Confección. ",IF(Q140=0,"Confección sin valor. ",""))&amp;IF(NOT(ISNUMBER(E140)),"Precio de venta. ",""))</f>
        <v/>
      </c>
    </row>
    <row r="141" customFormat="false" ht="15" hidden="false" customHeight="false" outlineLevel="0" collapsed="false">
      <c r="A141" s="22"/>
      <c r="B141" s="22"/>
      <c r="C141" s="22"/>
      <c r="D141" s="13"/>
      <c r="E141" s="12"/>
      <c r="F141" s="13"/>
      <c r="G141" s="14"/>
      <c r="H141" s="13"/>
      <c r="I141" s="14"/>
      <c r="J141" s="15"/>
      <c r="K141" s="13"/>
      <c r="L141" s="12"/>
      <c r="M141" s="13"/>
      <c r="O141" s="17" t="str">
        <f aca="false">IF(B141="","",IFERROR(G141*INDEX(Precios!$D$5:$D$120,MATCH(F141,Precios!$A$5:$A$120,0)),0)+IF(H141="",0,IFERROR(I141*INDEX(Precios!$D$5:$D$120,MATCH(H141,Precios!$A$5:$A$120,0)),0)))</f>
        <v/>
      </c>
      <c r="P141" s="17" t="str">
        <f aca="false">IF(B141="","",N(J141)*Parametros!$B$27)</f>
        <v/>
      </c>
      <c r="Q141" s="17" t="str">
        <f aca="false">IF(B141="","",IFERROR(INDEX(Confeccion!$B$5:$B$100,MATCH(K141,Confeccion!$A$5:$A$100,0)),0))</f>
        <v/>
      </c>
      <c r="R141" s="17" t="str">
        <f aca="false">IF(B141="","",N(L141))</f>
        <v/>
      </c>
      <c r="S141" s="18" t="str">
        <f aca="false">IF(B141="","",IF(AND(F141&lt;&gt;"",ISNUMBER(G141),ISNUMBER(IFERROR(INDEX(Precios!$D$5:$D$120,MATCH(F141,Precios!$A$5:$A$120,0)),"x")),OR(H141="",ISNUMBER(IFERROR(INDEX(Precios!$D$5:$D$120,MATCH(H141,Precios!$A$5:$A$120,0)),"x"))),J141&lt;&gt;"",K141&lt;&gt;"",Q141&gt;0),SUM(O141:R141),""))</f>
        <v/>
      </c>
      <c r="T141" s="17" t="str">
        <f aca="false">IF(AND(S141&lt;&gt;"",ISNUMBER(E141)),E141*Parametros!$B$12,"")</f>
        <v/>
      </c>
      <c r="U141" s="17" t="str">
        <f aca="false">IF(AND(S141&lt;&gt;"",ISNUMBER(E141)),E141*Parametros!$B$13,"")</f>
        <v/>
      </c>
      <c r="V141" s="18" t="str">
        <f aca="false">IF(AND(S141&lt;&gt;"",ISNUMBER(E141)),E141-S141-T141-U141,"")</f>
        <v/>
      </c>
      <c r="W141" s="19" t="str">
        <f aca="false">IF(AND(S141&lt;&gt;"",ISNUMBER(E141)),V141/E141,"")</f>
        <v/>
      </c>
      <c r="X141" s="17" t="str">
        <f aca="false">IF(OR(S141="",Parametros!$B$14&gt;=1),"",S141/(1-Parametros!$B$14))</f>
        <v/>
      </c>
      <c r="Y141" s="17" t="str">
        <f aca="false">IF(OR(S141="",Parametros!$B$14+Parametros!$B$18&gt;=1),"",S141/(1-Parametros!$B$14-Parametros!$B$18))</f>
        <v/>
      </c>
      <c r="Z141" s="20" t="str">
        <f aca="false">IF(B141="","",IF(S141="","FALTAN DATOS",IF(NOT(ISNUMBER(E141)),"FALTA PRECIO",IF(V141&lt;0,"PIERDE",IF(W141&lt;Parametros!$B$18,"BAJO META","OK")))))</f>
        <v/>
      </c>
      <c r="AA141" s="21" t="str">
        <f aca="false">IF(B141="","",IF(F141="","Tela. ","")&amp;IF(NOT(ISNUMBER(G141)),"Kg de tela. ","")&amp;IF(AND(F141&lt;&gt;"",NOT(ISNUMBER(IFERROR(INDEX(Precios!$D$5:$D$120,MATCH(F141,Precios!$A$5:$A$120,0)),"x")))),"Tela sin precio. ","")&amp;IF(AND(H141&lt;&gt;"",NOT(ISNUMBER(IFERROR(INDEX(Precios!$D$5:$D$120,MATCH(H141,Precios!$A$5:$A$120,0)),"x")))),"Tela 2 sin precio. ","")&amp;IF(J141="","Metros impresos. ","")&amp;IF(AND(N(J141)&gt;0,Parametros!$B$27=0),"Impresión sin costo. ","")&amp;IF(K141="","Confección. ",IF(Q141=0,"Confección sin valor. ",""))&amp;IF(NOT(ISNUMBER(E141)),"Precio de venta. ",""))</f>
        <v/>
      </c>
    </row>
    <row r="142" customFormat="false" ht="15" hidden="false" customHeight="false" outlineLevel="0" collapsed="false">
      <c r="A142" s="22"/>
      <c r="B142" s="22"/>
      <c r="C142" s="22"/>
      <c r="D142" s="13"/>
      <c r="E142" s="12"/>
      <c r="F142" s="13"/>
      <c r="G142" s="14"/>
      <c r="H142" s="13"/>
      <c r="I142" s="14"/>
      <c r="J142" s="15"/>
      <c r="K142" s="13"/>
      <c r="L142" s="12"/>
      <c r="M142" s="13"/>
      <c r="O142" s="17" t="str">
        <f aca="false">IF(B142="","",IFERROR(G142*INDEX(Precios!$D$5:$D$120,MATCH(F142,Precios!$A$5:$A$120,0)),0)+IF(H142="",0,IFERROR(I142*INDEX(Precios!$D$5:$D$120,MATCH(H142,Precios!$A$5:$A$120,0)),0)))</f>
        <v/>
      </c>
      <c r="P142" s="17" t="str">
        <f aca="false">IF(B142="","",N(J142)*Parametros!$B$27)</f>
        <v/>
      </c>
      <c r="Q142" s="17" t="str">
        <f aca="false">IF(B142="","",IFERROR(INDEX(Confeccion!$B$5:$B$100,MATCH(K142,Confeccion!$A$5:$A$100,0)),0))</f>
        <v/>
      </c>
      <c r="R142" s="17" t="str">
        <f aca="false">IF(B142="","",N(L142))</f>
        <v/>
      </c>
      <c r="S142" s="18" t="str">
        <f aca="false">IF(B142="","",IF(AND(F142&lt;&gt;"",ISNUMBER(G142),ISNUMBER(IFERROR(INDEX(Precios!$D$5:$D$120,MATCH(F142,Precios!$A$5:$A$120,0)),"x")),OR(H142="",ISNUMBER(IFERROR(INDEX(Precios!$D$5:$D$120,MATCH(H142,Precios!$A$5:$A$120,0)),"x"))),J142&lt;&gt;"",K142&lt;&gt;"",Q142&gt;0),SUM(O142:R142),""))</f>
        <v/>
      </c>
      <c r="T142" s="17" t="str">
        <f aca="false">IF(AND(S142&lt;&gt;"",ISNUMBER(E142)),E142*Parametros!$B$12,"")</f>
        <v/>
      </c>
      <c r="U142" s="17" t="str">
        <f aca="false">IF(AND(S142&lt;&gt;"",ISNUMBER(E142)),E142*Parametros!$B$13,"")</f>
        <v/>
      </c>
      <c r="V142" s="18" t="str">
        <f aca="false">IF(AND(S142&lt;&gt;"",ISNUMBER(E142)),E142-S142-T142-U142,"")</f>
        <v/>
      </c>
      <c r="W142" s="19" t="str">
        <f aca="false">IF(AND(S142&lt;&gt;"",ISNUMBER(E142)),V142/E142,"")</f>
        <v/>
      </c>
      <c r="X142" s="17" t="str">
        <f aca="false">IF(OR(S142="",Parametros!$B$14&gt;=1),"",S142/(1-Parametros!$B$14))</f>
        <v/>
      </c>
      <c r="Y142" s="17" t="str">
        <f aca="false">IF(OR(S142="",Parametros!$B$14+Parametros!$B$18&gt;=1),"",S142/(1-Parametros!$B$14-Parametros!$B$18))</f>
        <v/>
      </c>
      <c r="Z142" s="20" t="str">
        <f aca="false">IF(B142="","",IF(S142="","FALTAN DATOS",IF(NOT(ISNUMBER(E142)),"FALTA PRECIO",IF(V142&lt;0,"PIERDE",IF(W142&lt;Parametros!$B$18,"BAJO META","OK")))))</f>
        <v/>
      </c>
      <c r="AA142" s="21" t="str">
        <f aca="false">IF(B142="","",IF(F142="","Tela. ","")&amp;IF(NOT(ISNUMBER(G142)),"Kg de tela. ","")&amp;IF(AND(F142&lt;&gt;"",NOT(ISNUMBER(IFERROR(INDEX(Precios!$D$5:$D$120,MATCH(F142,Precios!$A$5:$A$120,0)),"x")))),"Tela sin precio. ","")&amp;IF(AND(H142&lt;&gt;"",NOT(ISNUMBER(IFERROR(INDEX(Precios!$D$5:$D$120,MATCH(H142,Precios!$A$5:$A$120,0)),"x")))),"Tela 2 sin precio. ","")&amp;IF(J142="","Metros impresos. ","")&amp;IF(AND(N(J142)&gt;0,Parametros!$B$27=0),"Impresión sin costo. ","")&amp;IF(K142="","Confección. ",IF(Q142=0,"Confección sin valor. ",""))&amp;IF(NOT(ISNUMBER(E142)),"Precio de venta. ",""))</f>
        <v/>
      </c>
    </row>
    <row r="143" customFormat="false" ht="15" hidden="false" customHeight="false" outlineLevel="0" collapsed="false">
      <c r="A143" s="22"/>
      <c r="B143" s="22"/>
      <c r="C143" s="22"/>
      <c r="D143" s="13"/>
      <c r="E143" s="12"/>
      <c r="F143" s="13"/>
      <c r="G143" s="14"/>
      <c r="H143" s="13"/>
      <c r="I143" s="14"/>
      <c r="J143" s="15"/>
      <c r="K143" s="13"/>
      <c r="L143" s="12"/>
      <c r="M143" s="13"/>
      <c r="O143" s="17" t="str">
        <f aca="false">IF(B143="","",IFERROR(G143*INDEX(Precios!$D$5:$D$120,MATCH(F143,Precios!$A$5:$A$120,0)),0)+IF(H143="",0,IFERROR(I143*INDEX(Precios!$D$5:$D$120,MATCH(H143,Precios!$A$5:$A$120,0)),0)))</f>
        <v/>
      </c>
      <c r="P143" s="17" t="str">
        <f aca="false">IF(B143="","",N(J143)*Parametros!$B$27)</f>
        <v/>
      </c>
      <c r="Q143" s="17" t="str">
        <f aca="false">IF(B143="","",IFERROR(INDEX(Confeccion!$B$5:$B$100,MATCH(K143,Confeccion!$A$5:$A$100,0)),0))</f>
        <v/>
      </c>
      <c r="R143" s="17" t="str">
        <f aca="false">IF(B143="","",N(L143))</f>
        <v/>
      </c>
      <c r="S143" s="18" t="str">
        <f aca="false">IF(B143="","",IF(AND(F143&lt;&gt;"",ISNUMBER(G143),ISNUMBER(IFERROR(INDEX(Precios!$D$5:$D$120,MATCH(F143,Precios!$A$5:$A$120,0)),"x")),OR(H143="",ISNUMBER(IFERROR(INDEX(Precios!$D$5:$D$120,MATCH(H143,Precios!$A$5:$A$120,0)),"x"))),J143&lt;&gt;"",K143&lt;&gt;"",Q143&gt;0),SUM(O143:R143),""))</f>
        <v/>
      </c>
      <c r="T143" s="17" t="str">
        <f aca="false">IF(AND(S143&lt;&gt;"",ISNUMBER(E143)),E143*Parametros!$B$12,"")</f>
        <v/>
      </c>
      <c r="U143" s="17" t="str">
        <f aca="false">IF(AND(S143&lt;&gt;"",ISNUMBER(E143)),E143*Parametros!$B$13,"")</f>
        <v/>
      </c>
      <c r="V143" s="18" t="str">
        <f aca="false">IF(AND(S143&lt;&gt;"",ISNUMBER(E143)),E143-S143-T143-U143,"")</f>
        <v/>
      </c>
      <c r="W143" s="19" t="str">
        <f aca="false">IF(AND(S143&lt;&gt;"",ISNUMBER(E143)),V143/E143,"")</f>
        <v/>
      </c>
      <c r="X143" s="17" t="str">
        <f aca="false">IF(OR(S143="",Parametros!$B$14&gt;=1),"",S143/(1-Parametros!$B$14))</f>
        <v/>
      </c>
      <c r="Y143" s="17" t="str">
        <f aca="false">IF(OR(S143="",Parametros!$B$14+Parametros!$B$18&gt;=1),"",S143/(1-Parametros!$B$14-Parametros!$B$18))</f>
        <v/>
      </c>
      <c r="Z143" s="20" t="str">
        <f aca="false">IF(B143="","",IF(S143="","FALTAN DATOS",IF(NOT(ISNUMBER(E143)),"FALTA PRECIO",IF(V143&lt;0,"PIERDE",IF(W143&lt;Parametros!$B$18,"BAJO META","OK")))))</f>
        <v/>
      </c>
      <c r="AA143" s="21" t="str">
        <f aca="false">IF(B143="","",IF(F143="","Tela. ","")&amp;IF(NOT(ISNUMBER(G143)),"Kg de tela. ","")&amp;IF(AND(F143&lt;&gt;"",NOT(ISNUMBER(IFERROR(INDEX(Precios!$D$5:$D$120,MATCH(F143,Precios!$A$5:$A$120,0)),"x")))),"Tela sin precio. ","")&amp;IF(AND(H143&lt;&gt;"",NOT(ISNUMBER(IFERROR(INDEX(Precios!$D$5:$D$120,MATCH(H143,Precios!$A$5:$A$120,0)),"x")))),"Tela 2 sin precio. ","")&amp;IF(J143="","Metros impresos. ","")&amp;IF(AND(N(J143)&gt;0,Parametros!$B$27=0),"Impresión sin costo. ","")&amp;IF(K143="","Confección. ",IF(Q143=0,"Confección sin valor. ",""))&amp;IF(NOT(ISNUMBER(E143)),"Precio de venta. ",""))</f>
        <v/>
      </c>
    </row>
    <row r="144" customFormat="false" ht="15" hidden="false" customHeight="false" outlineLevel="0" collapsed="false">
      <c r="A144" s="22"/>
      <c r="B144" s="22"/>
      <c r="C144" s="22"/>
      <c r="D144" s="13"/>
      <c r="E144" s="12"/>
      <c r="F144" s="13"/>
      <c r="G144" s="14"/>
      <c r="H144" s="13"/>
      <c r="I144" s="14"/>
      <c r="J144" s="15"/>
      <c r="K144" s="13"/>
      <c r="L144" s="12"/>
      <c r="M144" s="13"/>
      <c r="O144" s="17" t="str">
        <f aca="false">IF(B144="","",IFERROR(G144*INDEX(Precios!$D$5:$D$120,MATCH(F144,Precios!$A$5:$A$120,0)),0)+IF(H144="",0,IFERROR(I144*INDEX(Precios!$D$5:$D$120,MATCH(H144,Precios!$A$5:$A$120,0)),0)))</f>
        <v/>
      </c>
      <c r="P144" s="17" t="str">
        <f aca="false">IF(B144="","",N(J144)*Parametros!$B$27)</f>
        <v/>
      </c>
      <c r="Q144" s="17" t="str">
        <f aca="false">IF(B144="","",IFERROR(INDEX(Confeccion!$B$5:$B$100,MATCH(K144,Confeccion!$A$5:$A$100,0)),0))</f>
        <v/>
      </c>
      <c r="R144" s="17" t="str">
        <f aca="false">IF(B144="","",N(L144))</f>
        <v/>
      </c>
      <c r="S144" s="18" t="str">
        <f aca="false">IF(B144="","",IF(AND(F144&lt;&gt;"",ISNUMBER(G144),ISNUMBER(IFERROR(INDEX(Precios!$D$5:$D$120,MATCH(F144,Precios!$A$5:$A$120,0)),"x")),OR(H144="",ISNUMBER(IFERROR(INDEX(Precios!$D$5:$D$120,MATCH(H144,Precios!$A$5:$A$120,0)),"x"))),J144&lt;&gt;"",K144&lt;&gt;"",Q144&gt;0),SUM(O144:R144),""))</f>
        <v/>
      </c>
      <c r="T144" s="17" t="str">
        <f aca="false">IF(AND(S144&lt;&gt;"",ISNUMBER(E144)),E144*Parametros!$B$12,"")</f>
        <v/>
      </c>
      <c r="U144" s="17" t="str">
        <f aca="false">IF(AND(S144&lt;&gt;"",ISNUMBER(E144)),E144*Parametros!$B$13,"")</f>
        <v/>
      </c>
      <c r="V144" s="18" t="str">
        <f aca="false">IF(AND(S144&lt;&gt;"",ISNUMBER(E144)),E144-S144-T144-U144,"")</f>
        <v/>
      </c>
      <c r="W144" s="19" t="str">
        <f aca="false">IF(AND(S144&lt;&gt;"",ISNUMBER(E144)),V144/E144,"")</f>
        <v/>
      </c>
      <c r="X144" s="17" t="str">
        <f aca="false">IF(OR(S144="",Parametros!$B$14&gt;=1),"",S144/(1-Parametros!$B$14))</f>
        <v/>
      </c>
      <c r="Y144" s="17" t="str">
        <f aca="false">IF(OR(S144="",Parametros!$B$14+Parametros!$B$18&gt;=1),"",S144/(1-Parametros!$B$14-Parametros!$B$18))</f>
        <v/>
      </c>
      <c r="Z144" s="20" t="str">
        <f aca="false">IF(B144="","",IF(S144="","FALTAN DATOS",IF(NOT(ISNUMBER(E144)),"FALTA PRECIO",IF(V144&lt;0,"PIERDE",IF(W144&lt;Parametros!$B$18,"BAJO META","OK")))))</f>
        <v/>
      </c>
      <c r="AA144" s="21" t="str">
        <f aca="false">IF(B144="","",IF(F144="","Tela. ","")&amp;IF(NOT(ISNUMBER(G144)),"Kg de tela. ","")&amp;IF(AND(F144&lt;&gt;"",NOT(ISNUMBER(IFERROR(INDEX(Precios!$D$5:$D$120,MATCH(F144,Precios!$A$5:$A$120,0)),"x")))),"Tela sin precio. ","")&amp;IF(AND(H144&lt;&gt;"",NOT(ISNUMBER(IFERROR(INDEX(Precios!$D$5:$D$120,MATCH(H144,Precios!$A$5:$A$120,0)),"x")))),"Tela 2 sin precio. ","")&amp;IF(J144="","Metros impresos. ","")&amp;IF(AND(N(J144)&gt;0,Parametros!$B$27=0),"Impresión sin costo. ","")&amp;IF(K144="","Confección. ",IF(Q144=0,"Confección sin valor. ",""))&amp;IF(NOT(ISNUMBER(E144)),"Precio de venta. ",""))</f>
        <v/>
      </c>
    </row>
    <row r="145" customFormat="false" ht="15" hidden="false" customHeight="false" outlineLevel="0" collapsed="false">
      <c r="A145" s="22"/>
      <c r="B145" s="22"/>
      <c r="C145" s="22"/>
      <c r="D145" s="13"/>
      <c r="E145" s="12"/>
      <c r="F145" s="13"/>
      <c r="G145" s="14"/>
      <c r="H145" s="13"/>
      <c r="I145" s="14"/>
      <c r="J145" s="15"/>
      <c r="K145" s="13"/>
      <c r="L145" s="12"/>
      <c r="M145" s="13"/>
      <c r="O145" s="17" t="str">
        <f aca="false">IF(B145="","",IFERROR(G145*INDEX(Precios!$D$5:$D$120,MATCH(F145,Precios!$A$5:$A$120,0)),0)+IF(H145="",0,IFERROR(I145*INDEX(Precios!$D$5:$D$120,MATCH(H145,Precios!$A$5:$A$120,0)),0)))</f>
        <v/>
      </c>
      <c r="P145" s="17" t="str">
        <f aca="false">IF(B145="","",N(J145)*Parametros!$B$27)</f>
        <v/>
      </c>
      <c r="Q145" s="17" t="str">
        <f aca="false">IF(B145="","",IFERROR(INDEX(Confeccion!$B$5:$B$100,MATCH(K145,Confeccion!$A$5:$A$100,0)),0))</f>
        <v/>
      </c>
      <c r="R145" s="17" t="str">
        <f aca="false">IF(B145="","",N(L145))</f>
        <v/>
      </c>
      <c r="S145" s="18" t="str">
        <f aca="false">IF(B145="","",IF(AND(F145&lt;&gt;"",ISNUMBER(G145),ISNUMBER(IFERROR(INDEX(Precios!$D$5:$D$120,MATCH(F145,Precios!$A$5:$A$120,0)),"x")),OR(H145="",ISNUMBER(IFERROR(INDEX(Precios!$D$5:$D$120,MATCH(H145,Precios!$A$5:$A$120,0)),"x"))),J145&lt;&gt;"",K145&lt;&gt;"",Q145&gt;0),SUM(O145:R145),""))</f>
        <v/>
      </c>
      <c r="T145" s="17" t="str">
        <f aca="false">IF(AND(S145&lt;&gt;"",ISNUMBER(E145)),E145*Parametros!$B$12,"")</f>
        <v/>
      </c>
      <c r="U145" s="17" t="str">
        <f aca="false">IF(AND(S145&lt;&gt;"",ISNUMBER(E145)),E145*Parametros!$B$13,"")</f>
        <v/>
      </c>
      <c r="V145" s="18" t="str">
        <f aca="false">IF(AND(S145&lt;&gt;"",ISNUMBER(E145)),E145-S145-T145-U145,"")</f>
        <v/>
      </c>
      <c r="W145" s="19" t="str">
        <f aca="false">IF(AND(S145&lt;&gt;"",ISNUMBER(E145)),V145/E145,"")</f>
        <v/>
      </c>
      <c r="X145" s="17" t="str">
        <f aca="false">IF(OR(S145="",Parametros!$B$14&gt;=1),"",S145/(1-Parametros!$B$14))</f>
        <v/>
      </c>
      <c r="Y145" s="17" t="str">
        <f aca="false">IF(OR(S145="",Parametros!$B$14+Parametros!$B$18&gt;=1),"",S145/(1-Parametros!$B$14-Parametros!$B$18))</f>
        <v/>
      </c>
      <c r="Z145" s="20" t="str">
        <f aca="false">IF(B145="","",IF(S145="","FALTAN DATOS",IF(NOT(ISNUMBER(E145)),"FALTA PRECIO",IF(V145&lt;0,"PIERDE",IF(W145&lt;Parametros!$B$18,"BAJO META","OK")))))</f>
        <v/>
      </c>
      <c r="AA145" s="21" t="str">
        <f aca="false">IF(B145="","",IF(F145="","Tela. ","")&amp;IF(NOT(ISNUMBER(G145)),"Kg de tela. ","")&amp;IF(AND(F145&lt;&gt;"",NOT(ISNUMBER(IFERROR(INDEX(Precios!$D$5:$D$120,MATCH(F145,Precios!$A$5:$A$120,0)),"x")))),"Tela sin precio. ","")&amp;IF(AND(H145&lt;&gt;"",NOT(ISNUMBER(IFERROR(INDEX(Precios!$D$5:$D$120,MATCH(H145,Precios!$A$5:$A$120,0)),"x")))),"Tela 2 sin precio. ","")&amp;IF(J145="","Metros impresos. ","")&amp;IF(AND(N(J145)&gt;0,Parametros!$B$27=0),"Impresión sin costo. ","")&amp;IF(K145="","Confección. ",IF(Q145=0,"Confección sin valor. ",""))&amp;IF(NOT(ISNUMBER(E145)),"Precio de venta. ",""))</f>
        <v/>
      </c>
    </row>
    <row r="146" customFormat="false" ht="15" hidden="false" customHeight="false" outlineLevel="0" collapsed="false">
      <c r="A146" s="22"/>
      <c r="B146" s="22"/>
      <c r="C146" s="22"/>
      <c r="D146" s="13"/>
      <c r="E146" s="12"/>
      <c r="F146" s="13"/>
      <c r="G146" s="14"/>
      <c r="H146" s="13"/>
      <c r="I146" s="14"/>
      <c r="J146" s="15"/>
      <c r="K146" s="13"/>
      <c r="L146" s="12"/>
      <c r="M146" s="13"/>
      <c r="O146" s="17" t="str">
        <f aca="false">IF(B146="","",IFERROR(G146*INDEX(Precios!$D$5:$D$120,MATCH(F146,Precios!$A$5:$A$120,0)),0)+IF(H146="",0,IFERROR(I146*INDEX(Precios!$D$5:$D$120,MATCH(H146,Precios!$A$5:$A$120,0)),0)))</f>
        <v/>
      </c>
      <c r="P146" s="17" t="str">
        <f aca="false">IF(B146="","",N(J146)*Parametros!$B$27)</f>
        <v/>
      </c>
      <c r="Q146" s="17" t="str">
        <f aca="false">IF(B146="","",IFERROR(INDEX(Confeccion!$B$5:$B$100,MATCH(K146,Confeccion!$A$5:$A$100,0)),0))</f>
        <v/>
      </c>
      <c r="R146" s="17" t="str">
        <f aca="false">IF(B146="","",N(L146))</f>
        <v/>
      </c>
      <c r="S146" s="18" t="str">
        <f aca="false">IF(B146="","",IF(AND(F146&lt;&gt;"",ISNUMBER(G146),ISNUMBER(IFERROR(INDEX(Precios!$D$5:$D$120,MATCH(F146,Precios!$A$5:$A$120,0)),"x")),OR(H146="",ISNUMBER(IFERROR(INDEX(Precios!$D$5:$D$120,MATCH(H146,Precios!$A$5:$A$120,0)),"x"))),J146&lt;&gt;"",K146&lt;&gt;"",Q146&gt;0),SUM(O146:R146),""))</f>
        <v/>
      </c>
      <c r="T146" s="17" t="str">
        <f aca="false">IF(AND(S146&lt;&gt;"",ISNUMBER(E146)),E146*Parametros!$B$12,"")</f>
        <v/>
      </c>
      <c r="U146" s="17" t="str">
        <f aca="false">IF(AND(S146&lt;&gt;"",ISNUMBER(E146)),E146*Parametros!$B$13,"")</f>
        <v/>
      </c>
      <c r="V146" s="18" t="str">
        <f aca="false">IF(AND(S146&lt;&gt;"",ISNUMBER(E146)),E146-S146-T146-U146,"")</f>
        <v/>
      </c>
      <c r="W146" s="19" t="str">
        <f aca="false">IF(AND(S146&lt;&gt;"",ISNUMBER(E146)),V146/E146,"")</f>
        <v/>
      </c>
      <c r="X146" s="17" t="str">
        <f aca="false">IF(OR(S146="",Parametros!$B$14&gt;=1),"",S146/(1-Parametros!$B$14))</f>
        <v/>
      </c>
      <c r="Y146" s="17" t="str">
        <f aca="false">IF(OR(S146="",Parametros!$B$14+Parametros!$B$18&gt;=1),"",S146/(1-Parametros!$B$14-Parametros!$B$18))</f>
        <v/>
      </c>
      <c r="Z146" s="20" t="str">
        <f aca="false">IF(B146="","",IF(S146="","FALTAN DATOS",IF(NOT(ISNUMBER(E146)),"FALTA PRECIO",IF(V146&lt;0,"PIERDE",IF(W146&lt;Parametros!$B$18,"BAJO META","OK")))))</f>
        <v/>
      </c>
      <c r="AA146" s="21" t="str">
        <f aca="false">IF(B146="","",IF(F146="","Tela. ","")&amp;IF(NOT(ISNUMBER(G146)),"Kg de tela. ","")&amp;IF(AND(F146&lt;&gt;"",NOT(ISNUMBER(IFERROR(INDEX(Precios!$D$5:$D$120,MATCH(F146,Precios!$A$5:$A$120,0)),"x")))),"Tela sin precio. ","")&amp;IF(AND(H146&lt;&gt;"",NOT(ISNUMBER(IFERROR(INDEX(Precios!$D$5:$D$120,MATCH(H146,Precios!$A$5:$A$120,0)),"x")))),"Tela 2 sin precio. ","")&amp;IF(J146="","Metros impresos. ","")&amp;IF(AND(N(J146)&gt;0,Parametros!$B$27=0),"Impresión sin costo. ","")&amp;IF(K146="","Confección. ",IF(Q146=0,"Confección sin valor. ",""))&amp;IF(NOT(ISNUMBER(E146)),"Precio de venta. ",""))</f>
        <v/>
      </c>
    </row>
    <row r="147" customFormat="false" ht="15" hidden="false" customHeight="false" outlineLevel="0" collapsed="false">
      <c r="A147" s="22"/>
      <c r="B147" s="22"/>
      <c r="C147" s="22"/>
      <c r="D147" s="13"/>
      <c r="E147" s="12"/>
      <c r="F147" s="13"/>
      <c r="G147" s="14"/>
      <c r="H147" s="13"/>
      <c r="I147" s="14"/>
      <c r="J147" s="15"/>
      <c r="K147" s="13"/>
      <c r="L147" s="12"/>
      <c r="M147" s="13"/>
      <c r="O147" s="17" t="str">
        <f aca="false">IF(B147="","",IFERROR(G147*INDEX(Precios!$D$5:$D$120,MATCH(F147,Precios!$A$5:$A$120,0)),0)+IF(H147="",0,IFERROR(I147*INDEX(Precios!$D$5:$D$120,MATCH(H147,Precios!$A$5:$A$120,0)),0)))</f>
        <v/>
      </c>
      <c r="P147" s="17" t="str">
        <f aca="false">IF(B147="","",N(J147)*Parametros!$B$27)</f>
        <v/>
      </c>
      <c r="Q147" s="17" t="str">
        <f aca="false">IF(B147="","",IFERROR(INDEX(Confeccion!$B$5:$B$100,MATCH(K147,Confeccion!$A$5:$A$100,0)),0))</f>
        <v/>
      </c>
      <c r="R147" s="17" t="str">
        <f aca="false">IF(B147="","",N(L147))</f>
        <v/>
      </c>
      <c r="S147" s="18" t="str">
        <f aca="false">IF(B147="","",IF(AND(F147&lt;&gt;"",ISNUMBER(G147),ISNUMBER(IFERROR(INDEX(Precios!$D$5:$D$120,MATCH(F147,Precios!$A$5:$A$120,0)),"x")),OR(H147="",ISNUMBER(IFERROR(INDEX(Precios!$D$5:$D$120,MATCH(H147,Precios!$A$5:$A$120,0)),"x"))),J147&lt;&gt;"",K147&lt;&gt;"",Q147&gt;0),SUM(O147:R147),""))</f>
        <v/>
      </c>
      <c r="T147" s="17" t="str">
        <f aca="false">IF(AND(S147&lt;&gt;"",ISNUMBER(E147)),E147*Parametros!$B$12,"")</f>
        <v/>
      </c>
      <c r="U147" s="17" t="str">
        <f aca="false">IF(AND(S147&lt;&gt;"",ISNUMBER(E147)),E147*Parametros!$B$13,"")</f>
        <v/>
      </c>
      <c r="V147" s="18" t="str">
        <f aca="false">IF(AND(S147&lt;&gt;"",ISNUMBER(E147)),E147-S147-T147-U147,"")</f>
        <v/>
      </c>
      <c r="W147" s="19" t="str">
        <f aca="false">IF(AND(S147&lt;&gt;"",ISNUMBER(E147)),V147/E147,"")</f>
        <v/>
      </c>
      <c r="X147" s="17" t="str">
        <f aca="false">IF(OR(S147="",Parametros!$B$14&gt;=1),"",S147/(1-Parametros!$B$14))</f>
        <v/>
      </c>
      <c r="Y147" s="17" t="str">
        <f aca="false">IF(OR(S147="",Parametros!$B$14+Parametros!$B$18&gt;=1),"",S147/(1-Parametros!$B$14-Parametros!$B$18))</f>
        <v/>
      </c>
      <c r="Z147" s="20" t="str">
        <f aca="false">IF(B147="","",IF(S147="","FALTAN DATOS",IF(NOT(ISNUMBER(E147)),"FALTA PRECIO",IF(V147&lt;0,"PIERDE",IF(W147&lt;Parametros!$B$18,"BAJO META","OK")))))</f>
        <v/>
      </c>
      <c r="AA147" s="21" t="str">
        <f aca="false">IF(B147="","",IF(F147="","Tela. ","")&amp;IF(NOT(ISNUMBER(G147)),"Kg de tela. ","")&amp;IF(AND(F147&lt;&gt;"",NOT(ISNUMBER(IFERROR(INDEX(Precios!$D$5:$D$120,MATCH(F147,Precios!$A$5:$A$120,0)),"x")))),"Tela sin precio. ","")&amp;IF(AND(H147&lt;&gt;"",NOT(ISNUMBER(IFERROR(INDEX(Precios!$D$5:$D$120,MATCH(H147,Precios!$A$5:$A$120,0)),"x")))),"Tela 2 sin precio. ","")&amp;IF(J147="","Metros impresos. ","")&amp;IF(AND(N(J147)&gt;0,Parametros!$B$27=0),"Impresión sin costo. ","")&amp;IF(K147="","Confección. ",IF(Q147=0,"Confección sin valor. ",""))&amp;IF(NOT(ISNUMBER(E147)),"Precio de venta. ",""))</f>
        <v/>
      </c>
    </row>
    <row r="148" customFormat="false" ht="15" hidden="false" customHeight="false" outlineLevel="0" collapsed="false">
      <c r="A148" s="22"/>
      <c r="B148" s="22"/>
      <c r="C148" s="22"/>
      <c r="D148" s="13"/>
      <c r="E148" s="12"/>
      <c r="F148" s="13"/>
      <c r="G148" s="14"/>
      <c r="H148" s="13"/>
      <c r="I148" s="14"/>
      <c r="J148" s="15"/>
      <c r="K148" s="13"/>
      <c r="L148" s="12"/>
      <c r="M148" s="13"/>
      <c r="O148" s="17" t="str">
        <f aca="false">IF(B148="","",IFERROR(G148*INDEX(Precios!$D$5:$D$120,MATCH(F148,Precios!$A$5:$A$120,0)),0)+IF(H148="",0,IFERROR(I148*INDEX(Precios!$D$5:$D$120,MATCH(H148,Precios!$A$5:$A$120,0)),0)))</f>
        <v/>
      </c>
      <c r="P148" s="17" t="str">
        <f aca="false">IF(B148="","",N(J148)*Parametros!$B$27)</f>
        <v/>
      </c>
      <c r="Q148" s="17" t="str">
        <f aca="false">IF(B148="","",IFERROR(INDEX(Confeccion!$B$5:$B$100,MATCH(K148,Confeccion!$A$5:$A$100,0)),0))</f>
        <v/>
      </c>
      <c r="R148" s="17" t="str">
        <f aca="false">IF(B148="","",N(L148))</f>
        <v/>
      </c>
      <c r="S148" s="18" t="str">
        <f aca="false">IF(B148="","",IF(AND(F148&lt;&gt;"",ISNUMBER(G148),ISNUMBER(IFERROR(INDEX(Precios!$D$5:$D$120,MATCH(F148,Precios!$A$5:$A$120,0)),"x")),OR(H148="",ISNUMBER(IFERROR(INDEX(Precios!$D$5:$D$120,MATCH(H148,Precios!$A$5:$A$120,0)),"x"))),J148&lt;&gt;"",K148&lt;&gt;"",Q148&gt;0),SUM(O148:R148),""))</f>
        <v/>
      </c>
      <c r="T148" s="17" t="str">
        <f aca="false">IF(AND(S148&lt;&gt;"",ISNUMBER(E148)),E148*Parametros!$B$12,"")</f>
        <v/>
      </c>
      <c r="U148" s="17" t="str">
        <f aca="false">IF(AND(S148&lt;&gt;"",ISNUMBER(E148)),E148*Parametros!$B$13,"")</f>
        <v/>
      </c>
      <c r="V148" s="18" t="str">
        <f aca="false">IF(AND(S148&lt;&gt;"",ISNUMBER(E148)),E148-S148-T148-U148,"")</f>
        <v/>
      </c>
      <c r="W148" s="19" t="str">
        <f aca="false">IF(AND(S148&lt;&gt;"",ISNUMBER(E148)),V148/E148,"")</f>
        <v/>
      </c>
      <c r="X148" s="17" t="str">
        <f aca="false">IF(OR(S148="",Parametros!$B$14&gt;=1),"",S148/(1-Parametros!$B$14))</f>
        <v/>
      </c>
      <c r="Y148" s="17" t="str">
        <f aca="false">IF(OR(S148="",Parametros!$B$14+Parametros!$B$18&gt;=1),"",S148/(1-Parametros!$B$14-Parametros!$B$18))</f>
        <v/>
      </c>
      <c r="Z148" s="20" t="str">
        <f aca="false">IF(B148="","",IF(S148="","FALTAN DATOS",IF(NOT(ISNUMBER(E148)),"FALTA PRECIO",IF(V148&lt;0,"PIERDE",IF(W148&lt;Parametros!$B$18,"BAJO META","OK")))))</f>
        <v/>
      </c>
      <c r="AA148" s="21" t="str">
        <f aca="false">IF(B148="","",IF(F148="","Tela. ","")&amp;IF(NOT(ISNUMBER(G148)),"Kg de tela. ","")&amp;IF(AND(F148&lt;&gt;"",NOT(ISNUMBER(IFERROR(INDEX(Precios!$D$5:$D$120,MATCH(F148,Precios!$A$5:$A$120,0)),"x")))),"Tela sin precio. ","")&amp;IF(AND(H148&lt;&gt;"",NOT(ISNUMBER(IFERROR(INDEX(Precios!$D$5:$D$120,MATCH(H148,Precios!$A$5:$A$120,0)),"x")))),"Tela 2 sin precio. ","")&amp;IF(J148="","Metros impresos. ","")&amp;IF(AND(N(J148)&gt;0,Parametros!$B$27=0),"Impresión sin costo. ","")&amp;IF(K148="","Confección. ",IF(Q148=0,"Confección sin valor. ",""))&amp;IF(NOT(ISNUMBER(E148)),"Precio de venta. ",""))</f>
        <v/>
      </c>
    </row>
    <row r="149" customFormat="false" ht="15" hidden="false" customHeight="false" outlineLevel="0" collapsed="false">
      <c r="A149" s="22"/>
      <c r="B149" s="22"/>
      <c r="C149" s="22"/>
      <c r="D149" s="13"/>
      <c r="E149" s="12"/>
      <c r="F149" s="13"/>
      <c r="G149" s="14"/>
      <c r="H149" s="13"/>
      <c r="I149" s="14"/>
      <c r="J149" s="15"/>
      <c r="K149" s="13"/>
      <c r="L149" s="12"/>
      <c r="M149" s="13"/>
      <c r="O149" s="17" t="str">
        <f aca="false">IF(B149="","",IFERROR(G149*INDEX(Precios!$D$5:$D$120,MATCH(F149,Precios!$A$5:$A$120,0)),0)+IF(H149="",0,IFERROR(I149*INDEX(Precios!$D$5:$D$120,MATCH(H149,Precios!$A$5:$A$120,0)),0)))</f>
        <v/>
      </c>
      <c r="P149" s="17" t="str">
        <f aca="false">IF(B149="","",N(J149)*Parametros!$B$27)</f>
        <v/>
      </c>
      <c r="Q149" s="17" t="str">
        <f aca="false">IF(B149="","",IFERROR(INDEX(Confeccion!$B$5:$B$100,MATCH(K149,Confeccion!$A$5:$A$100,0)),0))</f>
        <v/>
      </c>
      <c r="R149" s="17" t="str">
        <f aca="false">IF(B149="","",N(L149))</f>
        <v/>
      </c>
      <c r="S149" s="18" t="str">
        <f aca="false">IF(B149="","",IF(AND(F149&lt;&gt;"",ISNUMBER(G149),ISNUMBER(IFERROR(INDEX(Precios!$D$5:$D$120,MATCH(F149,Precios!$A$5:$A$120,0)),"x")),OR(H149="",ISNUMBER(IFERROR(INDEX(Precios!$D$5:$D$120,MATCH(H149,Precios!$A$5:$A$120,0)),"x"))),J149&lt;&gt;"",K149&lt;&gt;"",Q149&gt;0),SUM(O149:R149),""))</f>
        <v/>
      </c>
      <c r="T149" s="17" t="str">
        <f aca="false">IF(AND(S149&lt;&gt;"",ISNUMBER(E149)),E149*Parametros!$B$12,"")</f>
        <v/>
      </c>
      <c r="U149" s="17" t="str">
        <f aca="false">IF(AND(S149&lt;&gt;"",ISNUMBER(E149)),E149*Parametros!$B$13,"")</f>
        <v/>
      </c>
      <c r="V149" s="18" t="str">
        <f aca="false">IF(AND(S149&lt;&gt;"",ISNUMBER(E149)),E149-S149-T149-U149,"")</f>
        <v/>
      </c>
      <c r="W149" s="19" t="str">
        <f aca="false">IF(AND(S149&lt;&gt;"",ISNUMBER(E149)),V149/E149,"")</f>
        <v/>
      </c>
      <c r="X149" s="17" t="str">
        <f aca="false">IF(OR(S149="",Parametros!$B$14&gt;=1),"",S149/(1-Parametros!$B$14))</f>
        <v/>
      </c>
      <c r="Y149" s="17" t="str">
        <f aca="false">IF(OR(S149="",Parametros!$B$14+Parametros!$B$18&gt;=1),"",S149/(1-Parametros!$B$14-Parametros!$B$18))</f>
        <v/>
      </c>
      <c r="Z149" s="20" t="str">
        <f aca="false">IF(B149="","",IF(S149="","FALTAN DATOS",IF(NOT(ISNUMBER(E149)),"FALTA PRECIO",IF(V149&lt;0,"PIERDE",IF(W149&lt;Parametros!$B$18,"BAJO META","OK")))))</f>
        <v/>
      </c>
      <c r="AA149" s="21" t="str">
        <f aca="false">IF(B149="","",IF(F149="","Tela. ","")&amp;IF(NOT(ISNUMBER(G149)),"Kg de tela. ","")&amp;IF(AND(F149&lt;&gt;"",NOT(ISNUMBER(IFERROR(INDEX(Precios!$D$5:$D$120,MATCH(F149,Precios!$A$5:$A$120,0)),"x")))),"Tela sin precio. ","")&amp;IF(AND(H149&lt;&gt;"",NOT(ISNUMBER(IFERROR(INDEX(Precios!$D$5:$D$120,MATCH(H149,Precios!$A$5:$A$120,0)),"x")))),"Tela 2 sin precio. ","")&amp;IF(J149="","Metros impresos. ","")&amp;IF(AND(N(J149)&gt;0,Parametros!$B$27=0),"Impresión sin costo. ","")&amp;IF(K149="","Confección. ",IF(Q149=0,"Confección sin valor. ",""))&amp;IF(NOT(ISNUMBER(E149)),"Precio de venta. ",""))</f>
        <v/>
      </c>
    </row>
    <row r="150" customFormat="false" ht="15" hidden="false" customHeight="false" outlineLevel="0" collapsed="false">
      <c r="A150" s="22"/>
      <c r="B150" s="22"/>
      <c r="C150" s="22"/>
      <c r="D150" s="13"/>
      <c r="E150" s="12"/>
      <c r="F150" s="13"/>
      <c r="G150" s="14"/>
      <c r="H150" s="13"/>
      <c r="I150" s="14"/>
      <c r="J150" s="15"/>
      <c r="K150" s="13"/>
      <c r="L150" s="12"/>
      <c r="M150" s="13"/>
      <c r="O150" s="17" t="str">
        <f aca="false">IF(B150="","",IFERROR(G150*INDEX(Precios!$D$5:$D$120,MATCH(F150,Precios!$A$5:$A$120,0)),0)+IF(H150="",0,IFERROR(I150*INDEX(Precios!$D$5:$D$120,MATCH(H150,Precios!$A$5:$A$120,0)),0)))</f>
        <v/>
      </c>
      <c r="P150" s="17" t="str">
        <f aca="false">IF(B150="","",N(J150)*Parametros!$B$27)</f>
        <v/>
      </c>
      <c r="Q150" s="17" t="str">
        <f aca="false">IF(B150="","",IFERROR(INDEX(Confeccion!$B$5:$B$100,MATCH(K150,Confeccion!$A$5:$A$100,0)),0))</f>
        <v/>
      </c>
      <c r="R150" s="17" t="str">
        <f aca="false">IF(B150="","",N(L150))</f>
        <v/>
      </c>
      <c r="S150" s="18" t="str">
        <f aca="false">IF(B150="","",IF(AND(F150&lt;&gt;"",ISNUMBER(G150),ISNUMBER(IFERROR(INDEX(Precios!$D$5:$D$120,MATCH(F150,Precios!$A$5:$A$120,0)),"x")),OR(H150="",ISNUMBER(IFERROR(INDEX(Precios!$D$5:$D$120,MATCH(H150,Precios!$A$5:$A$120,0)),"x"))),J150&lt;&gt;"",K150&lt;&gt;"",Q150&gt;0),SUM(O150:R150),""))</f>
        <v/>
      </c>
      <c r="T150" s="17" t="str">
        <f aca="false">IF(AND(S150&lt;&gt;"",ISNUMBER(E150)),E150*Parametros!$B$12,"")</f>
        <v/>
      </c>
      <c r="U150" s="17" t="str">
        <f aca="false">IF(AND(S150&lt;&gt;"",ISNUMBER(E150)),E150*Parametros!$B$13,"")</f>
        <v/>
      </c>
      <c r="V150" s="18" t="str">
        <f aca="false">IF(AND(S150&lt;&gt;"",ISNUMBER(E150)),E150-S150-T150-U150,"")</f>
        <v/>
      </c>
      <c r="W150" s="19" t="str">
        <f aca="false">IF(AND(S150&lt;&gt;"",ISNUMBER(E150)),V150/E150,"")</f>
        <v/>
      </c>
      <c r="X150" s="17" t="str">
        <f aca="false">IF(OR(S150="",Parametros!$B$14&gt;=1),"",S150/(1-Parametros!$B$14))</f>
        <v/>
      </c>
      <c r="Y150" s="17" t="str">
        <f aca="false">IF(OR(S150="",Parametros!$B$14+Parametros!$B$18&gt;=1),"",S150/(1-Parametros!$B$14-Parametros!$B$18))</f>
        <v/>
      </c>
      <c r="Z150" s="20" t="str">
        <f aca="false">IF(B150="","",IF(S150="","FALTAN DATOS",IF(NOT(ISNUMBER(E150)),"FALTA PRECIO",IF(V150&lt;0,"PIERDE",IF(W150&lt;Parametros!$B$18,"BAJO META","OK")))))</f>
        <v/>
      </c>
      <c r="AA150" s="21" t="str">
        <f aca="false">IF(B150="","",IF(F150="","Tela. ","")&amp;IF(NOT(ISNUMBER(G150)),"Kg de tela. ","")&amp;IF(AND(F150&lt;&gt;"",NOT(ISNUMBER(IFERROR(INDEX(Precios!$D$5:$D$120,MATCH(F150,Precios!$A$5:$A$120,0)),"x")))),"Tela sin precio. ","")&amp;IF(AND(H150&lt;&gt;"",NOT(ISNUMBER(IFERROR(INDEX(Precios!$D$5:$D$120,MATCH(H150,Precios!$A$5:$A$120,0)),"x")))),"Tela 2 sin precio. ","")&amp;IF(J150="","Metros impresos. ","")&amp;IF(AND(N(J150)&gt;0,Parametros!$B$27=0),"Impresión sin costo. ","")&amp;IF(K150="","Confección. ",IF(Q150=0,"Confección sin valor. ",""))&amp;IF(NOT(ISNUMBER(E150)),"Precio de venta. ",""))</f>
        <v/>
      </c>
    </row>
    <row r="151" customFormat="false" ht="15" hidden="false" customHeight="false" outlineLevel="0" collapsed="false">
      <c r="A151" s="22"/>
      <c r="B151" s="22"/>
      <c r="C151" s="22"/>
      <c r="D151" s="13"/>
      <c r="E151" s="12"/>
      <c r="F151" s="13"/>
      <c r="G151" s="14"/>
      <c r="H151" s="13"/>
      <c r="I151" s="14"/>
      <c r="J151" s="15"/>
      <c r="K151" s="13"/>
      <c r="L151" s="12"/>
      <c r="M151" s="13"/>
      <c r="O151" s="17" t="str">
        <f aca="false">IF(B151="","",IFERROR(G151*INDEX(Precios!$D$5:$D$120,MATCH(F151,Precios!$A$5:$A$120,0)),0)+IF(H151="",0,IFERROR(I151*INDEX(Precios!$D$5:$D$120,MATCH(H151,Precios!$A$5:$A$120,0)),0)))</f>
        <v/>
      </c>
      <c r="P151" s="17" t="str">
        <f aca="false">IF(B151="","",N(J151)*Parametros!$B$27)</f>
        <v/>
      </c>
      <c r="Q151" s="17" t="str">
        <f aca="false">IF(B151="","",IFERROR(INDEX(Confeccion!$B$5:$B$100,MATCH(K151,Confeccion!$A$5:$A$100,0)),0))</f>
        <v/>
      </c>
      <c r="R151" s="17" t="str">
        <f aca="false">IF(B151="","",N(L151))</f>
        <v/>
      </c>
      <c r="S151" s="18" t="str">
        <f aca="false">IF(B151="","",IF(AND(F151&lt;&gt;"",ISNUMBER(G151),ISNUMBER(IFERROR(INDEX(Precios!$D$5:$D$120,MATCH(F151,Precios!$A$5:$A$120,0)),"x")),OR(H151="",ISNUMBER(IFERROR(INDEX(Precios!$D$5:$D$120,MATCH(H151,Precios!$A$5:$A$120,0)),"x"))),J151&lt;&gt;"",K151&lt;&gt;"",Q151&gt;0),SUM(O151:R151),""))</f>
        <v/>
      </c>
      <c r="T151" s="17" t="str">
        <f aca="false">IF(AND(S151&lt;&gt;"",ISNUMBER(E151)),E151*Parametros!$B$12,"")</f>
        <v/>
      </c>
      <c r="U151" s="17" t="str">
        <f aca="false">IF(AND(S151&lt;&gt;"",ISNUMBER(E151)),E151*Parametros!$B$13,"")</f>
        <v/>
      </c>
      <c r="V151" s="18" t="str">
        <f aca="false">IF(AND(S151&lt;&gt;"",ISNUMBER(E151)),E151-S151-T151-U151,"")</f>
        <v/>
      </c>
      <c r="W151" s="19" t="str">
        <f aca="false">IF(AND(S151&lt;&gt;"",ISNUMBER(E151)),V151/E151,"")</f>
        <v/>
      </c>
      <c r="X151" s="17" t="str">
        <f aca="false">IF(OR(S151="",Parametros!$B$14&gt;=1),"",S151/(1-Parametros!$B$14))</f>
        <v/>
      </c>
      <c r="Y151" s="17" t="str">
        <f aca="false">IF(OR(S151="",Parametros!$B$14+Parametros!$B$18&gt;=1),"",S151/(1-Parametros!$B$14-Parametros!$B$18))</f>
        <v/>
      </c>
      <c r="Z151" s="20" t="str">
        <f aca="false">IF(B151="","",IF(S151="","FALTAN DATOS",IF(NOT(ISNUMBER(E151)),"FALTA PRECIO",IF(V151&lt;0,"PIERDE",IF(W151&lt;Parametros!$B$18,"BAJO META","OK")))))</f>
        <v/>
      </c>
      <c r="AA151" s="21" t="str">
        <f aca="false">IF(B151="","",IF(F151="","Tela. ","")&amp;IF(NOT(ISNUMBER(G151)),"Kg de tela. ","")&amp;IF(AND(F151&lt;&gt;"",NOT(ISNUMBER(IFERROR(INDEX(Precios!$D$5:$D$120,MATCH(F151,Precios!$A$5:$A$120,0)),"x")))),"Tela sin precio. ","")&amp;IF(AND(H151&lt;&gt;"",NOT(ISNUMBER(IFERROR(INDEX(Precios!$D$5:$D$120,MATCH(H151,Precios!$A$5:$A$120,0)),"x")))),"Tela 2 sin precio. ","")&amp;IF(J151="","Metros impresos. ","")&amp;IF(AND(N(J151)&gt;0,Parametros!$B$27=0),"Impresión sin costo. ","")&amp;IF(K151="","Confección. ",IF(Q151=0,"Confección sin valor. ",""))&amp;IF(NOT(ISNUMBER(E151)),"Precio de venta. ",""))</f>
        <v/>
      </c>
    </row>
    <row r="152" customFormat="false" ht="15" hidden="false" customHeight="false" outlineLevel="0" collapsed="false">
      <c r="A152" s="22"/>
      <c r="B152" s="22"/>
      <c r="C152" s="22"/>
      <c r="D152" s="13"/>
      <c r="E152" s="12"/>
      <c r="F152" s="13"/>
      <c r="G152" s="14"/>
      <c r="H152" s="13"/>
      <c r="I152" s="14"/>
      <c r="J152" s="15"/>
      <c r="K152" s="13"/>
      <c r="L152" s="12"/>
      <c r="M152" s="13"/>
      <c r="O152" s="17" t="str">
        <f aca="false">IF(B152="","",IFERROR(G152*INDEX(Precios!$D$5:$D$120,MATCH(F152,Precios!$A$5:$A$120,0)),0)+IF(H152="",0,IFERROR(I152*INDEX(Precios!$D$5:$D$120,MATCH(H152,Precios!$A$5:$A$120,0)),0)))</f>
        <v/>
      </c>
      <c r="P152" s="17" t="str">
        <f aca="false">IF(B152="","",N(J152)*Parametros!$B$27)</f>
        <v/>
      </c>
      <c r="Q152" s="17" t="str">
        <f aca="false">IF(B152="","",IFERROR(INDEX(Confeccion!$B$5:$B$100,MATCH(K152,Confeccion!$A$5:$A$100,0)),0))</f>
        <v/>
      </c>
      <c r="R152" s="17" t="str">
        <f aca="false">IF(B152="","",N(L152))</f>
        <v/>
      </c>
      <c r="S152" s="18" t="str">
        <f aca="false">IF(B152="","",IF(AND(F152&lt;&gt;"",ISNUMBER(G152),ISNUMBER(IFERROR(INDEX(Precios!$D$5:$D$120,MATCH(F152,Precios!$A$5:$A$120,0)),"x")),OR(H152="",ISNUMBER(IFERROR(INDEX(Precios!$D$5:$D$120,MATCH(H152,Precios!$A$5:$A$120,0)),"x"))),J152&lt;&gt;"",K152&lt;&gt;"",Q152&gt;0),SUM(O152:R152),""))</f>
        <v/>
      </c>
      <c r="T152" s="17" t="str">
        <f aca="false">IF(AND(S152&lt;&gt;"",ISNUMBER(E152)),E152*Parametros!$B$12,"")</f>
        <v/>
      </c>
      <c r="U152" s="17" t="str">
        <f aca="false">IF(AND(S152&lt;&gt;"",ISNUMBER(E152)),E152*Parametros!$B$13,"")</f>
        <v/>
      </c>
      <c r="V152" s="18" t="str">
        <f aca="false">IF(AND(S152&lt;&gt;"",ISNUMBER(E152)),E152-S152-T152-U152,"")</f>
        <v/>
      </c>
      <c r="W152" s="19" t="str">
        <f aca="false">IF(AND(S152&lt;&gt;"",ISNUMBER(E152)),V152/E152,"")</f>
        <v/>
      </c>
      <c r="X152" s="17" t="str">
        <f aca="false">IF(OR(S152="",Parametros!$B$14&gt;=1),"",S152/(1-Parametros!$B$14))</f>
        <v/>
      </c>
      <c r="Y152" s="17" t="str">
        <f aca="false">IF(OR(S152="",Parametros!$B$14+Parametros!$B$18&gt;=1),"",S152/(1-Parametros!$B$14-Parametros!$B$18))</f>
        <v/>
      </c>
      <c r="Z152" s="20" t="str">
        <f aca="false">IF(B152="","",IF(S152="","FALTAN DATOS",IF(NOT(ISNUMBER(E152)),"FALTA PRECIO",IF(V152&lt;0,"PIERDE",IF(W152&lt;Parametros!$B$18,"BAJO META","OK")))))</f>
        <v/>
      </c>
      <c r="AA152" s="21" t="str">
        <f aca="false">IF(B152="","",IF(F152="","Tela. ","")&amp;IF(NOT(ISNUMBER(G152)),"Kg de tela. ","")&amp;IF(AND(F152&lt;&gt;"",NOT(ISNUMBER(IFERROR(INDEX(Precios!$D$5:$D$120,MATCH(F152,Precios!$A$5:$A$120,0)),"x")))),"Tela sin precio. ","")&amp;IF(AND(H152&lt;&gt;"",NOT(ISNUMBER(IFERROR(INDEX(Precios!$D$5:$D$120,MATCH(H152,Precios!$A$5:$A$120,0)),"x")))),"Tela 2 sin precio. ","")&amp;IF(J152="","Metros impresos. ","")&amp;IF(AND(N(J152)&gt;0,Parametros!$B$27=0),"Impresión sin costo. ","")&amp;IF(K152="","Confección. ",IF(Q152=0,"Confección sin valor. ",""))&amp;IF(NOT(ISNUMBER(E152)),"Precio de venta. ",""))</f>
        <v/>
      </c>
    </row>
    <row r="153" customFormat="false" ht="15" hidden="false" customHeight="false" outlineLevel="0" collapsed="false">
      <c r="A153" s="22"/>
      <c r="B153" s="22"/>
      <c r="C153" s="22"/>
      <c r="D153" s="13"/>
      <c r="E153" s="12"/>
      <c r="F153" s="13"/>
      <c r="G153" s="14"/>
      <c r="H153" s="13"/>
      <c r="I153" s="14"/>
      <c r="J153" s="15"/>
      <c r="K153" s="13"/>
      <c r="L153" s="12"/>
      <c r="M153" s="13"/>
      <c r="O153" s="17" t="str">
        <f aca="false">IF(B153="","",IFERROR(G153*INDEX(Precios!$D$5:$D$120,MATCH(F153,Precios!$A$5:$A$120,0)),0)+IF(H153="",0,IFERROR(I153*INDEX(Precios!$D$5:$D$120,MATCH(H153,Precios!$A$5:$A$120,0)),0)))</f>
        <v/>
      </c>
      <c r="P153" s="17" t="str">
        <f aca="false">IF(B153="","",N(J153)*Parametros!$B$27)</f>
        <v/>
      </c>
      <c r="Q153" s="17" t="str">
        <f aca="false">IF(B153="","",IFERROR(INDEX(Confeccion!$B$5:$B$100,MATCH(K153,Confeccion!$A$5:$A$100,0)),0))</f>
        <v/>
      </c>
      <c r="R153" s="17" t="str">
        <f aca="false">IF(B153="","",N(L153))</f>
        <v/>
      </c>
      <c r="S153" s="18" t="str">
        <f aca="false">IF(B153="","",IF(AND(F153&lt;&gt;"",ISNUMBER(G153),ISNUMBER(IFERROR(INDEX(Precios!$D$5:$D$120,MATCH(F153,Precios!$A$5:$A$120,0)),"x")),OR(H153="",ISNUMBER(IFERROR(INDEX(Precios!$D$5:$D$120,MATCH(H153,Precios!$A$5:$A$120,0)),"x"))),J153&lt;&gt;"",K153&lt;&gt;"",Q153&gt;0),SUM(O153:R153),""))</f>
        <v/>
      </c>
      <c r="T153" s="17" t="str">
        <f aca="false">IF(AND(S153&lt;&gt;"",ISNUMBER(E153)),E153*Parametros!$B$12,"")</f>
        <v/>
      </c>
      <c r="U153" s="17" t="str">
        <f aca="false">IF(AND(S153&lt;&gt;"",ISNUMBER(E153)),E153*Parametros!$B$13,"")</f>
        <v/>
      </c>
      <c r="V153" s="18" t="str">
        <f aca="false">IF(AND(S153&lt;&gt;"",ISNUMBER(E153)),E153-S153-T153-U153,"")</f>
        <v/>
      </c>
      <c r="W153" s="19" t="str">
        <f aca="false">IF(AND(S153&lt;&gt;"",ISNUMBER(E153)),V153/E153,"")</f>
        <v/>
      </c>
      <c r="X153" s="17" t="str">
        <f aca="false">IF(OR(S153="",Parametros!$B$14&gt;=1),"",S153/(1-Parametros!$B$14))</f>
        <v/>
      </c>
      <c r="Y153" s="17" t="str">
        <f aca="false">IF(OR(S153="",Parametros!$B$14+Parametros!$B$18&gt;=1),"",S153/(1-Parametros!$B$14-Parametros!$B$18))</f>
        <v/>
      </c>
      <c r="Z153" s="20" t="str">
        <f aca="false">IF(B153="","",IF(S153="","FALTAN DATOS",IF(NOT(ISNUMBER(E153)),"FALTA PRECIO",IF(V153&lt;0,"PIERDE",IF(W153&lt;Parametros!$B$18,"BAJO META","OK")))))</f>
        <v/>
      </c>
      <c r="AA153" s="21" t="str">
        <f aca="false">IF(B153="","",IF(F153="","Tela. ","")&amp;IF(NOT(ISNUMBER(G153)),"Kg de tela. ","")&amp;IF(AND(F153&lt;&gt;"",NOT(ISNUMBER(IFERROR(INDEX(Precios!$D$5:$D$120,MATCH(F153,Precios!$A$5:$A$120,0)),"x")))),"Tela sin precio. ","")&amp;IF(AND(H153&lt;&gt;"",NOT(ISNUMBER(IFERROR(INDEX(Precios!$D$5:$D$120,MATCH(H153,Precios!$A$5:$A$120,0)),"x")))),"Tela 2 sin precio. ","")&amp;IF(J153="","Metros impresos. ","")&amp;IF(AND(N(J153)&gt;0,Parametros!$B$27=0),"Impresión sin costo. ","")&amp;IF(K153="","Confección. ",IF(Q153=0,"Confección sin valor. ",""))&amp;IF(NOT(ISNUMBER(E153)),"Precio de venta. ",""))</f>
        <v/>
      </c>
    </row>
    <row r="154" customFormat="false" ht="15" hidden="false" customHeight="false" outlineLevel="0" collapsed="false">
      <c r="A154" s="22"/>
      <c r="B154" s="22"/>
      <c r="C154" s="22"/>
      <c r="D154" s="13"/>
      <c r="E154" s="12"/>
      <c r="F154" s="13"/>
      <c r="G154" s="14"/>
      <c r="H154" s="13"/>
      <c r="I154" s="14"/>
      <c r="J154" s="15"/>
      <c r="K154" s="13"/>
      <c r="L154" s="12"/>
      <c r="M154" s="13"/>
      <c r="O154" s="17" t="str">
        <f aca="false">IF(B154="","",IFERROR(G154*INDEX(Precios!$D$5:$D$120,MATCH(F154,Precios!$A$5:$A$120,0)),0)+IF(H154="",0,IFERROR(I154*INDEX(Precios!$D$5:$D$120,MATCH(H154,Precios!$A$5:$A$120,0)),0)))</f>
        <v/>
      </c>
      <c r="P154" s="17" t="str">
        <f aca="false">IF(B154="","",N(J154)*Parametros!$B$27)</f>
        <v/>
      </c>
      <c r="Q154" s="17" t="str">
        <f aca="false">IF(B154="","",IFERROR(INDEX(Confeccion!$B$5:$B$100,MATCH(K154,Confeccion!$A$5:$A$100,0)),0))</f>
        <v/>
      </c>
      <c r="R154" s="17" t="str">
        <f aca="false">IF(B154="","",N(L154))</f>
        <v/>
      </c>
      <c r="S154" s="18" t="str">
        <f aca="false">IF(B154="","",IF(AND(F154&lt;&gt;"",ISNUMBER(G154),ISNUMBER(IFERROR(INDEX(Precios!$D$5:$D$120,MATCH(F154,Precios!$A$5:$A$120,0)),"x")),OR(H154="",ISNUMBER(IFERROR(INDEX(Precios!$D$5:$D$120,MATCH(H154,Precios!$A$5:$A$120,0)),"x"))),J154&lt;&gt;"",K154&lt;&gt;"",Q154&gt;0),SUM(O154:R154),""))</f>
        <v/>
      </c>
      <c r="T154" s="17" t="str">
        <f aca="false">IF(AND(S154&lt;&gt;"",ISNUMBER(E154)),E154*Parametros!$B$12,"")</f>
        <v/>
      </c>
      <c r="U154" s="17" t="str">
        <f aca="false">IF(AND(S154&lt;&gt;"",ISNUMBER(E154)),E154*Parametros!$B$13,"")</f>
        <v/>
      </c>
      <c r="V154" s="18" t="str">
        <f aca="false">IF(AND(S154&lt;&gt;"",ISNUMBER(E154)),E154-S154-T154-U154,"")</f>
        <v/>
      </c>
      <c r="W154" s="19" t="str">
        <f aca="false">IF(AND(S154&lt;&gt;"",ISNUMBER(E154)),V154/E154,"")</f>
        <v/>
      </c>
      <c r="X154" s="17" t="str">
        <f aca="false">IF(OR(S154="",Parametros!$B$14&gt;=1),"",S154/(1-Parametros!$B$14))</f>
        <v/>
      </c>
      <c r="Y154" s="17" t="str">
        <f aca="false">IF(OR(S154="",Parametros!$B$14+Parametros!$B$18&gt;=1),"",S154/(1-Parametros!$B$14-Parametros!$B$18))</f>
        <v/>
      </c>
      <c r="Z154" s="20" t="str">
        <f aca="false">IF(B154="","",IF(S154="","FALTAN DATOS",IF(NOT(ISNUMBER(E154)),"FALTA PRECIO",IF(V154&lt;0,"PIERDE",IF(W154&lt;Parametros!$B$18,"BAJO META","OK")))))</f>
        <v/>
      </c>
      <c r="AA154" s="21" t="str">
        <f aca="false">IF(B154="","",IF(F154="","Tela. ","")&amp;IF(NOT(ISNUMBER(G154)),"Kg de tela. ","")&amp;IF(AND(F154&lt;&gt;"",NOT(ISNUMBER(IFERROR(INDEX(Precios!$D$5:$D$120,MATCH(F154,Precios!$A$5:$A$120,0)),"x")))),"Tela sin precio. ","")&amp;IF(AND(H154&lt;&gt;"",NOT(ISNUMBER(IFERROR(INDEX(Precios!$D$5:$D$120,MATCH(H154,Precios!$A$5:$A$120,0)),"x")))),"Tela 2 sin precio. ","")&amp;IF(J154="","Metros impresos. ","")&amp;IF(AND(N(J154)&gt;0,Parametros!$B$27=0),"Impresión sin costo. ","")&amp;IF(K154="","Confección. ",IF(Q154=0,"Confección sin valor. ",""))&amp;IF(NOT(ISNUMBER(E154)),"Precio de venta. ",""))</f>
        <v/>
      </c>
    </row>
    <row r="155" customFormat="false" ht="15" hidden="false" customHeight="false" outlineLevel="0" collapsed="false">
      <c r="A155" s="22"/>
      <c r="B155" s="22"/>
      <c r="C155" s="22"/>
      <c r="D155" s="13"/>
      <c r="E155" s="12"/>
      <c r="F155" s="13"/>
      <c r="G155" s="14"/>
      <c r="H155" s="13"/>
      <c r="I155" s="14"/>
      <c r="J155" s="15"/>
      <c r="K155" s="13"/>
      <c r="L155" s="12"/>
      <c r="M155" s="13"/>
      <c r="O155" s="17" t="str">
        <f aca="false">IF(B155="","",IFERROR(G155*INDEX(Precios!$D$5:$D$120,MATCH(F155,Precios!$A$5:$A$120,0)),0)+IF(H155="",0,IFERROR(I155*INDEX(Precios!$D$5:$D$120,MATCH(H155,Precios!$A$5:$A$120,0)),0)))</f>
        <v/>
      </c>
      <c r="P155" s="17" t="str">
        <f aca="false">IF(B155="","",N(J155)*Parametros!$B$27)</f>
        <v/>
      </c>
      <c r="Q155" s="17" t="str">
        <f aca="false">IF(B155="","",IFERROR(INDEX(Confeccion!$B$5:$B$100,MATCH(K155,Confeccion!$A$5:$A$100,0)),0))</f>
        <v/>
      </c>
      <c r="R155" s="17" t="str">
        <f aca="false">IF(B155="","",N(L155))</f>
        <v/>
      </c>
      <c r="S155" s="18" t="str">
        <f aca="false">IF(B155="","",IF(AND(F155&lt;&gt;"",ISNUMBER(G155),ISNUMBER(IFERROR(INDEX(Precios!$D$5:$D$120,MATCH(F155,Precios!$A$5:$A$120,0)),"x")),OR(H155="",ISNUMBER(IFERROR(INDEX(Precios!$D$5:$D$120,MATCH(H155,Precios!$A$5:$A$120,0)),"x"))),J155&lt;&gt;"",K155&lt;&gt;"",Q155&gt;0),SUM(O155:R155),""))</f>
        <v/>
      </c>
      <c r="T155" s="17" t="str">
        <f aca="false">IF(AND(S155&lt;&gt;"",ISNUMBER(E155)),E155*Parametros!$B$12,"")</f>
        <v/>
      </c>
      <c r="U155" s="17" t="str">
        <f aca="false">IF(AND(S155&lt;&gt;"",ISNUMBER(E155)),E155*Parametros!$B$13,"")</f>
        <v/>
      </c>
      <c r="V155" s="18" t="str">
        <f aca="false">IF(AND(S155&lt;&gt;"",ISNUMBER(E155)),E155-S155-T155-U155,"")</f>
        <v/>
      </c>
      <c r="W155" s="19" t="str">
        <f aca="false">IF(AND(S155&lt;&gt;"",ISNUMBER(E155)),V155/E155,"")</f>
        <v/>
      </c>
      <c r="X155" s="17" t="str">
        <f aca="false">IF(OR(S155="",Parametros!$B$14&gt;=1),"",S155/(1-Parametros!$B$14))</f>
        <v/>
      </c>
      <c r="Y155" s="17" t="str">
        <f aca="false">IF(OR(S155="",Parametros!$B$14+Parametros!$B$18&gt;=1),"",S155/(1-Parametros!$B$14-Parametros!$B$18))</f>
        <v/>
      </c>
      <c r="Z155" s="20" t="str">
        <f aca="false">IF(B155="","",IF(S155="","FALTAN DATOS",IF(NOT(ISNUMBER(E155)),"FALTA PRECIO",IF(V155&lt;0,"PIERDE",IF(W155&lt;Parametros!$B$18,"BAJO META","OK")))))</f>
        <v/>
      </c>
      <c r="AA155" s="21" t="str">
        <f aca="false">IF(B155="","",IF(F155="","Tela. ","")&amp;IF(NOT(ISNUMBER(G155)),"Kg de tela. ","")&amp;IF(AND(F155&lt;&gt;"",NOT(ISNUMBER(IFERROR(INDEX(Precios!$D$5:$D$120,MATCH(F155,Precios!$A$5:$A$120,0)),"x")))),"Tela sin precio. ","")&amp;IF(AND(H155&lt;&gt;"",NOT(ISNUMBER(IFERROR(INDEX(Precios!$D$5:$D$120,MATCH(H155,Precios!$A$5:$A$120,0)),"x")))),"Tela 2 sin precio. ","")&amp;IF(J155="","Metros impresos. ","")&amp;IF(AND(N(J155)&gt;0,Parametros!$B$27=0),"Impresión sin costo. ","")&amp;IF(K155="","Confección. ",IF(Q155=0,"Confección sin valor. ",""))&amp;IF(NOT(ISNUMBER(E155)),"Precio de venta. ",""))</f>
        <v/>
      </c>
    </row>
    <row r="156" customFormat="false" ht="15" hidden="false" customHeight="false" outlineLevel="0" collapsed="false">
      <c r="A156" s="22"/>
      <c r="B156" s="22"/>
      <c r="C156" s="22"/>
      <c r="D156" s="13"/>
      <c r="E156" s="12"/>
      <c r="F156" s="13"/>
      <c r="G156" s="14"/>
      <c r="H156" s="13"/>
      <c r="I156" s="14"/>
      <c r="J156" s="15"/>
      <c r="K156" s="13"/>
      <c r="L156" s="12"/>
      <c r="M156" s="13"/>
      <c r="O156" s="17" t="str">
        <f aca="false">IF(B156="","",IFERROR(G156*INDEX(Precios!$D$5:$D$120,MATCH(F156,Precios!$A$5:$A$120,0)),0)+IF(H156="",0,IFERROR(I156*INDEX(Precios!$D$5:$D$120,MATCH(H156,Precios!$A$5:$A$120,0)),0)))</f>
        <v/>
      </c>
      <c r="P156" s="17" t="str">
        <f aca="false">IF(B156="","",N(J156)*Parametros!$B$27)</f>
        <v/>
      </c>
      <c r="Q156" s="17" t="str">
        <f aca="false">IF(B156="","",IFERROR(INDEX(Confeccion!$B$5:$B$100,MATCH(K156,Confeccion!$A$5:$A$100,0)),0))</f>
        <v/>
      </c>
      <c r="R156" s="17" t="str">
        <f aca="false">IF(B156="","",N(L156))</f>
        <v/>
      </c>
      <c r="S156" s="18" t="str">
        <f aca="false">IF(B156="","",IF(AND(F156&lt;&gt;"",ISNUMBER(G156),ISNUMBER(IFERROR(INDEX(Precios!$D$5:$D$120,MATCH(F156,Precios!$A$5:$A$120,0)),"x")),OR(H156="",ISNUMBER(IFERROR(INDEX(Precios!$D$5:$D$120,MATCH(H156,Precios!$A$5:$A$120,0)),"x"))),J156&lt;&gt;"",K156&lt;&gt;"",Q156&gt;0),SUM(O156:R156),""))</f>
        <v/>
      </c>
      <c r="T156" s="17" t="str">
        <f aca="false">IF(AND(S156&lt;&gt;"",ISNUMBER(E156)),E156*Parametros!$B$12,"")</f>
        <v/>
      </c>
      <c r="U156" s="17" t="str">
        <f aca="false">IF(AND(S156&lt;&gt;"",ISNUMBER(E156)),E156*Parametros!$B$13,"")</f>
        <v/>
      </c>
      <c r="V156" s="18" t="str">
        <f aca="false">IF(AND(S156&lt;&gt;"",ISNUMBER(E156)),E156-S156-T156-U156,"")</f>
        <v/>
      </c>
      <c r="W156" s="19" t="str">
        <f aca="false">IF(AND(S156&lt;&gt;"",ISNUMBER(E156)),V156/E156,"")</f>
        <v/>
      </c>
      <c r="X156" s="17" t="str">
        <f aca="false">IF(OR(S156="",Parametros!$B$14&gt;=1),"",S156/(1-Parametros!$B$14))</f>
        <v/>
      </c>
      <c r="Y156" s="17" t="str">
        <f aca="false">IF(OR(S156="",Parametros!$B$14+Parametros!$B$18&gt;=1),"",S156/(1-Parametros!$B$14-Parametros!$B$18))</f>
        <v/>
      </c>
      <c r="Z156" s="20" t="str">
        <f aca="false">IF(B156="","",IF(S156="","FALTAN DATOS",IF(NOT(ISNUMBER(E156)),"FALTA PRECIO",IF(V156&lt;0,"PIERDE",IF(W156&lt;Parametros!$B$18,"BAJO META","OK")))))</f>
        <v/>
      </c>
      <c r="AA156" s="21" t="str">
        <f aca="false">IF(B156="","",IF(F156="","Tela. ","")&amp;IF(NOT(ISNUMBER(G156)),"Kg de tela. ","")&amp;IF(AND(F156&lt;&gt;"",NOT(ISNUMBER(IFERROR(INDEX(Precios!$D$5:$D$120,MATCH(F156,Precios!$A$5:$A$120,0)),"x")))),"Tela sin precio. ","")&amp;IF(AND(H156&lt;&gt;"",NOT(ISNUMBER(IFERROR(INDEX(Precios!$D$5:$D$120,MATCH(H156,Precios!$A$5:$A$120,0)),"x")))),"Tela 2 sin precio. ","")&amp;IF(J156="","Metros impresos. ","")&amp;IF(AND(N(J156)&gt;0,Parametros!$B$27=0),"Impresión sin costo. ","")&amp;IF(K156="","Confección. ",IF(Q156=0,"Confección sin valor. ",""))&amp;IF(NOT(ISNUMBER(E156)),"Precio de venta. ",""))</f>
        <v/>
      </c>
    </row>
    <row r="157" customFormat="false" ht="15" hidden="false" customHeight="false" outlineLevel="0" collapsed="false">
      <c r="A157" s="22"/>
      <c r="B157" s="22"/>
      <c r="C157" s="22"/>
      <c r="D157" s="13"/>
      <c r="E157" s="12"/>
      <c r="F157" s="13"/>
      <c r="G157" s="14"/>
      <c r="H157" s="13"/>
      <c r="I157" s="14"/>
      <c r="J157" s="15"/>
      <c r="K157" s="13"/>
      <c r="L157" s="12"/>
      <c r="M157" s="13"/>
      <c r="O157" s="17" t="str">
        <f aca="false">IF(B157="","",IFERROR(G157*INDEX(Precios!$D$5:$D$120,MATCH(F157,Precios!$A$5:$A$120,0)),0)+IF(H157="",0,IFERROR(I157*INDEX(Precios!$D$5:$D$120,MATCH(H157,Precios!$A$5:$A$120,0)),0)))</f>
        <v/>
      </c>
      <c r="P157" s="17" t="str">
        <f aca="false">IF(B157="","",N(J157)*Parametros!$B$27)</f>
        <v/>
      </c>
      <c r="Q157" s="17" t="str">
        <f aca="false">IF(B157="","",IFERROR(INDEX(Confeccion!$B$5:$B$100,MATCH(K157,Confeccion!$A$5:$A$100,0)),0))</f>
        <v/>
      </c>
      <c r="R157" s="17" t="str">
        <f aca="false">IF(B157="","",N(L157))</f>
        <v/>
      </c>
      <c r="S157" s="18" t="str">
        <f aca="false">IF(B157="","",IF(AND(F157&lt;&gt;"",ISNUMBER(G157),ISNUMBER(IFERROR(INDEX(Precios!$D$5:$D$120,MATCH(F157,Precios!$A$5:$A$120,0)),"x")),OR(H157="",ISNUMBER(IFERROR(INDEX(Precios!$D$5:$D$120,MATCH(H157,Precios!$A$5:$A$120,0)),"x"))),J157&lt;&gt;"",K157&lt;&gt;"",Q157&gt;0),SUM(O157:R157),""))</f>
        <v/>
      </c>
      <c r="T157" s="17" t="str">
        <f aca="false">IF(AND(S157&lt;&gt;"",ISNUMBER(E157)),E157*Parametros!$B$12,"")</f>
        <v/>
      </c>
      <c r="U157" s="17" t="str">
        <f aca="false">IF(AND(S157&lt;&gt;"",ISNUMBER(E157)),E157*Parametros!$B$13,"")</f>
        <v/>
      </c>
      <c r="V157" s="18" t="str">
        <f aca="false">IF(AND(S157&lt;&gt;"",ISNUMBER(E157)),E157-S157-T157-U157,"")</f>
        <v/>
      </c>
      <c r="W157" s="19" t="str">
        <f aca="false">IF(AND(S157&lt;&gt;"",ISNUMBER(E157)),V157/E157,"")</f>
        <v/>
      </c>
      <c r="X157" s="17" t="str">
        <f aca="false">IF(OR(S157="",Parametros!$B$14&gt;=1),"",S157/(1-Parametros!$B$14))</f>
        <v/>
      </c>
      <c r="Y157" s="17" t="str">
        <f aca="false">IF(OR(S157="",Parametros!$B$14+Parametros!$B$18&gt;=1),"",S157/(1-Parametros!$B$14-Parametros!$B$18))</f>
        <v/>
      </c>
      <c r="Z157" s="20" t="str">
        <f aca="false">IF(B157="","",IF(S157="","FALTAN DATOS",IF(NOT(ISNUMBER(E157)),"FALTA PRECIO",IF(V157&lt;0,"PIERDE",IF(W157&lt;Parametros!$B$18,"BAJO META","OK")))))</f>
        <v/>
      </c>
      <c r="AA157" s="21" t="str">
        <f aca="false">IF(B157="","",IF(F157="","Tela. ","")&amp;IF(NOT(ISNUMBER(G157)),"Kg de tela. ","")&amp;IF(AND(F157&lt;&gt;"",NOT(ISNUMBER(IFERROR(INDEX(Precios!$D$5:$D$120,MATCH(F157,Precios!$A$5:$A$120,0)),"x")))),"Tela sin precio. ","")&amp;IF(AND(H157&lt;&gt;"",NOT(ISNUMBER(IFERROR(INDEX(Precios!$D$5:$D$120,MATCH(H157,Precios!$A$5:$A$120,0)),"x")))),"Tela 2 sin precio. ","")&amp;IF(J157="","Metros impresos. ","")&amp;IF(AND(N(J157)&gt;0,Parametros!$B$27=0),"Impresión sin costo. ","")&amp;IF(K157="","Confección. ",IF(Q157=0,"Confección sin valor. ",""))&amp;IF(NOT(ISNUMBER(E157)),"Precio de venta. ",""))</f>
        <v/>
      </c>
    </row>
    <row r="158" customFormat="false" ht="15" hidden="false" customHeight="false" outlineLevel="0" collapsed="false">
      <c r="A158" s="22"/>
      <c r="B158" s="22"/>
      <c r="C158" s="22"/>
      <c r="D158" s="13"/>
      <c r="E158" s="12"/>
      <c r="F158" s="13"/>
      <c r="G158" s="14"/>
      <c r="H158" s="13"/>
      <c r="I158" s="14"/>
      <c r="J158" s="15"/>
      <c r="K158" s="13"/>
      <c r="L158" s="12"/>
      <c r="M158" s="13"/>
      <c r="O158" s="17" t="str">
        <f aca="false">IF(B158="","",IFERROR(G158*INDEX(Precios!$D$5:$D$120,MATCH(F158,Precios!$A$5:$A$120,0)),0)+IF(H158="",0,IFERROR(I158*INDEX(Precios!$D$5:$D$120,MATCH(H158,Precios!$A$5:$A$120,0)),0)))</f>
        <v/>
      </c>
      <c r="P158" s="17" t="str">
        <f aca="false">IF(B158="","",N(J158)*Parametros!$B$27)</f>
        <v/>
      </c>
      <c r="Q158" s="17" t="str">
        <f aca="false">IF(B158="","",IFERROR(INDEX(Confeccion!$B$5:$B$100,MATCH(K158,Confeccion!$A$5:$A$100,0)),0))</f>
        <v/>
      </c>
      <c r="R158" s="17" t="str">
        <f aca="false">IF(B158="","",N(L158))</f>
        <v/>
      </c>
      <c r="S158" s="18" t="str">
        <f aca="false">IF(B158="","",IF(AND(F158&lt;&gt;"",ISNUMBER(G158),ISNUMBER(IFERROR(INDEX(Precios!$D$5:$D$120,MATCH(F158,Precios!$A$5:$A$120,0)),"x")),OR(H158="",ISNUMBER(IFERROR(INDEX(Precios!$D$5:$D$120,MATCH(H158,Precios!$A$5:$A$120,0)),"x"))),J158&lt;&gt;"",K158&lt;&gt;"",Q158&gt;0),SUM(O158:R158),""))</f>
        <v/>
      </c>
      <c r="T158" s="17" t="str">
        <f aca="false">IF(AND(S158&lt;&gt;"",ISNUMBER(E158)),E158*Parametros!$B$12,"")</f>
        <v/>
      </c>
      <c r="U158" s="17" t="str">
        <f aca="false">IF(AND(S158&lt;&gt;"",ISNUMBER(E158)),E158*Parametros!$B$13,"")</f>
        <v/>
      </c>
      <c r="V158" s="18" t="str">
        <f aca="false">IF(AND(S158&lt;&gt;"",ISNUMBER(E158)),E158-S158-T158-U158,"")</f>
        <v/>
      </c>
      <c r="W158" s="19" t="str">
        <f aca="false">IF(AND(S158&lt;&gt;"",ISNUMBER(E158)),V158/E158,"")</f>
        <v/>
      </c>
      <c r="X158" s="17" t="str">
        <f aca="false">IF(OR(S158="",Parametros!$B$14&gt;=1),"",S158/(1-Parametros!$B$14))</f>
        <v/>
      </c>
      <c r="Y158" s="17" t="str">
        <f aca="false">IF(OR(S158="",Parametros!$B$14+Parametros!$B$18&gt;=1),"",S158/(1-Parametros!$B$14-Parametros!$B$18))</f>
        <v/>
      </c>
      <c r="Z158" s="20" t="str">
        <f aca="false">IF(B158="","",IF(S158="","FALTAN DATOS",IF(NOT(ISNUMBER(E158)),"FALTA PRECIO",IF(V158&lt;0,"PIERDE",IF(W158&lt;Parametros!$B$18,"BAJO META","OK")))))</f>
        <v/>
      </c>
      <c r="AA158" s="21" t="str">
        <f aca="false">IF(B158="","",IF(F158="","Tela. ","")&amp;IF(NOT(ISNUMBER(G158)),"Kg de tela. ","")&amp;IF(AND(F158&lt;&gt;"",NOT(ISNUMBER(IFERROR(INDEX(Precios!$D$5:$D$120,MATCH(F158,Precios!$A$5:$A$120,0)),"x")))),"Tela sin precio. ","")&amp;IF(AND(H158&lt;&gt;"",NOT(ISNUMBER(IFERROR(INDEX(Precios!$D$5:$D$120,MATCH(H158,Precios!$A$5:$A$120,0)),"x")))),"Tela 2 sin precio. ","")&amp;IF(J158="","Metros impresos. ","")&amp;IF(AND(N(J158)&gt;0,Parametros!$B$27=0),"Impresión sin costo. ","")&amp;IF(K158="","Confección. ",IF(Q158=0,"Confección sin valor. ",""))&amp;IF(NOT(ISNUMBER(E158)),"Precio de venta. ",""))</f>
        <v/>
      </c>
    </row>
    <row r="159" customFormat="false" ht="15" hidden="false" customHeight="false" outlineLevel="0" collapsed="false">
      <c r="A159" s="22"/>
      <c r="B159" s="22"/>
      <c r="C159" s="22"/>
      <c r="D159" s="13"/>
      <c r="E159" s="12"/>
      <c r="F159" s="13"/>
      <c r="G159" s="14"/>
      <c r="H159" s="13"/>
      <c r="I159" s="14"/>
      <c r="J159" s="15"/>
      <c r="K159" s="13"/>
      <c r="L159" s="12"/>
      <c r="M159" s="13"/>
      <c r="O159" s="17" t="str">
        <f aca="false">IF(B159="","",IFERROR(G159*INDEX(Precios!$D$5:$D$120,MATCH(F159,Precios!$A$5:$A$120,0)),0)+IF(H159="",0,IFERROR(I159*INDEX(Precios!$D$5:$D$120,MATCH(H159,Precios!$A$5:$A$120,0)),0)))</f>
        <v/>
      </c>
      <c r="P159" s="17" t="str">
        <f aca="false">IF(B159="","",N(J159)*Parametros!$B$27)</f>
        <v/>
      </c>
      <c r="Q159" s="17" t="str">
        <f aca="false">IF(B159="","",IFERROR(INDEX(Confeccion!$B$5:$B$100,MATCH(K159,Confeccion!$A$5:$A$100,0)),0))</f>
        <v/>
      </c>
      <c r="R159" s="17" t="str">
        <f aca="false">IF(B159="","",N(L159))</f>
        <v/>
      </c>
      <c r="S159" s="18" t="str">
        <f aca="false">IF(B159="","",IF(AND(F159&lt;&gt;"",ISNUMBER(G159),ISNUMBER(IFERROR(INDEX(Precios!$D$5:$D$120,MATCH(F159,Precios!$A$5:$A$120,0)),"x")),OR(H159="",ISNUMBER(IFERROR(INDEX(Precios!$D$5:$D$120,MATCH(H159,Precios!$A$5:$A$120,0)),"x"))),J159&lt;&gt;"",K159&lt;&gt;"",Q159&gt;0),SUM(O159:R159),""))</f>
        <v/>
      </c>
      <c r="T159" s="17" t="str">
        <f aca="false">IF(AND(S159&lt;&gt;"",ISNUMBER(E159)),E159*Parametros!$B$12,"")</f>
        <v/>
      </c>
      <c r="U159" s="17" t="str">
        <f aca="false">IF(AND(S159&lt;&gt;"",ISNUMBER(E159)),E159*Parametros!$B$13,"")</f>
        <v/>
      </c>
      <c r="V159" s="18" t="str">
        <f aca="false">IF(AND(S159&lt;&gt;"",ISNUMBER(E159)),E159-S159-T159-U159,"")</f>
        <v/>
      </c>
      <c r="W159" s="19" t="str">
        <f aca="false">IF(AND(S159&lt;&gt;"",ISNUMBER(E159)),V159/E159,"")</f>
        <v/>
      </c>
      <c r="X159" s="17" t="str">
        <f aca="false">IF(OR(S159="",Parametros!$B$14&gt;=1),"",S159/(1-Parametros!$B$14))</f>
        <v/>
      </c>
      <c r="Y159" s="17" t="str">
        <f aca="false">IF(OR(S159="",Parametros!$B$14+Parametros!$B$18&gt;=1),"",S159/(1-Parametros!$B$14-Parametros!$B$18))</f>
        <v/>
      </c>
      <c r="Z159" s="20" t="str">
        <f aca="false">IF(B159="","",IF(S159="","FALTAN DATOS",IF(NOT(ISNUMBER(E159)),"FALTA PRECIO",IF(V159&lt;0,"PIERDE",IF(W159&lt;Parametros!$B$18,"BAJO META","OK")))))</f>
        <v/>
      </c>
      <c r="AA159" s="21" t="str">
        <f aca="false">IF(B159="","",IF(F159="","Tela. ","")&amp;IF(NOT(ISNUMBER(G159)),"Kg de tela. ","")&amp;IF(AND(F159&lt;&gt;"",NOT(ISNUMBER(IFERROR(INDEX(Precios!$D$5:$D$120,MATCH(F159,Precios!$A$5:$A$120,0)),"x")))),"Tela sin precio. ","")&amp;IF(AND(H159&lt;&gt;"",NOT(ISNUMBER(IFERROR(INDEX(Precios!$D$5:$D$120,MATCH(H159,Precios!$A$5:$A$120,0)),"x")))),"Tela 2 sin precio. ","")&amp;IF(J159="","Metros impresos. ","")&amp;IF(AND(N(J159)&gt;0,Parametros!$B$27=0),"Impresión sin costo. ","")&amp;IF(K159="","Confección. ",IF(Q159=0,"Confección sin valor. ",""))&amp;IF(NOT(ISNUMBER(E159)),"Precio de venta. ",""))</f>
        <v/>
      </c>
    </row>
    <row r="160" customFormat="false" ht="15" hidden="false" customHeight="false" outlineLevel="0" collapsed="false">
      <c r="A160" s="22"/>
      <c r="B160" s="22"/>
      <c r="C160" s="22"/>
      <c r="D160" s="13"/>
      <c r="E160" s="12"/>
      <c r="F160" s="13"/>
      <c r="G160" s="14"/>
      <c r="H160" s="13"/>
      <c r="I160" s="14"/>
      <c r="J160" s="15"/>
      <c r="K160" s="13"/>
      <c r="L160" s="12"/>
      <c r="M160" s="13"/>
      <c r="O160" s="17" t="str">
        <f aca="false">IF(B160="","",IFERROR(G160*INDEX(Precios!$D$5:$D$120,MATCH(F160,Precios!$A$5:$A$120,0)),0)+IF(H160="",0,IFERROR(I160*INDEX(Precios!$D$5:$D$120,MATCH(H160,Precios!$A$5:$A$120,0)),0)))</f>
        <v/>
      </c>
      <c r="P160" s="17" t="str">
        <f aca="false">IF(B160="","",N(J160)*Parametros!$B$27)</f>
        <v/>
      </c>
      <c r="Q160" s="17" t="str">
        <f aca="false">IF(B160="","",IFERROR(INDEX(Confeccion!$B$5:$B$100,MATCH(K160,Confeccion!$A$5:$A$100,0)),0))</f>
        <v/>
      </c>
      <c r="R160" s="17" t="str">
        <f aca="false">IF(B160="","",N(L160))</f>
        <v/>
      </c>
      <c r="S160" s="18" t="str">
        <f aca="false">IF(B160="","",IF(AND(F160&lt;&gt;"",ISNUMBER(G160),ISNUMBER(IFERROR(INDEX(Precios!$D$5:$D$120,MATCH(F160,Precios!$A$5:$A$120,0)),"x")),OR(H160="",ISNUMBER(IFERROR(INDEX(Precios!$D$5:$D$120,MATCH(H160,Precios!$A$5:$A$120,0)),"x"))),J160&lt;&gt;"",K160&lt;&gt;"",Q160&gt;0),SUM(O160:R160),""))</f>
        <v/>
      </c>
      <c r="T160" s="17" t="str">
        <f aca="false">IF(AND(S160&lt;&gt;"",ISNUMBER(E160)),E160*Parametros!$B$12,"")</f>
        <v/>
      </c>
      <c r="U160" s="17" t="str">
        <f aca="false">IF(AND(S160&lt;&gt;"",ISNUMBER(E160)),E160*Parametros!$B$13,"")</f>
        <v/>
      </c>
      <c r="V160" s="18" t="str">
        <f aca="false">IF(AND(S160&lt;&gt;"",ISNUMBER(E160)),E160-S160-T160-U160,"")</f>
        <v/>
      </c>
      <c r="W160" s="19" t="str">
        <f aca="false">IF(AND(S160&lt;&gt;"",ISNUMBER(E160)),V160/E160,"")</f>
        <v/>
      </c>
      <c r="X160" s="17" t="str">
        <f aca="false">IF(OR(S160="",Parametros!$B$14&gt;=1),"",S160/(1-Parametros!$B$14))</f>
        <v/>
      </c>
      <c r="Y160" s="17" t="str">
        <f aca="false">IF(OR(S160="",Parametros!$B$14+Parametros!$B$18&gt;=1),"",S160/(1-Parametros!$B$14-Parametros!$B$18))</f>
        <v/>
      </c>
      <c r="Z160" s="20" t="str">
        <f aca="false">IF(B160="","",IF(S160="","FALTAN DATOS",IF(NOT(ISNUMBER(E160)),"FALTA PRECIO",IF(V160&lt;0,"PIERDE",IF(W160&lt;Parametros!$B$18,"BAJO META","OK")))))</f>
        <v/>
      </c>
      <c r="AA160" s="21" t="str">
        <f aca="false">IF(B160="","",IF(F160="","Tela. ","")&amp;IF(NOT(ISNUMBER(G160)),"Kg de tela. ","")&amp;IF(AND(F160&lt;&gt;"",NOT(ISNUMBER(IFERROR(INDEX(Precios!$D$5:$D$120,MATCH(F160,Precios!$A$5:$A$120,0)),"x")))),"Tela sin precio. ","")&amp;IF(AND(H160&lt;&gt;"",NOT(ISNUMBER(IFERROR(INDEX(Precios!$D$5:$D$120,MATCH(H160,Precios!$A$5:$A$120,0)),"x")))),"Tela 2 sin precio. ","")&amp;IF(J160="","Metros impresos. ","")&amp;IF(AND(N(J160)&gt;0,Parametros!$B$27=0),"Impresión sin costo. ","")&amp;IF(K160="","Confección. ",IF(Q160=0,"Confección sin valor. ",""))&amp;IF(NOT(ISNUMBER(E160)),"Precio de venta. ",""))</f>
        <v/>
      </c>
    </row>
    <row r="161" customFormat="false" ht="15" hidden="false" customHeight="false" outlineLevel="0" collapsed="false">
      <c r="A161" s="22"/>
      <c r="B161" s="22"/>
      <c r="C161" s="22"/>
      <c r="D161" s="13"/>
      <c r="E161" s="12"/>
      <c r="F161" s="13"/>
      <c r="G161" s="14"/>
      <c r="H161" s="13"/>
      <c r="I161" s="14"/>
      <c r="J161" s="15"/>
      <c r="K161" s="13"/>
      <c r="L161" s="12"/>
      <c r="M161" s="13"/>
      <c r="O161" s="17" t="str">
        <f aca="false">IF(B161="","",IFERROR(G161*INDEX(Precios!$D$5:$D$120,MATCH(F161,Precios!$A$5:$A$120,0)),0)+IF(H161="",0,IFERROR(I161*INDEX(Precios!$D$5:$D$120,MATCH(H161,Precios!$A$5:$A$120,0)),0)))</f>
        <v/>
      </c>
      <c r="P161" s="17" t="str">
        <f aca="false">IF(B161="","",N(J161)*Parametros!$B$27)</f>
        <v/>
      </c>
      <c r="Q161" s="17" t="str">
        <f aca="false">IF(B161="","",IFERROR(INDEX(Confeccion!$B$5:$B$100,MATCH(K161,Confeccion!$A$5:$A$100,0)),0))</f>
        <v/>
      </c>
      <c r="R161" s="17" t="str">
        <f aca="false">IF(B161="","",N(L161))</f>
        <v/>
      </c>
      <c r="S161" s="18" t="str">
        <f aca="false">IF(B161="","",IF(AND(F161&lt;&gt;"",ISNUMBER(G161),ISNUMBER(IFERROR(INDEX(Precios!$D$5:$D$120,MATCH(F161,Precios!$A$5:$A$120,0)),"x")),OR(H161="",ISNUMBER(IFERROR(INDEX(Precios!$D$5:$D$120,MATCH(H161,Precios!$A$5:$A$120,0)),"x"))),J161&lt;&gt;"",K161&lt;&gt;"",Q161&gt;0),SUM(O161:R161),""))</f>
        <v/>
      </c>
      <c r="T161" s="17" t="str">
        <f aca="false">IF(AND(S161&lt;&gt;"",ISNUMBER(E161)),E161*Parametros!$B$12,"")</f>
        <v/>
      </c>
      <c r="U161" s="17" t="str">
        <f aca="false">IF(AND(S161&lt;&gt;"",ISNUMBER(E161)),E161*Parametros!$B$13,"")</f>
        <v/>
      </c>
      <c r="V161" s="18" t="str">
        <f aca="false">IF(AND(S161&lt;&gt;"",ISNUMBER(E161)),E161-S161-T161-U161,"")</f>
        <v/>
      </c>
      <c r="W161" s="19" t="str">
        <f aca="false">IF(AND(S161&lt;&gt;"",ISNUMBER(E161)),V161/E161,"")</f>
        <v/>
      </c>
      <c r="X161" s="17" t="str">
        <f aca="false">IF(OR(S161="",Parametros!$B$14&gt;=1),"",S161/(1-Parametros!$B$14))</f>
        <v/>
      </c>
      <c r="Y161" s="17" t="str">
        <f aca="false">IF(OR(S161="",Parametros!$B$14+Parametros!$B$18&gt;=1),"",S161/(1-Parametros!$B$14-Parametros!$B$18))</f>
        <v/>
      </c>
      <c r="Z161" s="20" t="str">
        <f aca="false">IF(B161="","",IF(S161="","FALTAN DATOS",IF(NOT(ISNUMBER(E161)),"FALTA PRECIO",IF(V161&lt;0,"PIERDE",IF(W161&lt;Parametros!$B$18,"BAJO META","OK")))))</f>
        <v/>
      </c>
      <c r="AA161" s="21" t="str">
        <f aca="false">IF(B161="","",IF(F161="","Tela. ","")&amp;IF(NOT(ISNUMBER(G161)),"Kg de tela. ","")&amp;IF(AND(F161&lt;&gt;"",NOT(ISNUMBER(IFERROR(INDEX(Precios!$D$5:$D$120,MATCH(F161,Precios!$A$5:$A$120,0)),"x")))),"Tela sin precio. ","")&amp;IF(AND(H161&lt;&gt;"",NOT(ISNUMBER(IFERROR(INDEX(Precios!$D$5:$D$120,MATCH(H161,Precios!$A$5:$A$120,0)),"x")))),"Tela 2 sin precio. ","")&amp;IF(J161="","Metros impresos. ","")&amp;IF(AND(N(J161)&gt;0,Parametros!$B$27=0),"Impresión sin costo. ","")&amp;IF(K161="","Confección. ",IF(Q161=0,"Confección sin valor. ",""))&amp;IF(NOT(ISNUMBER(E161)),"Precio de venta. ",""))</f>
        <v/>
      </c>
    </row>
    <row r="162" customFormat="false" ht="15" hidden="false" customHeight="false" outlineLevel="0" collapsed="false">
      <c r="A162" s="22"/>
      <c r="B162" s="22"/>
      <c r="C162" s="22"/>
      <c r="D162" s="13"/>
      <c r="E162" s="12"/>
      <c r="F162" s="13"/>
      <c r="G162" s="14"/>
      <c r="H162" s="13"/>
      <c r="I162" s="14"/>
      <c r="J162" s="15"/>
      <c r="K162" s="13"/>
      <c r="L162" s="12"/>
      <c r="M162" s="13"/>
      <c r="O162" s="17" t="str">
        <f aca="false">IF(B162="","",IFERROR(G162*INDEX(Precios!$D$5:$D$120,MATCH(F162,Precios!$A$5:$A$120,0)),0)+IF(H162="",0,IFERROR(I162*INDEX(Precios!$D$5:$D$120,MATCH(H162,Precios!$A$5:$A$120,0)),0)))</f>
        <v/>
      </c>
      <c r="P162" s="17" t="str">
        <f aca="false">IF(B162="","",N(J162)*Parametros!$B$27)</f>
        <v/>
      </c>
      <c r="Q162" s="17" t="str">
        <f aca="false">IF(B162="","",IFERROR(INDEX(Confeccion!$B$5:$B$100,MATCH(K162,Confeccion!$A$5:$A$100,0)),0))</f>
        <v/>
      </c>
      <c r="R162" s="17" t="str">
        <f aca="false">IF(B162="","",N(L162))</f>
        <v/>
      </c>
      <c r="S162" s="18" t="str">
        <f aca="false">IF(B162="","",IF(AND(F162&lt;&gt;"",ISNUMBER(G162),ISNUMBER(IFERROR(INDEX(Precios!$D$5:$D$120,MATCH(F162,Precios!$A$5:$A$120,0)),"x")),OR(H162="",ISNUMBER(IFERROR(INDEX(Precios!$D$5:$D$120,MATCH(H162,Precios!$A$5:$A$120,0)),"x"))),J162&lt;&gt;"",K162&lt;&gt;"",Q162&gt;0),SUM(O162:R162),""))</f>
        <v/>
      </c>
      <c r="T162" s="17" t="str">
        <f aca="false">IF(AND(S162&lt;&gt;"",ISNUMBER(E162)),E162*Parametros!$B$12,"")</f>
        <v/>
      </c>
      <c r="U162" s="17" t="str">
        <f aca="false">IF(AND(S162&lt;&gt;"",ISNUMBER(E162)),E162*Parametros!$B$13,"")</f>
        <v/>
      </c>
      <c r="V162" s="18" t="str">
        <f aca="false">IF(AND(S162&lt;&gt;"",ISNUMBER(E162)),E162-S162-T162-U162,"")</f>
        <v/>
      </c>
      <c r="W162" s="19" t="str">
        <f aca="false">IF(AND(S162&lt;&gt;"",ISNUMBER(E162)),V162/E162,"")</f>
        <v/>
      </c>
      <c r="X162" s="17" t="str">
        <f aca="false">IF(OR(S162="",Parametros!$B$14&gt;=1),"",S162/(1-Parametros!$B$14))</f>
        <v/>
      </c>
      <c r="Y162" s="17" t="str">
        <f aca="false">IF(OR(S162="",Parametros!$B$14+Parametros!$B$18&gt;=1),"",S162/(1-Parametros!$B$14-Parametros!$B$18))</f>
        <v/>
      </c>
      <c r="Z162" s="20" t="str">
        <f aca="false">IF(B162="","",IF(S162="","FALTAN DATOS",IF(NOT(ISNUMBER(E162)),"FALTA PRECIO",IF(V162&lt;0,"PIERDE",IF(W162&lt;Parametros!$B$18,"BAJO META","OK")))))</f>
        <v/>
      </c>
      <c r="AA162" s="21" t="str">
        <f aca="false">IF(B162="","",IF(F162="","Tela. ","")&amp;IF(NOT(ISNUMBER(G162)),"Kg de tela. ","")&amp;IF(AND(F162&lt;&gt;"",NOT(ISNUMBER(IFERROR(INDEX(Precios!$D$5:$D$120,MATCH(F162,Precios!$A$5:$A$120,0)),"x")))),"Tela sin precio. ","")&amp;IF(AND(H162&lt;&gt;"",NOT(ISNUMBER(IFERROR(INDEX(Precios!$D$5:$D$120,MATCH(H162,Precios!$A$5:$A$120,0)),"x")))),"Tela 2 sin precio. ","")&amp;IF(J162="","Metros impresos. ","")&amp;IF(AND(N(J162)&gt;0,Parametros!$B$27=0),"Impresión sin costo. ","")&amp;IF(K162="","Confección. ",IF(Q162=0,"Confección sin valor. ",""))&amp;IF(NOT(ISNUMBER(E162)),"Precio de venta. ",""))</f>
        <v/>
      </c>
    </row>
    <row r="163" customFormat="false" ht="15" hidden="false" customHeight="false" outlineLevel="0" collapsed="false">
      <c r="A163" s="22"/>
      <c r="B163" s="22"/>
      <c r="C163" s="22"/>
      <c r="D163" s="13"/>
      <c r="E163" s="12"/>
      <c r="F163" s="13"/>
      <c r="G163" s="14"/>
      <c r="H163" s="13"/>
      <c r="I163" s="14"/>
      <c r="J163" s="15"/>
      <c r="K163" s="13"/>
      <c r="L163" s="12"/>
      <c r="M163" s="13"/>
      <c r="O163" s="17" t="str">
        <f aca="false">IF(B163="","",IFERROR(G163*INDEX(Precios!$D$5:$D$120,MATCH(F163,Precios!$A$5:$A$120,0)),0)+IF(H163="",0,IFERROR(I163*INDEX(Precios!$D$5:$D$120,MATCH(H163,Precios!$A$5:$A$120,0)),0)))</f>
        <v/>
      </c>
      <c r="P163" s="17" t="str">
        <f aca="false">IF(B163="","",N(J163)*Parametros!$B$27)</f>
        <v/>
      </c>
      <c r="Q163" s="17" t="str">
        <f aca="false">IF(B163="","",IFERROR(INDEX(Confeccion!$B$5:$B$100,MATCH(K163,Confeccion!$A$5:$A$100,0)),0))</f>
        <v/>
      </c>
      <c r="R163" s="17" t="str">
        <f aca="false">IF(B163="","",N(L163))</f>
        <v/>
      </c>
      <c r="S163" s="18" t="str">
        <f aca="false">IF(B163="","",IF(AND(F163&lt;&gt;"",ISNUMBER(G163),ISNUMBER(IFERROR(INDEX(Precios!$D$5:$D$120,MATCH(F163,Precios!$A$5:$A$120,0)),"x")),OR(H163="",ISNUMBER(IFERROR(INDEX(Precios!$D$5:$D$120,MATCH(H163,Precios!$A$5:$A$120,0)),"x"))),J163&lt;&gt;"",K163&lt;&gt;"",Q163&gt;0),SUM(O163:R163),""))</f>
        <v/>
      </c>
      <c r="T163" s="17" t="str">
        <f aca="false">IF(AND(S163&lt;&gt;"",ISNUMBER(E163)),E163*Parametros!$B$12,"")</f>
        <v/>
      </c>
      <c r="U163" s="17" t="str">
        <f aca="false">IF(AND(S163&lt;&gt;"",ISNUMBER(E163)),E163*Parametros!$B$13,"")</f>
        <v/>
      </c>
      <c r="V163" s="18" t="str">
        <f aca="false">IF(AND(S163&lt;&gt;"",ISNUMBER(E163)),E163-S163-T163-U163,"")</f>
        <v/>
      </c>
      <c r="W163" s="19" t="str">
        <f aca="false">IF(AND(S163&lt;&gt;"",ISNUMBER(E163)),V163/E163,"")</f>
        <v/>
      </c>
      <c r="X163" s="17" t="str">
        <f aca="false">IF(OR(S163="",Parametros!$B$14&gt;=1),"",S163/(1-Parametros!$B$14))</f>
        <v/>
      </c>
      <c r="Y163" s="17" t="str">
        <f aca="false">IF(OR(S163="",Parametros!$B$14+Parametros!$B$18&gt;=1),"",S163/(1-Parametros!$B$14-Parametros!$B$18))</f>
        <v/>
      </c>
      <c r="Z163" s="20" t="str">
        <f aca="false">IF(B163="","",IF(S163="","FALTAN DATOS",IF(NOT(ISNUMBER(E163)),"FALTA PRECIO",IF(V163&lt;0,"PIERDE",IF(W163&lt;Parametros!$B$18,"BAJO META","OK")))))</f>
        <v/>
      </c>
      <c r="AA163" s="21" t="str">
        <f aca="false">IF(B163="","",IF(F163="","Tela. ","")&amp;IF(NOT(ISNUMBER(G163)),"Kg de tela. ","")&amp;IF(AND(F163&lt;&gt;"",NOT(ISNUMBER(IFERROR(INDEX(Precios!$D$5:$D$120,MATCH(F163,Precios!$A$5:$A$120,0)),"x")))),"Tela sin precio. ","")&amp;IF(AND(H163&lt;&gt;"",NOT(ISNUMBER(IFERROR(INDEX(Precios!$D$5:$D$120,MATCH(H163,Precios!$A$5:$A$120,0)),"x")))),"Tela 2 sin precio. ","")&amp;IF(J163="","Metros impresos. ","")&amp;IF(AND(N(J163)&gt;0,Parametros!$B$27=0),"Impresión sin costo. ","")&amp;IF(K163="","Confección. ",IF(Q163=0,"Confección sin valor. ",""))&amp;IF(NOT(ISNUMBER(E163)),"Precio de venta. ",""))</f>
        <v/>
      </c>
    </row>
    <row r="164" customFormat="false" ht="15" hidden="false" customHeight="false" outlineLevel="0" collapsed="false">
      <c r="A164" s="22"/>
      <c r="B164" s="22"/>
      <c r="C164" s="22"/>
      <c r="D164" s="13"/>
      <c r="E164" s="12"/>
      <c r="F164" s="13"/>
      <c r="G164" s="14"/>
      <c r="H164" s="13"/>
      <c r="I164" s="14"/>
      <c r="J164" s="15"/>
      <c r="K164" s="13"/>
      <c r="L164" s="12"/>
      <c r="M164" s="13"/>
      <c r="O164" s="17" t="str">
        <f aca="false">IF(B164="","",IFERROR(G164*INDEX(Precios!$D$5:$D$120,MATCH(F164,Precios!$A$5:$A$120,0)),0)+IF(H164="",0,IFERROR(I164*INDEX(Precios!$D$5:$D$120,MATCH(H164,Precios!$A$5:$A$120,0)),0)))</f>
        <v/>
      </c>
      <c r="P164" s="17" t="str">
        <f aca="false">IF(B164="","",N(J164)*Parametros!$B$27)</f>
        <v/>
      </c>
      <c r="Q164" s="17" t="str">
        <f aca="false">IF(B164="","",IFERROR(INDEX(Confeccion!$B$5:$B$100,MATCH(K164,Confeccion!$A$5:$A$100,0)),0))</f>
        <v/>
      </c>
      <c r="R164" s="17" t="str">
        <f aca="false">IF(B164="","",N(L164))</f>
        <v/>
      </c>
      <c r="S164" s="18" t="str">
        <f aca="false">IF(B164="","",IF(AND(F164&lt;&gt;"",ISNUMBER(G164),ISNUMBER(IFERROR(INDEX(Precios!$D$5:$D$120,MATCH(F164,Precios!$A$5:$A$120,0)),"x")),OR(H164="",ISNUMBER(IFERROR(INDEX(Precios!$D$5:$D$120,MATCH(H164,Precios!$A$5:$A$120,0)),"x"))),J164&lt;&gt;"",K164&lt;&gt;"",Q164&gt;0),SUM(O164:R164),""))</f>
        <v/>
      </c>
      <c r="T164" s="17" t="str">
        <f aca="false">IF(AND(S164&lt;&gt;"",ISNUMBER(E164)),E164*Parametros!$B$12,"")</f>
        <v/>
      </c>
      <c r="U164" s="17" t="str">
        <f aca="false">IF(AND(S164&lt;&gt;"",ISNUMBER(E164)),E164*Parametros!$B$13,"")</f>
        <v/>
      </c>
      <c r="V164" s="18" t="str">
        <f aca="false">IF(AND(S164&lt;&gt;"",ISNUMBER(E164)),E164-S164-T164-U164,"")</f>
        <v/>
      </c>
      <c r="W164" s="19" t="str">
        <f aca="false">IF(AND(S164&lt;&gt;"",ISNUMBER(E164)),V164/E164,"")</f>
        <v/>
      </c>
      <c r="X164" s="17" t="str">
        <f aca="false">IF(OR(S164="",Parametros!$B$14&gt;=1),"",S164/(1-Parametros!$B$14))</f>
        <v/>
      </c>
      <c r="Y164" s="17" t="str">
        <f aca="false">IF(OR(S164="",Parametros!$B$14+Parametros!$B$18&gt;=1),"",S164/(1-Parametros!$B$14-Parametros!$B$18))</f>
        <v/>
      </c>
      <c r="Z164" s="20" t="str">
        <f aca="false">IF(B164="","",IF(S164="","FALTAN DATOS",IF(NOT(ISNUMBER(E164)),"FALTA PRECIO",IF(V164&lt;0,"PIERDE",IF(W164&lt;Parametros!$B$18,"BAJO META","OK")))))</f>
        <v/>
      </c>
      <c r="AA164" s="21" t="str">
        <f aca="false">IF(B164="","",IF(F164="","Tela. ","")&amp;IF(NOT(ISNUMBER(G164)),"Kg de tela. ","")&amp;IF(AND(F164&lt;&gt;"",NOT(ISNUMBER(IFERROR(INDEX(Precios!$D$5:$D$120,MATCH(F164,Precios!$A$5:$A$120,0)),"x")))),"Tela sin precio. ","")&amp;IF(AND(H164&lt;&gt;"",NOT(ISNUMBER(IFERROR(INDEX(Precios!$D$5:$D$120,MATCH(H164,Precios!$A$5:$A$120,0)),"x")))),"Tela 2 sin precio. ","")&amp;IF(J164="","Metros impresos. ","")&amp;IF(AND(N(J164)&gt;0,Parametros!$B$27=0),"Impresión sin costo. ","")&amp;IF(K164="","Confección. ",IF(Q164=0,"Confección sin valor. ",""))&amp;IF(NOT(ISNUMBER(E164)),"Precio de venta. ",""))</f>
        <v/>
      </c>
    </row>
    <row r="165" customFormat="false" ht="15" hidden="false" customHeight="false" outlineLevel="0" collapsed="false">
      <c r="A165" s="22"/>
      <c r="B165" s="22"/>
      <c r="C165" s="22"/>
      <c r="D165" s="13"/>
      <c r="E165" s="12"/>
      <c r="F165" s="13"/>
      <c r="G165" s="14"/>
      <c r="H165" s="13"/>
      <c r="I165" s="14"/>
      <c r="J165" s="15"/>
      <c r="K165" s="13"/>
      <c r="L165" s="12"/>
      <c r="M165" s="13"/>
      <c r="O165" s="17" t="str">
        <f aca="false">IF(B165="","",IFERROR(G165*INDEX(Precios!$D$5:$D$120,MATCH(F165,Precios!$A$5:$A$120,0)),0)+IF(H165="",0,IFERROR(I165*INDEX(Precios!$D$5:$D$120,MATCH(H165,Precios!$A$5:$A$120,0)),0)))</f>
        <v/>
      </c>
      <c r="P165" s="17" t="str">
        <f aca="false">IF(B165="","",N(J165)*Parametros!$B$27)</f>
        <v/>
      </c>
      <c r="Q165" s="17" t="str">
        <f aca="false">IF(B165="","",IFERROR(INDEX(Confeccion!$B$5:$B$100,MATCH(K165,Confeccion!$A$5:$A$100,0)),0))</f>
        <v/>
      </c>
      <c r="R165" s="17" t="str">
        <f aca="false">IF(B165="","",N(L165))</f>
        <v/>
      </c>
      <c r="S165" s="18" t="str">
        <f aca="false">IF(B165="","",IF(AND(F165&lt;&gt;"",ISNUMBER(G165),ISNUMBER(IFERROR(INDEX(Precios!$D$5:$D$120,MATCH(F165,Precios!$A$5:$A$120,0)),"x")),OR(H165="",ISNUMBER(IFERROR(INDEX(Precios!$D$5:$D$120,MATCH(H165,Precios!$A$5:$A$120,0)),"x"))),J165&lt;&gt;"",K165&lt;&gt;"",Q165&gt;0),SUM(O165:R165),""))</f>
        <v/>
      </c>
      <c r="T165" s="17" t="str">
        <f aca="false">IF(AND(S165&lt;&gt;"",ISNUMBER(E165)),E165*Parametros!$B$12,"")</f>
        <v/>
      </c>
      <c r="U165" s="17" t="str">
        <f aca="false">IF(AND(S165&lt;&gt;"",ISNUMBER(E165)),E165*Parametros!$B$13,"")</f>
        <v/>
      </c>
      <c r="V165" s="18" t="str">
        <f aca="false">IF(AND(S165&lt;&gt;"",ISNUMBER(E165)),E165-S165-T165-U165,"")</f>
        <v/>
      </c>
      <c r="W165" s="19" t="str">
        <f aca="false">IF(AND(S165&lt;&gt;"",ISNUMBER(E165)),V165/E165,"")</f>
        <v/>
      </c>
      <c r="X165" s="17" t="str">
        <f aca="false">IF(OR(S165="",Parametros!$B$14&gt;=1),"",S165/(1-Parametros!$B$14))</f>
        <v/>
      </c>
      <c r="Y165" s="17" t="str">
        <f aca="false">IF(OR(S165="",Parametros!$B$14+Parametros!$B$18&gt;=1),"",S165/(1-Parametros!$B$14-Parametros!$B$18))</f>
        <v/>
      </c>
      <c r="Z165" s="20" t="str">
        <f aca="false">IF(B165="","",IF(S165="","FALTAN DATOS",IF(NOT(ISNUMBER(E165)),"FALTA PRECIO",IF(V165&lt;0,"PIERDE",IF(W165&lt;Parametros!$B$18,"BAJO META","OK")))))</f>
        <v/>
      </c>
      <c r="AA165" s="21" t="str">
        <f aca="false">IF(B165="","",IF(F165="","Tela. ","")&amp;IF(NOT(ISNUMBER(G165)),"Kg de tela. ","")&amp;IF(AND(F165&lt;&gt;"",NOT(ISNUMBER(IFERROR(INDEX(Precios!$D$5:$D$120,MATCH(F165,Precios!$A$5:$A$120,0)),"x")))),"Tela sin precio. ","")&amp;IF(AND(H165&lt;&gt;"",NOT(ISNUMBER(IFERROR(INDEX(Precios!$D$5:$D$120,MATCH(H165,Precios!$A$5:$A$120,0)),"x")))),"Tela 2 sin precio. ","")&amp;IF(J165="","Metros impresos. ","")&amp;IF(AND(N(J165)&gt;0,Parametros!$B$27=0),"Impresión sin costo. ","")&amp;IF(K165="","Confección. ",IF(Q165=0,"Confección sin valor. ",""))&amp;IF(NOT(ISNUMBER(E165)),"Precio de venta. ",""))</f>
        <v/>
      </c>
    </row>
    <row r="166" customFormat="false" ht="15" hidden="false" customHeight="false" outlineLevel="0" collapsed="false">
      <c r="A166" s="22"/>
      <c r="B166" s="22"/>
      <c r="C166" s="22"/>
      <c r="D166" s="13"/>
      <c r="E166" s="12"/>
      <c r="F166" s="13"/>
      <c r="G166" s="14"/>
      <c r="H166" s="13"/>
      <c r="I166" s="14"/>
      <c r="J166" s="15"/>
      <c r="K166" s="13"/>
      <c r="L166" s="12"/>
      <c r="M166" s="13"/>
      <c r="O166" s="17" t="str">
        <f aca="false">IF(B166="","",IFERROR(G166*INDEX(Precios!$D$5:$D$120,MATCH(F166,Precios!$A$5:$A$120,0)),0)+IF(H166="",0,IFERROR(I166*INDEX(Precios!$D$5:$D$120,MATCH(H166,Precios!$A$5:$A$120,0)),0)))</f>
        <v/>
      </c>
      <c r="P166" s="17" t="str">
        <f aca="false">IF(B166="","",N(J166)*Parametros!$B$27)</f>
        <v/>
      </c>
      <c r="Q166" s="17" t="str">
        <f aca="false">IF(B166="","",IFERROR(INDEX(Confeccion!$B$5:$B$100,MATCH(K166,Confeccion!$A$5:$A$100,0)),0))</f>
        <v/>
      </c>
      <c r="R166" s="17" t="str">
        <f aca="false">IF(B166="","",N(L166))</f>
        <v/>
      </c>
      <c r="S166" s="18" t="str">
        <f aca="false">IF(B166="","",IF(AND(F166&lt;&gt;"",ISNUMBER(G166),ISNUMBER(IFERROR(INDEX(Precios!$D$5:$D$120,MATCH(F166,Precios!$A$5:$A$120,0)),"x")),OR(H166="",ISNUMBER(IFERROR(INDEX(Precios!$D$5:$D$120,MATCH(H166,Precios!$A$5:$A$120,0)),"x"))),J166&lt;&gt;"",K166&lt;&gt;"",Q166&gt;0),SUM(O166:R166),""))</f>
        <v/>
      </c>
      <c r="T166" s="17" t="str">
        <f aca="false">IF(AND(S166&lt;&gt;"",ISNUMBER(E166)),E166*Parametros!$B$12,"")</f>
        <v/>
      </c>
      <c r="U166" s="17" t="str">
        <f aca="false">IF(AND(S166&lt;&gt;"",ISNUMBER(E166)),E166*Parametros!$B$13,"")</f>
        <v/>
      </c>
      <c r="V166" s="18" t="str">
        <f aca="false">IF(AND(S166&lt;&gt;"",ISNUMBER(E166)),E166-S166-T166-U166,"")</f>
        <v/>
      </c>
      <c r="W166" s="19" t="str">
        <f aca="false">IF(AND(S166&lt;&gt;"",ISNUMBER(E166)),V166/E166,"")</f>
        <v/>
      </c>
      <c r="X166" s="17" t="str">
        <f aca="false">IF(OR(S166="",Parametros!$B$14&gt;=1),"",S166/(1-Parametros!$B$14))</f>
        <v/>
      </c>
      <c r="Y166" s="17" t="str">
        <f aca="false">IF(OR(S166="",Parametros!$B$14+Parametros!$B$18&gt;=1),"",S166/(1-Parametros!$B$14-Parametros!$B$18))</f>
        <v/>
      </c>
      <c r="Z166" s="20" t="str">
        <f aca="false">IF(B166="","",IF(S166="","FALTAN DATOS",IF(NOT(ISNUMBER(E166)),"FALTA PRECIO",IF(V166&lt;0,"PIERDE",IF(W166&lt;Parametros!$B$18,"BAJO META","OK")))))</f>
        <v/>
      </c>
      <c r="AA166" s="21" t="str">
        <f aca="false">IF(B166="","",IF(F166="","Tela. ","")&amp;IF(NOT(ISNUMBER(G166)),"Kg de tela. ","")&amp;IF(AND(F166&lt;&gt;"",NOT(ISNUMBER(IFERROR(INDEX(Precios!$D$5:$D$120,MATCH(F166,Precios!$A$5:$A$120,0)),"x")))),"Tela sin precio. ","")&amp;IF(AND(H166&lt;&gt;"",NOT(ISNUMBER(IFERROR(INDEX(Precios!$D$5:$D$120,MATCH(H166,Precios!$A$5:$A$120,0)),"x")))),"Tela 2 sin precio. ","")&amp;IF(J166="","Metros impresos. ","")&amp;IF(AND(N(J166)&gt;0,Parametros!$B$27=0),"Impresión sin costo. ","")&amp;IF(K166="","Confección. ",IF(Q166=0,"Confección sin valor. ",""))&amp;IF(NOT(ISNUMBER(E166)),"Precio de venta. ",""))</f>
        <v/>
      </c>
    </row>
    <row r="167" customFormat="false" ht="15" hidden="false" customHeight="false" outlineLevel="0" collapsed="false">
      <c r="A167" s="22"/>
      <c r="B167" s="22"/>
      <c r="C167" s="22"/>
      <c r="D167" s="13"/>
      <c r="E167" s="12"/>
      <c r="F167" s="13"/>
      <c r="G167" s="14"/>
      <c r="H167" s="13"/>
      <c r="I167" s="14"/>
      <c r="J167" s="15"/>
      <c r="K167" s="13"/>
      <c r="L167" s="12"/>
      <c r="M167" s="13"/>
      <c r="O167" s="17" t="str">
        <f aca="false">IF(B167="","",IFERROR(G167*INDEX(Precios!$D$5:$D$120,MATCH(F167,Precios!$A$5:$A$120,0)),0)+IF(H167="",0,IFERROR(I167*INDEX(Precios!$D$5:$D$120,MATCH(H167,Precios!$A$5:$A$120,0)),0)))</f>
        <v/>
      </c>
      <c r="P167" s="17" t="str">
        <f aca="false">IF(B167="","",N(J167)*Parametros!$B$27)</f>
        <v/>
      </c>
      <c r="Q167" s="17" t="str">
        <f aca="false">IF(B167="","",IFERROR(INDEX(Confeccion!$B$5:$B$100,MATCH(K167,Confeccion!$A$5:$A$100,0)),0))</f>
        <v/>
      </c>
      <c r="R167" s="17" t="str">
        <f aca="false">IF(B167="","",N(L167))</f>
        <v/>
      </c>
      <c r="S167" s="18" t="str">
        <f aca="false">IF(B167="","",IF(AND(F167&lt;&gt;"",ISNUMBER(G167),ISNUMBER(IFERROR(INDEX(Precios!$D$5:$D$120,MATCH(F167,Precios!$A$5:$A$120,0)),"x")),OR(H167="",ISNUMBER(IFERROR(INDEX(Precios!$D$5:$D$120,MATCH(H167,Precios!$A$5:$A$120,0)),"x"))),J167&lt;&gt;"",K167&lt;&gt;"",Q167&gt;0),SUM(O167:R167),""))</f>
        <v/>
      </c>
      <c r="T167" s="17" t="str">
        <f aca="false">IF(AND(S167&lt;&gt;"",ISNUMBER(E167)),E167*Parametros!$B$12,"")</f>
        <v/>
      </c>
      <c r="U167" s="17" t="str">
        <f aca="false">IF(AND(S167&lt;&gt;"",ISNUMBER(E167)),E167*Parametros!$B$13,"")</f>
        <v/>
      </c>
      <c r="V167" s="18" t="str">
        <f aca="false">IF(AND(S167&lt;&gt;"",ISNUMBER(E167)),E167-S167-T167-U167,"")</f>
        <v/>
      </c>
      <c r="W167" s="19" t="str">
        <f aca="false">IF(AND(S167&lt;&gt;"",ISNUMBER(E167)),V167/E167,"")</f>
        <v/>
      </c>
      <c r="X167" s="17" t="str">
        <f aca="false">IF(OR(S167="",Parametros!$B$14&gt;=1),"",S167/(1-Parametros!$B$14))</f>
        <v/>
      </c>
      <c r="Y167" s="17" t="str">
        <f aca="false">IF(OR(S167="",Parametros!$B$14+Parametros!$B$18&gt;=1),"",S167/(1-Parametros!$B$14-Parametros!$B$18))</f>
        <v/>
      </c>
      <c r="Z167" s="20" t="str">
        <f aca="false">IF(B167="","",IF(S167="","FALTAN DATOS",IF(NOT(ISNUMBER(E167)),"FALTA PRECIO",IF(V167&lt;0,"PIERDE",IF(W167&lt;Parametros!$B$18,"BAJO META","OK")))))</f>
        <v/>
      </c>
      <c r="AA167" s="21" t="str">
        <f aca="false">IF(B167="","",IF(F167="","Tela. ","")&amp;IF(NOT(ISNUMBER(G167)),"Kg de tela. ","")&amp;IF(AND(F167&lt;&gt;"",NOT(ISNUMBER(IFERROR(INDEX(Precios!$D$5:$D$120,MATCH(F167,Precios!$A$5:$A$120,0)),"x")))),"Tela sin precio. ","")&amp;IF(AND(H167&lt;&gt;"",NOT(ISNUMBER(IFERROR(INDEX(Precios!$D$5:$D$120,MATCH(H167,Precios!$A$5:$A$120,0)),"x")))),"Tela 2 sin precio. ","")&amp;IF(J167="","Metros impresos. ","")&amp;IF(AND(N(J167)&gt;0,Parametros!$B$27=0),"Impresión sin costo. ","")&amp;IF(K167="","Confección. ",IF(Q167=0,"Confección sin valor. ",""))&amp;IF(NOT(ISNUMBER(E167)),"Precio de venta. ",""))</f>
        <v/>
      </c>
    </row>
    <row r="168" customFormat="false" ht="15" hidden="false" customHeight="false" outlineLevel="0" collapsed="false">
      <c r="A168" s="22"/>
      <c r="B168" s="22"/>
      <c r="C168" s="22"/>
      <c r="D168" s="13"/>
      <c r="E168" s="12"/>
      <c r="F168" s="13"/>
      <c r="G168" s="14"/>
      <c r="H168" s="13"/>
      <c r="I168" s="14"/>
      <c r="J168" s="15"/>
      <c r="K168" s="13"/>
      <c r="L168" s="12"/>
      <c r="M168" s="13"/>
      <c r="O168" s="17" t="str">
        <f aca="false">IF(B168="","",IFERROR(G168*INDEX(Precios!$D$5:$D$120,MATCH(F168,Precios!$A$5:$A$120,0)),0)+IF(H168="",0,IFERROR(I168*INDEX(Precios!$D$5:$D$120,MATCH(H168,Precios!$A$5:$A$120,0)),0)))</f>
        <v/>
      </c>
      <c r="P168" s="17" t="str">
        <f aca="false">IF(B168="","",N(J168)*Parametros!$B$27)</f>
        <v/>
      </c>
      <c r="Q168" s="17" t="str">
        <f aca="false">IF(B168="","",IFERROR(INDEX(Confeccion!$B$5:$B$100,MATCH(K168,Confeccion!$A$5:$A$100,0)),0))</f>
        <v/>
      </c>
      <c r="R168" s="17" t="str">
        <f aca="false">IF(B168="","",N(L168))</f>
        <v/>
      </c>
      <c r="S168" s="18" t="str">
        <f aca="false">IF(B168="","",IF(AND(F168&lt;&gt;"",ISNUMBER(G168),ISNUMBER(IFERROR(INDEX(Precios!$D$5:$D$120,MATCH(F168,Precios!$A$5:$A$120,0)),"x")),OR(H168="",ISNUMBER(IFERROR(INDEX(Precios!$D$5:$D$120,MATCH(H168,Precios!$A$5:$A$120,0)),"x"))),J168&lt;&gt;"",K168&lt;&gt;"",Q168&gt;0),SUM(O168:R168),""))</f>
        <v/>
      </c>
      <c r="T168" s="17" t="str">
        <f aca="false">IF(AND(S168&lt;&gt;"",ISNUMBER(E168)),E168*Parametros!$B$12,"")</f>
        <v/>
      </c>
      <c r="U168" s="17" t="str">
        <f aca="false">IF(AND(S168&lt;&gt;"",ISNUMBER(E168)),E168*Parametros!$B$13,"")</f>
        <v/>
      </c>
      <c r="V168" s="18" t="str">
        <f aca="false">IF(AND(S168&lt;&gt;"",ISNUMBER(E168)),E168-S168-T168-U168,"")</f>
        <v/>
      </c>
      <c r="W168" s="19" t="str">
        <f aca="false">IF(AND(S168&lt;&gt;"",ISNUMBER(E168)),V168/E168,"")</f>
        <v/>
      </c>
      <c r="X168" s="17" t="str">
        <f aca="false">IF(OR(S168="",Parametros!$B$14&gt;=1),"",S168/(1-Parametros!$B$14))</f>
        <v/>
      </c>
      <c r="Y168" s="17" t="str">
        <f aca="false">IF(OR(S168="",Parametros!$B$14+Parametros!$B$18&gt;=1),"",S168/(1-Parametros!$B$14-Parametros!$B$18))</f>
        <v/>
      </c>
      <c r="Z168" s="20" t="str">
        <f aca="false">IF(B168="","",IF(S168="","FALTAN DATOS",IF(NOT(ISNUMBER(E168)),"FALTA PRECIO",IF(V168&lt;0,"PIERDE",IF(W168&lt;Parametros!$B$18,"BAJO META","OK")))))</f>
        <v/>
      </c>
      <c r="AA168" s="21" t="str">
        <f aca="false">IF(B168="","",IF(F168="","Tela. ","")&amp;IF(NOT(ISNUMBER(G168)),"Kg de tela. ","")&amp;IF(AND(F168&lt;&gt;"",NOT(ISNUMBER(IFERROR(INDEX(Precios!$D$5:$D$120,MATCH(F168,Precios!$A$5:$A$120,0)),"x")))),"Tela sin precio. ","")&amp;IF(AND(H168&lt;&gt;"",NOT(ISNUMBER(IFERROR(INDEX(Precios!$D$5:$D$120,MATCH(H168,Precios!$A$5:$A$120,0)),"x")))),"Tela 2 sin precio. ","")&amp;IF(J168="","Metros impresos. ","")&amp;IF(AND(N(J168)&gt;0,Parametros!$B$27=0),"Impresión sin costo. ","")&amp;IF(K168="","Confección. ",IF(Q168=0,"Confección sin valor. ",""))&amp;IF(NOT(ISNUMBER(E168)),"Precio de venta. ",""))</f>
        <v/>
      </c>
    </row>
    <row r="169" customFormat="false" ht="15" hidden="false" customHeight="false" outlineLevel="0" collapsed="false">
      <c r="A169" s="22"/>
      <c r="B169" s="22"/>
      <c r="C169" s="22"/>
      <c r="D169" s="13"/>
      <c r="E169" s="12"/>
      <c r="F169" s="13"/>
      <c r="G169" s="14"/>
      <c r="H169" s="13"/>
      <c r="I169" s="14"/>
      <c r="J169" s="15"/>
      <c r="K169" s="13"/>
      <c r="L169" s="12"/>
      <c r="M169" s="13"/>
      <c r="O169" s="17" t="str">
        <f aca="false">IF(B169="","",IFERROR(G169*INDEX(Precios!$D$5:$D$120,MATCH(F169,Precios!$A$5:$A$120,0)),0)+IF(H169="",0,IFERROR(I169*INDEX(Precios!$D$5:$D$120,MATCH(H169,Precios!$A$5:$A$120,0)),0)))</f>
        <v/>
      </c>
      <c r="P169" s="17" t="str">
        <f aca="false">IF(B169="","",N(J169)*Parametros!$B$27)</f>
        <v/>
      </c>
      <c r="Q169" s="17" t="str">
        <f aca="false">IF(B169="","",IFERROR(INDEX(Confeccion!$B$5:$B$100,MATCH(K169,Confeccion!$A$5:$A$100,0)),0))</f>
        <v/>
      </c>
      <c r="R169" s="17" t="str">
        <f aca="false">IF(B169="","",N(L169))</f>
        <v/>
      </c>
      <c r="S169" s="18" t="str">
        <f aca="false">IF(B169="","",IF(AND(F169&lt;&gt;"",ISNUMBER(G169),ISNUMBER(IFERROR(INDEX(Precios!$D$5:$D$120,MATCH(F169,Precios!$A$5:$A$120,0)),"x")),OR(H169="",ISNUMBER(IFERROR(INDEX(Precios!$D$5:$D$120,MATCH(H169,Precios!$A$5:$A$120,0)),"x"))),J169&lt;&gt;"",K169&lt;&gt;"",Q169&gt;0),SUM(O169:R169),""))</f>
        <v/>
      </c>
      <c r="T169" s="17" t="str">
        <f aca="false">IF(AND(S169&lt;&gt;"",ISNUMBER(E169)),E169*Parametros!$B$12,"")</f>
        <v/>
      </c>
      <c r="U169" s="17" t="str">
        <f aca="false">IF(AND(S169&lt;&gt;"",ISNUMBER(E169)),E169*Parametros!$B$13,"")</f>
        <v/>
      </c>
      <c r="V169" s="18" t="str">
        <f aca="false">IF(AND(S169&lt;&gt;"",ISNUMBER(E169)),E169-S169-T169-U169,"")</f>
        <v/>
      </c>
      <c r="W169" s="19" t="str">
        <f aca="false">IF(AND(S169&lt;&gt;"",ISNUMBER(E169)),V169/E169,"")</f>
        <v/>
      </c>
      <c r="X169" s="17" t="str">
        <f aca="false">IF(OR(S169="",Parametros!$B$14&gt;=1),"",S169/(1-Parametros!$B$14))</f>
        <v/>
      </c>
      <c r="Y169" s="17" t="str">
        <f aca="false">IF(OR(S169="",Parametros!$B$14+Parametros!$B$18&gt;=1),"",S169/(1-Parametros!$B$14-Parametros!$B$18))</f>
        <v/>
      </c>
      <c r="Z169" s="20" t="str">
        <f aca="false">IF(B169="","",IF(S169="","FALTAN DATOS",IF(NOT(ISNUMBER(E169)),"FALTA PRECIO",IF(V169&lt;0,"PIERDE",IF(W169&lt;Parametros!$B$18,"BAJO META","OK")))))</f>
        <v/>
      </c>
      <c r="AA169" s="21" t="str">
        <f aca="false">IF(B169="","",IF(F169="","Tela. ","")&amp;IF(NOT(ISNUMBER(G169)),"Kg de tela. ","")&amp;IF(AND(F169&lt;&gt;"",NOT(ISNUMBER(IFERROR(INDEX(Precios!$D$5:$D$120,MATCH(F169,Precios!$A$5:$A$120,0)),"x")))),"Tela sin precio. ","")&amp;IF(AND(H169&lt;&gt;"",NOT(ISNUMBER(IFERROR(INDEX(Precios!$D$5:$D$120,MATCH(H169,Precios!$A$5:$A$120,0)),"x")))),"Tela 2 sin precio. ","")&amp;IF(J169="","Metros impresos. ","")&amp;IF(AND(N(J169)&gt;0,Parametros!$B$27=0),"Impresión sin costo. ","")&amp;IF(K169="","Confección. ",IF(Q169=0,"Confección sin valor. ",""))&amp;IF(NOT(ISNUMBER(E169)),"Precio de venta. ",""))</f>
        <v/>
      </c>
    </row>
    <row r="170" customFormat="false" ht="15" hidden="false" customHeight="false" outlineLevel="0" collapsed="false">
      <c r="A170" s="22"/>
      <c r="B170" s="22"/>
      <c r="C170" s="22"/>
      <c r="D170" s="13"/>
      <c r="E170" s="12"/>
      <c r="F170" s="13"/>
      <c r="G170" s="14"/>
      <c r="H170" s="13"/>
      <c r="I170" s="14"/>
      <c r="J170" s="15"/>
      <c r="K170" s="13"/>
      <c r="L170" s="12"/>
      <c r="M170" s="13"/>
      <c r="O170" s="17" t="str">
        <f aca="false">IF(B170="","",IFERROR(G170*INDEX(Precios!$D$5:$D$120,MATCH(F170,Precios!$A$5:$A$120,0)),0)+IF(H170="",0,IFERROR(I170*INDEX(Precios!$D$5:$D$120,MATCH(H170,Precios!$A$5:$A$120,0)),0)))</f>
        <v/>
      </c>
      <c r="P170" s="17" t="str">
        <f aca="false">IF(B170="","",N(J170)*Parametros!$B$27)</f>
        <v/>
      </c>
      <c r="Q170" s="17" t="str">
        <f aca="false">IF(B170="","",IFERROR(INDEX(Confeccion!$B$5:$B$100,MATCH(K170,Confeccion!$A$5:$A$100,0)),0))</f>
        <v/>
      </c>
      <c r="R170" s="17" t="str">
        <f aca="false">IF(B170="","",N(L170))</f>
        <v/>
      </c>
      <c r="S170" s="18" t="str">
        <f aca="false">IF(B170="","",IF(AND(F170&lt;&gt;"",ISNUMBER(G170),ISNUMBER(IFERROR(INDEX(Precios!$D$5:$D$120,MATCH(F170,Precios!$A$5:$A$120,0)),"x")),OR(H170="",ISNUMBER(IFERROR(INDEX(Precios!$D$5:$D$120,MATCH(H170,Precios!$A$5:$A$120,0)),"x"))),J170&lt;&gt;"",K170&lt;&gt;"",Q170&gt;0),SUM(O170:R170),""))</f>
        <v/>
      </c>
      <c r="T170" s="17" t="str">
        <f aca="false">IF(AND(S170&lt;&gt;"",ISNUMBER(E170)),E170*Parametros!$B$12,"")</f>
        <v/>
      </c>
      <c r="U170" s="17" t="str">
        <f aca="false">IF(AND(S170&lt;&gt;"",ISNUMBER(E170)),E170*Parametros!$B$13,"")</f>
        <v/>
      </c>
      <c r="V170" s="18" t="str">
        <f aca="false">IF(AND(S170&lt;&gt;"",ISNUMBER(E170)),E170-S170-T170-U170,"")</f>
        <v/>
      </c>
      <c r="W170" s="19" t="str">
        <f aca="false">IF(AND(S170&lt;&gt;"",ISNUMBER(E170)),V170/E170,"")</f>
        <v/>
      </c>
      <c r="X170" s="17" t="str">
        <f aca="false">IF(OR(S170="",Parametros!$B$14&gt;=1),"",S170/(1-Parametros!$B$14))</f>
        <v/>
      </c>
      <c r="Y170" s="17" t="str">
        <f aca="false">IF(OR(S170="",Parametros!$B$14+Parametros!$B$18&gt;=1),"",S170/(1-Parametros!$B$14-Parametros!$B$18))</f>
        <v/>
      </c>
      <c r="Z170" s="20" t="str">
        <f aca="false">IF(B170="","",IF(S170="","FALTAN DATOS",IF(NOT(ISNUMBER(E170)),"FALTA PRECIO",IF(V170&lt;0,"PIERDE",IF(W170&lt;Parametros!$B$18,"BAJO META","OK")))))</f>
        <v/>
      </c>
      <c r="AA170" s="21" t="str">
        <f aca="false">IF(B170="","",IF(F170="","Tela. ","")&amp;IF(NOT(ISNUMBER(G170)),"Kg de tela. ","")&amp;IF(AND(F170&lt;&gt;"",NOT(ISNUMBER(IFERROR(INDEX(Precios!$D$5:$D$120,MATCH(F170,Precios!$A$5:$A$120,0)),"x")))),"Tela sin precio. ","")&amp;IF(AND(H170&lt;&gt;"",NOT(ISNUMBER(IFERROR(INDEX(Precios!$D$5:$D$120,MATCH(H170,Precios!$A$5:$A$120,0)),"x")))),"Tela 2 sin precio. ","")&amp;IF(J170="","Metros impresos. ","")&amp;IF(AND(N(J170)&gt;0,Parametros!$B$27=0),"Impresión sin costo. ","")&amp;IF(K170="","Confección. ",IF(Q170=0,"Confección sin valor. ",""))&amp;IF(NOT(ISNUMBER(E170)),"Precio de venta. ",""))</f>
        <v/>
      </c>
    </row>
    <row r="171" customFormat="false" ht="15" hidden="false" customHeight="false" outlineLevel="0" collapsed="false">
      <c r="A171" s="22"/>
      <c r="B171" s="22"/>
      <c r="C171" s="22"/>
      <c r="D171" s="13"/>
      <c r="E171" s="12"/>
      <c r="F171" s="13"/>
      <c r="G171" s="14"/>
      <c r="H171" s="13"/>
      <c r="I171" s="14"/>
      <c r="J171" s="15"/>
      <c r="K171" s="13"/>
      <c r="L171" s="12"/>
      <c r="M171" s="13"/>
      <c r="O171" s="17" t="str">
        <f aca="false">IF(B171="","",IFERROR(G171*INDEX(Precios!$D$5:$D$120,MATCH(F171,Precios!$A$5:$A$120,0)),0)+IF(H171="",0,IFERROR(I171*INDEX(Precios!$D$5:$D$120,MATCH(H171,Precios!$A$5:$A$120,0)),0)))</f>
        <v/>
      </c>
      <c r="P171" s="17" t="str">
        <f aca="false">IF(B171="","",N(J171)*Parametros!$B$27)</f>
        <v/>
      </c>
      <c r="Q171" s="17" t="str">
        <f aca="false">IF(B171="","",IFERROR(INDEX(Confeccion!$B$5:$B$100,MATCH(K171,Confeccion!$A$5:$A$100,0)),0))</f>
        <v/>
      </c>
      <c r="R171" s="17" t="str">
        <f aca="false">IF(B171="","",N(L171))</f>
        <v/>
      </c>
      <c r="S171" s="18" t="str">
        <f aca="false">IF(B171="","",IF(AND(F171&lt;&gt;"",ISNUMBER(G171),ISNUMBER(IFERROR(INDEX(Precios!$D$5:$D$120,MATCH(F171,Precios!$A$5:$A$120,0)),"x")),OR(H171="",ISNUMBER(IFERROR(INDEX(Precios!$D$5:$D$120,MATCH(H171,Precios!$A$5:$A$120,0)),"x"))),J171&lt;&gt;"",K171&lt;&gt;"",Q171&gt;0),SUM(O171:R171),""))</f>
        <v/>
      </c>
      <c r="T171" s="17" t="str">
        <f aca="false">IF(AND(S171&lt;&gt;"",ISNUMBER(E171)),E171*Parametros!$B$12,"")</f>
        <v/>
      </c>
      <c r="U171" s="17" t="str">
        <f aca="false">IF(AND(S171&lt;&gt;"",ISNUMBER(E171)),E171*Parametros!$B$13,"")</f>
        <v/>
      </c>
      <c r="V171" s="18" t="str">
        <f aca="false">IF(AND(S171&lt;&gt;"",ISNUMBER(E171)),E171-S171-T171-U171,"")</f>
        <v/>
      </c>
      <c r="W171" s="19" t="str">
        <f aca="false">IF(AND(S171&lt;&gt;"",ISNUMBER(E171)),V171/E171,"")</f>
        <v/>
      </c>
      <c r="X171" s="17" t="str">
        <f aca="false">IF(OR(S171="",Parametros!$B$14&gt;=1),"",S171/(1-Parametros!$B$14))</f>
        <v/>
      </c>
      <c r="Y171" s="17" t="str">
        <f aca="false">IF(OR(S171="",Parametros!$B$14+Parametros!$B$18&gt;=1),"",S171/(1-Parametros!$B$14-Parametros!$B$18))</f>
        <v/>
      </c>
      <c r="Z171" s="20" t="str">
        <f aca="false">IF(B171="","",IF(S171="","FALTAN DATOS",IF(NOT(ISNUMBER(E171)),"FALTA PRECIO",IF(V171&lt;0,"PIERDE",IF(W171&lt;Parametros!$B$18,"BAJO META","OK")))))</f>
        <v/>
      </c>
      <c r="AA171" s="21" t="str">
        <f aca="false">IF(B171="","",IF(F171="","Tela. ","")&amp;IF(NOT(ISNUMBER(G171)),"Kg de tela. ","")&amp;IF(AND(F171&lt;&gt;"",NOT(ISNUMBER(IFERROR(INDEX(Precios!$D$5:$D$120,MATCH(F171,Precios!$A$5:$A$120,0)),"x")))),"Tela sin precio. ","")&amp;IF(AND(H171&lt;&gt;"",NOT(ISNUMBER(IFERROR(INDEX(Precios!$D$5:$D$120,MATCH(H171,Precios!$A$5:$A$120,0)),"x")))),"Tela 2 sin precio. ","")&amp;IF(J171="","Metros impresos. ","")&amp;IF(AND(N(J171)&gt;0,Parametros!$B$27=0),"Impresión sin costo. ","")&amp;IF(K171="","Confección. ",IF(Q171=0,"Confección sin valor. ",""))&amp;IF(NOT(ISNUMBER(E171)),"Precio de venta. ",""))</f>
        <v/>
      </c>
    </row>
    <row r="172" customFormat="false" ht="15" hidden="false" customHeight="false" outlineLevel="0" collapsed="false">
      <c r="A172" s="22"/>
      <c r="B172" s="22"/>
      <c r="C172" s="22"/>
      <c r="D172" s="13"/>
      <c r="E172" s="12"/>
      <c r="F172" s="13"/>
      <c r="G172" s="14"/>
      <c r="H172" s="13"/>
      <c r="I172" s="14"/>
      <c r="J172" s="15"/>
      <c r="K172" s="13"/>
      <c r="L172" s="12"/>
      <c r="M172" s="13"/>
      <c r="O172" s="17" t="str">
        <f aca="false">IF(B172="","",IFERROR(G172*INDEX(Precios!$D$5:$D$120,MATCH(F172,Precios!$A$5:$A$120,0)),0)+IF(H172="",0,IFERROR(I172*INDEX(Precios!$D$5:$D$120,MATCH(H172,Precios!$A$5:$A$120,0)),0)))</f>
        <v/>
      </c>
      <c r="P172" s="17" t="str">
        <f aca="false">IF(B172="","",N(J172)*Parametros!$B$27)</f>
        <v/>
      </c>
      <c r="Q172" s="17" t="str">
        <f aca="false">IF(B172="","",IFERROR(INDEX(Confeccion!$B$5:$B$100,MATCH(K172,Confeccion!$A$5:$A$100,0)),0))</f>
        <v/>
      </c>
      <c r="R172" s="17" t="str">
        <f aca="false">IF(B172="","",N(L172))</f>
        <v/>
      </c>
      <c r="S172" s="18" t="str">
        <f aca="false">IF(B172="","",IF(AND(F172&lt;&gt;"",ISNUMBER(G172),ISNUMBER(IFERROR(INDEX(Precios!$D$5:$D$120,MATCH(F172,Precios!$A$5:$A$120,0)),"x")),OR(H172="",ISNUMBER(IFERROR(INDEX(Precios!$D$5:$D$120,MATCH(H172,Precios!$A$5:$A$120,0)),"x"))),J172&lt;&gt;"",K172&lt;&gt;"",Q172&gt;0),SUM(O172:R172),""))</f>
        <v/>
      </c>
      <c r="T172" s="17" t="str">
        <f aca="false">IF(AND(S172&lt;&gt;"",ISNUMBER(E172)),E172*Parametros!$B$12,"")</f>
        <v/>
      </c>
      <c r="U172" s="17" t="str">
        <f aca="false">IF(AND(S172&lt;&gt;"",ISNUMBER(E172)),E172*Parametros!$B$13,"")</f>
        <v/>
      </c>
      <c r="V172" s="18" t="str">
        <f aca="false">IF(AND(S172&lt;&gt;"",ISNUMBER(E172)),E172-S172-T172-U172,"")</f>
        <v/>
      </c>
      <c r="W172" s="19" t="str">
        <f aca="false">IF(AND(S172&lt;&gt;"",ISNUMBER(E172)),V172/E172,"")</f>
        <v/>
      </c>
      <c r="X172" s="17" t="str">
        <f aca="false">IF(OR(S172="",Parametros!$B$14&gt;=1),"",S172/(1-Parametros!$B$14))</f>
        <v/>
      </c>
      <c r="Y172" s="17" t="str">
        <f aca="false">IF(OR(S172="",Parametros!$B$14+Parametros!$B$18&gt;=1),"",S172/(1-Parametros!$B$14-Parametros!$B$18))</f>
        <v/>
      </c>
      <c r="Z172" s="20" t="str">
        <f aca="false">IF(B172="","",IF(S172="","FALTAN DATOS",IF(NOT(ISNUMBER(E172)),"FALTA PRECIO",IF(V172&lt;0,"PIERDE",IF(W172&lt;Parametros!$B$18,"BAJO META","OK")))))</f>
        <v/>
      </c>
      <c r="AA172" s="21" t="str">
        <f aca="false">IF(B172="","",IF(F172="","Tela. ","")&amp;IF(NOT(ISNUMBER(G172)),"Kg de tela. ","")&amp;IF(AND(F172&lt;&gt;"",NOT(ISNUMBER(IFERROR(INDEX(Precios!$D$5:$D$120,MATCH(F172,Precios!$A$5:$A$120,0)),"x")))),"Tela sin precio. ","")&amp;IF(AND(H172&lt;&gt;"",NOT(ISNUMBER(IFERROR(INDEX(Precios!$D$5:$D$120,MATCH(H172,Precios!$A$5:$A$120,0)),"x")))),"Tela 2 sin precio. ","")&amp;IF(J172="","Metros impresos. ","")&amp;IF(AND(N(J172)&gt;0,Parametros!$B$27=0),"Impresión sin costo. ","")&amp;IF(K172="","Confección. ",IF(Q172=0,"Confección sin valor. ",""))&amp;IF(NOT(ISNUMBER(E172)),"Precio de venta. ",""))</f>
        <v/>
      </c>
    </row>
    <row r="173" customFormat="false" ht="15" hidden="false" customHeight="false" outlineLevel="0" collapsed="false">
      <c r="A173" s="22"/>
      <c r="B173" s="22"/>
      <c r="C173" s="22"/>
      <c r="D173" s="13"/>
      <c r="E173" s="12"/>
      <c r="F173" s="13"/>
      <c r="G173" s="14"/>
      <c r="H173" s="13"/>
      <c r="I173" s="14"/>
      <c r="J173" s="15"/>
      <c r="K173" s="13"/>
      <c r="L173" s="12"/>
      <c r="M173" s="13"/>
      <c r="O173" s="17" t="str">
        <f aca="false">IF(B173="","",IFERROR(G173*INDEX(Precios!$D$5:$D$120,MATCH(F173,Precios!$A$5:$A$120,0)),0)+IF(H173="",0,IFERROR(I173*INDEX(Precios!$D$5:$D$120,MATCH(H173,Precios!$A$5:$A$120,0)),0)))</f>
        <v/>
      </c>
      <c r="P173" s="17" t="str">
        <f aca="false">IF(B173="","",N(J173)*Parametros!$B$27)</f>
        <v/>
      </c>
      <c r="Q173" s="17" t="str">
        <f aca="false">IF(B173="","",IFERROR(INDEX(Confeccion!$B$5:$B$100,MATCH(K173,Confeccion!$A$5:$A$100,0)),0))</f>
        <v/>
      </c>
      <c r="R173" s="17" t="str">
        <f aca="false">IF(B173="","",N(L173))</f>
        <v/>
      </c>
      <c r="S173" s="18" t="str">
        <f aca="false">IF(B173="","",IF(AND(F173&lt;&gt;"",ISNUMBER(G173),ISNUMBER(IFERROR(INDEX(Precios!$D$5:$D$120,MATCH(F173,Precios!$A$5:$A$120,0)),"x")),OR(H173="",ISNUMBER(IFERROR(INDEX(Precios!$D$5:$D$120,MATCH(H173,Precios!$A$5:$A$120,0)),"x"))),J173&lt;&gt;"",K173&lt;&gt;"",Q173&gt;0),SUM(O173:R173),""))</f>
        <v/>
      </c>
      <c r="T173" s="17" t="str">
        <f aca="false">IF(AND(S173&lt;&gt;"",ISNUMBER(E173)),E173*Parametros!$B$12,"")</f>
        <v/>
      </c>
      <c r="U173" s="17" t="str">
        <f aca="false">IF(AND(S173&lt;&gt;"",ISNUMBER(E173)),E173*Parametros!$B$13,"")</f>
        <v/>
      </c>
      <c r="V173" s="18" t="str">
        <f aca="false">IF(AND(S173&lt;&gt;"",ISNUMBER(E173)),E173-S173-T173-U173,"")</f>
        <v/>
      </c>
      <c r="W173" s="19" t="str">
        <f aca="false">IF(AND(S173&lt;&gt;"",ISNUMBER(E173)),V173/E173,"")</f>
        <v/>
      </c>
      <c r="X173" s="17" t="str">
        <f aca="false">IF(OR(S173="",Parametros!$B$14&gt;=1),"",S173/(1-Parametros!$B$14))</f>
        <v/>
      </c>
      <c r="Y173" s="17" t="str">
        <f aca="false">IF(OR(S173="",Parametros!$B$14+Parametros!$B$18&gt;=1),"",S173/(1-Parametros!$B$14-Parametros!$B$18))</f>
        <v/>
      </c>
      <c r="Z173" s="20" t="str">
        <f aca="false">IF(B173="","",IF(S173="","FALTAN DATOS",IF(NOT(ISNUMBER(E173)),"FALTA PRECIO",IF(V173&lt;0,"PIERDE",IF(W173&lt;Parametros!$B$18,"BAJO META","OK")))))</f>
        <v/>
      </c>
      <c r="AA173" s="21" t="str">
        <f aca="false">IF(B173="","",IF(F173="","Tela. ","")&amp;IF(NOT(ISNUMBER(G173)),"Kg de tela. ","")&amp;IF(AND(F173&lt;&gt;"",NOT(ISNUMBER(IFERROR(INDEX(Precios!$D$5:$D$120,MATCH(F173,Precios!$A$5:$A$120,0)),"x")))),"Tela sin precio. ","")&amp;IF(AND(H173&lt;&gt;"",NOT(ISNUMBER(IFERROR(INDEX(Precios!$D$5:$D$120,MATCH(H173,Precios!$A$5:$A$120,0)),"x")))),"Tela 2 sin precio. ","")&amp;IF(J173="","Metros impresos. ","")&amp;IF(AND(N(J173)&gt;0,Parametros!$B$27=0),"Impresión sin costo. ","")&amp;IF(K173="","Confección. ",IF(Q173=0,"Confección sin valor. ",""))&amp;IF(NOT(ISNUMBER(E173)),"Precio de venta. ",""))</f>
        <v/>
      </c>
    </row>
    <row r="174" customFormat="false" ht="15" hidden="false" customHeight="false" outlineLevel="0" collapsed="false">
      <c r="A174" s="22"/>
      <c r="B174" s="22"/>
      <c r="C174" s="22"/>
      <c r="D174" s="13"/>
      <c r="E174" s="12"/>
      <c r="F174" s="13"/>
      <c r="G174" s="14"/>
      <c r="H174" s="13"/>
      <c r="I174" s="14"/>
      <c r="J174" s="15"/>
      <c r="K174" s="13"/>
      <c r="L174" s="12"/>
      <c r="M174" s="13"/>
      <c r="O174" s="17" t="str">
        <f aca="false">IF(B174="","",IFERROR(G174*INDEX(Precios!$D$5:$D$120,MATCH(F174,Precios!$A$5:$A$120,0)),0)+IF(H174="",0,IFERROR(I174*INDEX(Precios!$D$5:$D$120,MATCH(H174,Precios!$A$5:$A$120,0)),0)))</f>
        <v/>
      </c>
      <c r="P174" s="17" t="str">
        <f aca="false">IF(B174="","",N(J174)*Parametros!$B$27)</f>
        <v/>
      </c>
      <c r="Q174" s="17" t="str">
        <f aca="false">IF(B174="","",IFERROR(INDEX(Confeccion!$B$5:$B$100,MATCH(K174,Confeccion!$A$5:$A$100,0)),0))</f>
        <v/>
      </c>
      <c r="R174" s="17" t="str">
        <f aca="false">IF(B174="","",N(L174))</f>
        <v/>
      </c>
      <c r="S174" s="18" t="str">
        <f aca="false">IF(B174="","",IF(AND(F174&lt;&gt;"",ISNUMBER(G174),ISNUMBER(IFERROR(INDEX(Precios!$D$5:$D$120,MATCH(F174,Precios!$A$5:$A$120,0)),"x")),OR(H174="",ISNUMBER(IFERROR(INDEX(Precios!$D$5:$D$120,MATCH(H174,Precios!$A$5:$A$120,0)),"x"))),J174&lt;&gt;"",K174&lt;&gt;"",Q174&gt;0),SUM(O174:R174),""))</f>
        <v/>
      </c>
      <c r="T174" s="17" t="str">
        <f aca="false">IF(AND(S174&lt;&gt;"",ISNUMBER(E174)),E174*Parametros!$B$12,"")</f>
        <v/>
      </c>
      <c r="U174" s="17" t="str">
        <f aca="false">IF(AND(S174&lt;&gt;"",ISNUMBER(E174)),E174*Parametros!$B$13,"")</f>
        <v/>
      </c>
      <c r="V174" s="18" t="str">
        <f aca="false">IF(AND(S174&lt;&gt;"",ISNUMBER(E174)),E174-S174-T174-U174,"")</f>
        <v/>
      </c>
      <c r="W174" s="19" t="str">
        <f aca="false">IF(AND(S174&lt;&gt;"",ISNUMBER(E174)),V174/E174,"")</f>
        <v/>
      </c>
      <c r="X174" s="17" t="str">
        <f aca="false">IF(OR(S174="",Parametros!$B$14&gt;=1),"",S174/(1-Parametros!$B$14))</f>
        <v/>
      </c>
      <c r="Y174" s="17" t="str">
        <f aca="false">IF(OR(S174="",Parametros!$B$14+Parametros!$B$18&gt;=1),"",S174/(1-Parametros!$B$14-Parametros!$B$18))</f>
        <v/>
      </c>
      <c r="Z174" s="20" t="str">
        <f aca="false">IF(B174="","",IF(S174="","FALTAN DATOS",IF(NOT(ISNUMBER(E174)),"FALTA PRECIO",IF(V174&lt;0,"PIERDE",IF(W174&lt;Parametros!$B$18,"BAJO META","OK")))))</f>
        <v/>
      </c>
      <c r="AA174" s="21" t="str">
        <f aca="false">IF(B174="","",IF(F174="","Tela. ","")&amp;IF(NOT(ISNUMBER(G174)),"Kg de tela. ","")&amp;IF(AND(F174&lt;&gt;"",NOT(ISNUMBER(IFERROR(INDEX(Precios!$D$5:$D$120,MATCH(F174,Precios!$A$5:$A$120,0)),"x")))),"Tela sin precio. ","")&amp;IF(AND(H174&lt;&gt;"",NOT(ISNUMBER(IFERROR(INDEX(Precios!$D$5:$D$120,MATCH(H174,Precios!$A$5:$A$120,0)),"x")))),"Tela 2 sin precio. ","")&amp;IF(J174="","Metros impresos. ","")&amp;IF(AND(N(J174)&gt;0,Parametros!$B$27=0),"Impresión sin costo. ","")&amp;IF(K174="","Confección. ",IF(Q174=0,"Confección sin valor. ",""))&amp;IF(NOT(ISNUMBER(E174)),"Precio de venta. ",""))</f>
        <v/>
      </c>
    </row>
    <row r="175" customFormat="false" ht="15" hidden="false" customHeight="false" outlineLevel="0" collapsed="false">
      <c r="A175" s="22"/>
      <c r="B175" s="22"/>
      <c r="C175" s="22"/>
      <c r="D175" s="13"/>
      <c r="E175" s="12"/>
      <c r="F175" s="13"/>
      <c r="G175" s="14"/>
      <c r="H175" s="13"/>
      <c r="I175" s="14"/>
      <c r="J175" s="15"/>
      <c r="K175" s="13"/>
      <c r="L175" s="12"/>
      <c r="M175" s="13"/>
      <c r="O175" s="17" t="str">
        <f aca="false">IF(B175="","",IFERROR(G175*INDEX(Precios!$D$5:$D$120,MATCH(F175,Precios!$A$5:$A$120,0)),0)+IF(H175="",0,IFERROR(I175*INDEX(Precios!$D$5:$D$120,MATCH(H175,Precios!$A$5:$A$120,0)),0)))</f>
        <v/>
      </c>
      <c r="P175" s="17" t="str">
        <f aca="false">IF(B175="","",N(J175)*Parametros!$B$27)</f>
        <v/>
      </c>
      <c r="Q175" s="17" t="str">
        <f aca="false">IF(B175="","",IFERROR(INDEX(Confeccion!$B$5:$B$100,MATCH(K175,Confeccion!$A$5:$A$100,0)),0))</f>
        <v/>
      </c>
      <c r="R175" s="17" t="str">
        <f aca="false">IF(B175="","",N(L175))</f>
        <v/>
      </c>
      <c r="S175" s="18" t="str">
        <f aca="false">IF(B175="","",IF(AND(F175&lt;&gt;"",ISNUMBER(G175),ISNUMBER(IFERROR(INDEX(Precios!$D$5:$D$120,MATCH(F175,Precios!$A$5:$A$120,0)),"x")),OR(H175="",ISNUMBER(IFERROR(INDEX(Precios!$D$5:$D$120,MATCH(H175,Precios!$A$5:$A$120,0)),"x"))),J175&lt;&gt;"",K175&lt;&gt;"",Q175&gt;0),SUM(O175:R175),""))</f>
        <v/>
      </c>
      <c r="T175" s="17" t="str">
        <f aca="false">IF(AND(S175&lt;&gt;"",ISNUMBER(E175)),E175*Parametros!$B$12,"")</f>
        <v/>
      </c>
      <c r="U175" s="17" t="str">
        <f aca="false">IF(AND(S175&lt;&gt;"",ISNUMBER(E175)),E175*Parametros!$B$13,"")</f>
        <v/>
      </c>
      <c r="V175" s="18" t="str">
        <f aca="false">IF(AND(S175&lt;&gt;"",ISNUMBER(E175)),E175-S175-T175-U175,"")</f>
        <v/>
      </c>
      <c r="W175" s="19" t="str">
        <f aca="false">IF(AND(S175&lt;&gt;"",ISNUMBER(E175)),V175/E175,"")</f>
        <v/>
      </c>
      <c r="X175" s="17" t="str">
        <f aca="false">IF(OR(S175="",Parametros!$B$14&gt;=1),"",S175/(1-Parametros!$B$14))</f>
        <v/>
      </c>
      <c r="Y175" s="17" t="str">
        <f aca="false">IF(OR(S175="",Parametros!$B$14+Parametros!$B$18&gt;=1),"",S175/(1-Parametros!$B$14-Parametros!$B$18))</f>
        <v/>
      </c>
      <c r="Z175" s="20" t="str">
        <f aca="false">IF(B175="","",IF(S175="","FALTAN DATOS",IF(NOT(ISNUMBER(E175)),"FALTA PRECIO",IF(V175&lt;0,"PIERDE",IF(W175&lt;Parametros!$B$18,"BAJO META","OK")))))</f>
        <v/>
      </c>
      <c r="AA175" s="21" t="str">
        <f aca="false">IF(B175="","",IF(F175="","Tela. ","")&amp;IF(NOT(ISNUMBER(G175)),"Kg de tela. ","")&amp;IF(AND(F175&lt;&gt;"",NOT(ISNUMBER(IFERROR(INDEX(Precios!$D$5:$D$120,MATCH(F175,Precios!$A$5:$A$120,0)),"x")))),"Tela sin precio. ","")&amp;IF(AND(H175&lt;&gt;"",NOT(ISNUMBER(IFERROR(INDEX(Precios!$D$5:$D$120,MATCH(H175,Precios!$A$5:$A$120,0)),"x")))),"Tela 2 sin precio. ","")&amp;IF(J175="","Metros impresos. ","")&amp;IF(AND(N(J175)&gt;0,Parametros!$B$27=0),"Impresión sin costo. ","")&amp;IF(K175="","Confección. ",IF(Q175=0,"Confección sin valor. ",""))&amp;IF(NOT(ISNUMBER(E175)),"Precio de venta. ",""))</f>
        <v/>
      </c>
    </row>
    <row r="176" customFormat="false" ht="15" hidden="false" customHeight="false" outlineLevel="0" collapsed="false">
      <c r="A176" s="22"/>
      <c r="B176" s="22"/>
      <c r="C176" s="22"/>
      <c r="D176" s="13"/>
      <c r="E176" s="12"/>
      <c r="F176" s="13"/>
      <c r="G176" s="14"/>
      <c r="H176" s="13"/>
      <c r="I176" s="14"/>
      <c r="J176" s="15"/>
      <c r="K176" s="13"/>
      <c r="L176" s="12"/>
      <c r="M176" s="13"/>
      <c r="O176" s="17" t="str">
        <f aca="false">IF(B176="","",IFERROR(G176*INDEX(Precios!$D$5:$D$120,MATCH(F176,Precios!$A$5:$A$120,0)),0)+IF(H176="",0,IFERROR(I176*INDEX(Precios!$D$5:$D$120,MATCH(H176,Precios!$A$5:$A$120,0)),0)))</f>
        <v/>
      </c>
      <c r="P176" s="17" t="str">
        <f aca="false">IF(B176="","",N(J176)*Parametros!$B$27)</f>
        <v/>
      </c>
      <c r="Q176" s="17" t="str">
        <f aca="false">IF(B176="","",IFERROR(INDEX(Confeccion!$B$5:$B$100,MATCH(K176,Confeccion!$A$5:$A$100,0)),0))</f>
        <v/>
      </c>
      <c r="R176" s="17" t="str">
        <f aca="false">IF(B176="","",N(L176))</f>
        <v/>
      </c>
      <c r="S176" s="18" t="str">
        <f aca="false">IF(B176="","",IF(AND(F176&lt;&gt;"",ISNUMBER(G176),ISNUMBER(IFERROR(INDEX(Precios!$D$5:$D$120,MATCH(F176,Precios!$A$5:$A$120,0)),"x")),OR(H176="",ISNUMBER(IFERROR(INDEX(Precios!$D$5:$D$120,MATCH(H176,Precios!$A$5:$A$120,0)),"x"))),J176&lt;&gt;"",K176&lt;&gt;"",Q176&gt;0),SUM(O176:R176),""))</f>
        <v/>
      </c>
      <c r="T176" s="17" t="str">
        <f aca="false">IF(AND(S176&lt;&gt;"",ISNUMBER(E176)),E176*Parametros!$B$12,"")</f>
        <v/>
      </c>
      <c r="U176" s="17" t="str">
        <f aca="false">IF(AND(S176&lt;&gt;"",ISNUMBER(E176)),E176*Parametros!$B$13,"")</f>
        <v/>
      </c>
      <c r="V176" s="18" t="str">
        <f aca="false">IF(AND(S176&lt;&gt;"",ISNUMBER(E176)),E176-S176-T176-U176,"")</f>
        <v/>
      </c>
      <c r="W176" s="19" t="str">
        <f aca="false">IF(AND(S176&lt;&gt;"",ISNUMBER(E176)),V176/E176,"")</f>
        <v/>
      </c>
      <c r="X176" s="17" t="str">
        <f aca="false">IF(OR(S176="",Parametros!$B$14&gt;=1),"",S176/(1-Parametros!$B$14))</f>
        <v/>
      </c>
      <c r="Y176" s="17" t="str">
        <f aca="false">IF(OR(S176="",Parametros!$B$14+Parametros!$B$18&gt;=1),"",S176/(1-Parametros!$B$14-Parametros!$B$18))</f>
        <v/>
      </c>
      <c r="Z176" s="20" t="str">
        <f aca="false">IF(B176="","",IF(S176="","FALTAN DATOS",IF(NOT(ISNUMBER(E176)),"FALTA PRECIO",IF(V176&lt;0,"PIERDE",IF(W176&lt;Parametros!$B$18,"BAJO META","OK")))))</f>
        <v/>
      </c>
      <c r="AA176" s="21" t="str">
        <f aca="false">IF(B176="","",IF(F176="","Tela. ","")&amp;IF(NOT(ISNUMBER(G176)),"Kg de tela. ","")&amp;IF(AND(F176&lt;&gt;"",NOT(ISNUMBER(IFERROR(INDEX(Precios!$D$5:$D$120,MATCH(F176,Precios!$A$5:$A$120,0)),"x")))),"Tela sin precio. ","")&amp;IF(AND(H176&lt;&gt;"",NOT(ISNUMBER(IFERROR(INDEX(Precios!$D$5:$D$120,MATCH(H176,Precios!$A$5:$A$120,0)),"x")))),"Tela 2 sin precio. ","")&amp;IF(J176="","Metros impresos. ","")&amp;IF(AND(N(J176)&gt;0,Parametros!$B$27=0),"Impresión sin costo. ","")&amp;IF(K176="","Confección. ",IF(Q176=0,"Confección sin valor. ",""))&amp;IF(NOT(ISNUMBER(E176)),"Precio de venta. ",""))</f>
        <v/>
      </c>
    </row>
    <row r="177" customFormat="false" ht="15" hidden="false" customHeight="false" outlineLevel="0" collapsed="false">
      <c r="A177" s="22"/>
      <c r="B177" s="22"/>
      <c r="C177" s="22"/>
      <c r="D177" s="13"/>
      <c r="E177" s="12"/>
      <c r="F177" s="13"/>
      <c r="G177" s="14"/>
      <c r="H177" s="13"/>
      <c r="I177" s="14"/>
      <c r="J177" s="15"/>
      <c r="K177" s="13"/>
      <c r="L177" s="12"/>
      <c r="M177" s="13"/>
      <c r="O177" s="17" t="str">
        <f aca="false">IF(B177="","",IFERROR(G177*INDEX(Precios!$D$5:$D$120,MATCH(F177,Precios!$A$5:$A$120,0)),0)+IF(H177="",0,IFERROR(I177*INDEX(Precios!$D$5:$D$120,MATCH(H177,Precios!$A$5:$A$120,0)),0)))</f>
        <v/>
      </c>
      <c r="P177" s="17" t="str">
        <f aca="false">IF(B177="","",N(J177)*Parametros!$B$27)</f>
        <v/>
      </c>
      <c r="Q177" s="17" t="str">
        <f aca="false">IF(B177="","",IFERROR(INDEX(Confeccion!$B$5:$B$100,MATCH(K177,Confeccion!$A$5:$A$100,0)),0))</f>
        <v/>
      </c>
      <c r="R177" s="17" t="str">
        <f aca="false">IF(B177="","",N(L177))</f>
        <v/>
      </c>
      <c r="S177" s="18" t="str">
        <f aca="false">IF(B177="","",IF(AND(F177&lt;&gt;"",ISNUMBER(G177),ISNUMBER(IFERROR(INDEX(Precios!$D$5:$D$120,MATCH(F177,Precios!$A$5:$A$120,0)),"x")),OR(H177="",ISNUMBER(IFERROR(INDEX(Precios!$D$5:$D$120,MATCH(H177,Precios!$A$5:$A$120,0)),"x"))),J177&lt;&gt;"",K177&lt;&gt;"",Q177&gt;0),SUM(O177:R177),""))</f>
        <v/>
      </c>
      <c r="T177" s="17" t="str">
        <f aca="false">IF(AND(S177&lt;&gt;"",ISNUMBER(E177)),E177*Parametros!$B$12,"")</f>
        <v/>
      </c>
      <c r="U177" s="17" t="str">
        <f aca="false">IF(AND(S177&lt;&gt;"",ISNUMBER(E177)),E177*Parametros!$B$13,"")</f>
        <v/>
      </c>
      <c r="V177" s="18" t="str">
        <f aca="false">IF(AND(S177&lt;&gt;"",ISNUMBER(E177)),E177-S177-T177-U177,"")</f>
        <v/>
      </c>
      <c r="W177" s="19" t="str">
        <f aca="false">IF(AND(S177&lt;&gt;"",ISNUMBER(E177)),V177/E177,"")</f>
        <v/>
      </c>
      <c r="X177" s="17" t="str">
        <f aca="false">IF(OR(S177="",Parametros!$B$14&gt;=1),"",S177/(1-Parametros!$B$14))</f>
        <v/>
      </c>
      <c r="Y177" s="17" t="str">
        <f aca="false">IF(OR(S177="",Parametros!$B$14+Parametros!$B$18&gt;=1),"",S177/(1-Parametros!$B$14-Parametros!$B$18))</f>
        <v/>
      </c>
      <c r="Z177" s="20" t="str">
        <f aca="false">IF(B177="","",IF(S177="","FALTAN DATOS",IF(NOT(ISNUMBER(E177)),"FALTA PRECIO",IF(V177&lt;0,"PIERDE",IF(W177&lt;Parametros!$B$18,"BAJO META","OK")))))</f>
        <v/>
      </c>
      <c r="AA177" s="21" t="str">
        <f aca="false">IF(B177="","",IF(F177="","Tela. ","")&amp;IF(NOT(ISNUMBER(G177)),"Kg de tela. ","")&amp;IF(AND(F177&lt;&gt;"",NOT(ISNUMBER(IFERROR(INDEX(Precios!$D$5:$D$120,MATCH(F177,Precios!$A$5:$A$120,0)),"x")))),"Tela sin precio. ","")&amp;IF(AND(H177&lt;&gt;"",NOT(ISNUMBER(IFERROR(INDEX(Precios!$D$5:$D$120,MATCH(H177,Precios!$A$5:$A$120,0)),"x")))),"Tela 2 sin precio. ","")&amp;IF(J177="","Metros impresos. ","")&amp;IF(AND(N(J177)&gt;0,Parametros!$B$27=0),"Impresión sin costo. ","")&amp;IF(K177="","Confección. ",IF(Q177=0,"Confección sin valor. ",""))&amp;IF(NOT(ISNUMBER(E177)),"Precio de venta. ",""))</f>
        <v/>
      </c>
    </row>
    <row r="178" customFormat="false" ht="15" hidden="false" customHeight="false" outlineLevel="0" collapsed="false">
      <c r="A178" s="22"/>
      <c r="B178" s="22"/>
      <c r="C178" s="22"/>
      <c r="D178" s="13"/>
      <c r="E178" s="12"/>
      <c r="F178" s="13"/>
      <c r="G178" s="14"/>
      <c r="H178" s="13"/>
      <c r="I178" s="14"/>
      <c r="J178" s="15"/>
      <c r="K178" s="13"/>
      <c r="L178" s="12"/>
      <c r="M178" s="13"/>
      <c r="O178" s="17" t="str">
        <f aca="false">IF(B178="","",IFERROR(G178*INDEX(Precios!$D$5:$D$120,MATCH(F178,Precios!$A$5:$A$120,0)),0)+IF(H178="",0,IFERROR(I178*INDEX(Precios!$D$5:$D$120,MATCH(H178,Precios!$A$5:$A$120,0)),0)))</f>
        <v/>
      </c>
      <c r="P178" s="17" t="str">
        <f aca="false">IF(B178="","",N(J178)*Parametros!$B$27)</f>
        <v/>
      </c>
      <c r="Q178" s="17" t="str">
        <f aca="false">IF(B178="","",IFERROR(INDEX(Confeccion!$B$5:$B$100,MATCH(K178,Confeccion!$A$5:$A$100,0)),0))</f>
        <v/>
      </c>
      <c r="R178" s="17" t="str">
        <f aca="false">IF(B178="","",N(L178))</f>
        <v/>
      </c>
      <c r="S178" s="18" t="str">
        <f aca="false">IF(B178="","",IF(AND(F178&lt;&gt;"",ISNUMBER(G178),ISNUMBER(IFERROR(INDEX(Precios!$D$5:$D$120,MATCH(F178,Precios!$A$5:$A$120,0)),"x")),OR(H178="",ISNUMBER(IFERROR(INDEX(Precios!$D$5:$D$120,MATCH(H178,Precios!$A$5:$A$120,0)),"x"))),J178&lt;&gt;"",K178&lt;&gt;"",Q178&gt;0),SUM(O178:R178),""))</f>
        <v/>
      </c>
      <c r="T178" s="17" t="str">
        <f aca="false">IF(AND(S178&lt;&gt;"",ISNUMBER(E178)),E178*Parametros!$B$12,"")</f>
        <v/>
      </c>
      <c r="U178" s="17" t="str">
        <f aca="false">IF(AND(S178&lt;&gt;"",ISNUMBER(E178)),E178*Parametros!$B$13,"")</f>
        <v/>
      </c>
      <c r="V178" s="18" t="str">
        <f aca="false">IF(AND(S178&lt;&gt;"",ISNUMBER(E178)),E178-S178-T178-U178,"")</f>
        <v/>
      </c>
      <c r="W178" s="19" t="str">
        <f aca="false">IF(AND(S178&lt;&gt;"",ISNUMBER(E178)),V178/E178,"")</f>
        <v/>
      </c>
      <c r="X178" s="17" t="str">
        <f aca="false">IF(OR(S178="",Parametros!$B$14&gt;=1),"",S178/(1-Parametros!$B$14))</f>
        <v/>
      </c>
      <c r="Y178" s="17" t="str">
        <f aca="false">IF(OR(S178="",Parametros!$B$14+Parametros!$B$18&gt;=1),"",S178/(1-Parametros!$B$14-Parametros!$B$18))</f>
        <v/>
      </c>
      <c r="Z178" s="20" t="str">
        <f aca="false">IF(B178="","",IF(S178="","FALTAN DATOS",IF(NOT(ISNUMBER(E178)),"FALTA PRECIO",IF(V178&lt;0,"PIERDE",IF(W178&lt;Parametros!$B$18,"BAJO META","OK")))))</f>
        <v/>
      </c>
      <c r="AA178" s="21" t="str">
        <f aca="false">IF(B178="","",IF(F178="","Tela. ","")&amp;IF(NOT(ISNUMBER(G178)),"Kg de tela. ","")&amp;IF(AND(F178&lt;&gt;"",NOT(ISNUMBER(IFERROR(INDEX(Precios!$D$5:$D$120,MATCH(F178,Precios!$A$5:$A$120,0)),"x")))),"Tela sin precio. ","")&amp;IF(AND(H178&lt;&gt;"",NOT(ISNUMBER(IFERROR(INDEX(Precios!$D$5:$D$120,MATCH(H178,Precios!$A$5:$A$120,0)),"x")))),"Tela 2 sin precio. ","")&amp;IF(J178="","Metros impresos. ","")&amp;IF(AND(N(J178)&gt;0,Parametros!$B$27=0),"Impresión sin costo. ","")&amp;IF(K178="","Confección. ",IF(Q178=0,"Confección sin valor. ",""))&amp;IF(NOT(ISNUMBER(E178)),"Precio de venta. ",""))</f>
        <v/>
      </c>
    </row>
    <row r="179" customFormat="false" ht="15" hidden="false" customHeight="false" outlineLevel="0" collapsed="false">
      <c r="A179" s="22"/>
      <c r="B179" s="22"/>
      <c r="C179" s="22"/>
      <c r="D179" s="13"/>
      <c r="E179" s="12"/>
      <c r="F179" s="13"/>
      <c r="G179" s="14"/>
      <c r="H179" s="13"/>
      <c r="I179" s="14"/>
      <c r="J179" s="15"/>
      <c r="K179" s="13"/>
      <c r="L179" s="12"/>
      <c r="M179" s="13"/>
      <c r="O179" s="17" t="str">
        <f aca="false">IF(B179="","",IFERROR(G179*INDEX(Precios!$D$5:$D$120,MATCH(F179,Precios!$A$5:$A$120,0)),0)+IF(H179="",0,IFERROR(I179*INDEX(Precios!$D$5:$D$120,MATCH(H179,Precios!$A$5:$A$120,0)),0)))</f>
        <v/>
      </c>
      <c r="P179" s="17" t="str">
        <f aca="false">IF(B179="","",N(J179)*Parametros!$B$27)</f>
        <v/>
      </c>
      <c r="Q179" s="17" t="str">
        <f aca="false">IF(B179="","",IFERROR(INDEX(Confeccion!$B$5:$B$100,MATCH(K179,Confeccion!$A$5:$A$100,0)),0))</f>
        <v/>
      </c>
      <c r="R179" s="17" t="str">
        <f aca="false">IF(B179="","",N(L179))</f>
        <v/>
      </c>
      <c r="S179" s="18" t="str">
        <f aca="false">IF(B179="","",IF(AND(F179&lt;&gt;"",ISNUMBER(G179),ISNUMBER(IFERROR(INDEX(Precios!$D$5:$D$120,MATCH(F179,Precios!$A$5:$A$120,0)),"x")),OR(H179="",ISNUMBER(IFERROR(INDEX(Precios!$D$5:$D$120,MATCH(H179,Precios!$A$5:$A$120,0)),"x"))),J179&lt;&gt;"",K179&lt;&gt;"",Q179&gt;0),SUM(O179:R179),""))</f>
        <v/>
      </c>
      <c r="T179" s="17" t="str">
        <f aca="false">IF(AND(S179&lt;&gt;"",ISNUMBER(E179)),E179*Parametros!$B$12,"")</f>
        <v/>
      </c>
      <c r="U179" s="17" t="str">
        <f aca="false">IF(AND(S179&lt;&gt;"",ISNUMBER(E179)),E179*Parametros!$B$13,"")</f>
        <v/>
      </c>
      <c r="V179" s="18" t="str">
        <f aca="false">IF(AND(S179&lt;&gt;"",ISNUMBER(E179)),E179-S179-T179-U179,"")</f>
        <v/>
      </c>
      <c r="W179" s="19" t="str">
        <f aca="false">IF(AND(S179&lt;&gt;"",ISNUMBER(E179)),V179/E179,"")</f>
        <v/>
      </c>
      <c r="X179" s="17" t="str">
        <f aca="false">IF(OR(S179="",Parametros!$B$14&gt;=1),"",S179/(1-Parametros!$B$14))</f>
        <v/>
      </c>
      <c r="Y179" s="17" t="str">
        <f aca="false">IF(OR(S179="",Parametros!$B$14+Parametros!$B$18&gt;=1),"",S179/(1-Parametros!$B$14-Parametros!$B$18))</f>
        <v/>
      </c>
      <c r="Z179" s="20" t="str">
        <f aca="false">IF(B179="","",IF(S179="","FALTAN DATOS",IF(NOT(ISNUMBER(E179)),"FALTA PRECIO",IF(V179&lt;0,"PIERDE",IF(W179&lt;Parametros!$B$18,"BAJO META","OK")))))</f>
        <v/>
      </c>
      <c r="AA179" s="21" t="str">
        <f aca="false">IF(B179="","",IF(F179="","Tela. ","")&amp;IF(NOT(ISNUMBER(G179)),"Kg de tela. ","")&amp;IF(AND(F179&lt;&gt;"",NOT(ISNUMBER(IFERROR(INDEX(Precios!$D$5:$D$120,MATCH(F179,Precios!$A$5:$A$120,0)),"x")))),"Tela sin precio. ","")&amp;IF(AND(H179&lt;&gt;"",NOT(ISNUMBER(IFERROR(INDEX(Precios!$D$5:$D$120,MATCH(H179,Precios!$A$5:$A$120,0)),"x")))),"Tela 2 sin precio. ","")&amp;IF(J179="","Metros impresos. ","")&amp;IF(AND(N(J179)&gt;0,Parametros!$B$27=0),"Impresión sin costo. ","")&amp;IF(K179="","Confección. ",IF(Q179=0,"Confección sin valor. ",""))&amp;IF(NOT(ISNUMBER(E179)),"Precio de venta. ",""))</f>
        <v/>
      </c>
    </row>
    <row r="180" customFormat="false" ht="15" hidden="false" customHeight="false" outlineLevel="0" collapsed="false">
      <c r="A180" s="22"/>
      <c r="B180" s="22"/>
      <c r="C180" s="22"/>
      <c r="D180" s="13"/>
      <c r="E180" s="12"/>
      <c r="F180" s="13"/>
      <c r="G180" s="14"/>
      <c r="H180" s="13"/>
      <c r="I180" s="14"/>
      <c r="J180" s="15"/>
      <c r="K180" s="13"/>
      <c r="L180" s="12"/>
      <c r="M180" s="13"/>
      <c r="O180" s="17" t="str">
        <f aca="false">IF(B180="","",IFERROR(G180*INDEX(Precios!$D$5:$D$120,MATCH(F180,Precios!$A$5:$A$120,0)),0)+IF(H180="",0,IFERROR(I180*INDEX(Precios!$D$5:$D$120,MATCH(H180,Precios!$A$5:$A$120,0)),0)))</f>
        <v/>
      </c>
      <c r="P180" s="17" t="str">
        <f aca="false">IF(B180="","",N(J180)*Parametros!$B$27)</f>
        <v/>
      </c>
      <c r="Q180" s="17" t="str">
        <f aca="false">IF(B180="","",IFERROR(INDEX(Confeccion!$B$5:$B$100,MATCH(K180,Confeccion!$A$5:$A$100,0)),0))</f>
        <v/>
      </c>
      <c r="R180" s="17" t="str">
        <f aca="false">IF(B180="","",N(L180))</f>
        <v/>
      </c>
      <c r="S180" s="18" t="str">
        <f aca="false">IF(B180="","",IF(AND(F180&lt;&gt;"",ISNUMBER(G180),ISNUMBER(IFERROR(INDEX(Precios!$D$5:$D$120,MATCH(F180,Precios!$A$5:$A$120,0)),"x")),OR(H180="",ISNUMBER(IFERROR(INDEX(Precios!$D$5:$D$120,MATCH(H180,Precios!$A$5:$A$120,0)),"x"))),J180&lt;&gt;"",K180&lt;&gt;"",Q180&gt;0),SUM(O180:R180),""))</f>
        <v/>
      </c>
      <c r="T180" s="17" t="str">
        <f aca="false">IF(AND(S180&lt;&gt;"",ISNUMBER(E180)),E180*Parametros!$B$12,"")</f>
        <v/>
      </c>
      <c r="U180" s="17" t="str">
        <f aca="false">IF(AND(S180&lt;&gt;"",ISNUMBER(E180)),E180*Parametros!$B$13,"")</f>
        <v/>
      </c>
      <c r="V180" s="18" t="str">
        <f aca="false">IF(AND(S180&lt;&gt;"",ISNUMBER(E180)),E180-S180-T180-U180,"")</f>
        <v/>
      </c>
      <c r="W180" s="19" t="str">
        <f aca="false">IF(AND(S180&lt;&gt;"",ISNUMBER(E180)),V180/E180,"")</f>
        <v/>
      </c>
      <c r="X180" s="17" t="str">
        <f aca="false">IF(OR(S180="",Parametros!$B$14&gt;=1),"",S180/(1-Parametros!$B$14))</f>
        <v/>
      </c>
      <c r="Y180" s="17" t="str">
        <f aca="false">IF(OR(S180="",Parametros!$B$14+Parametros!$B$18&gt;=1),"",S180/(1-Parametros!$B$14-Parametros!$B$18))</f>
        <v/>
      </c>
      <c r="Z180" s="20" t="str">
        <f aca="false">IF(B180="","",IF(S180="","FALTAN DATOS",IF(NOT(ISNUMBER(E180)),"FALTA PRECIO",IF(V180&lt;0,"PIERDE",IF(W180&lt;Parametros!$B$18,"BAJO META","OK")))))</f>
        <v/>
      </c>
      <c r="AA180" s="21" t="str">
        <f aca="false">IF(B180="","",IF(F180="","Tela. ","")&amp;IF(NOT(ISNUMBER(G180)),"Kg de tela. ","")&amp;IF(AND(F180&lt;&gt;"",NOT(ISNUMBER(IFERROR(INDEX(Precios!$D$5:$D$120,MATCH(F180,Precios!$A$5:$A$120,0)),"x")))),"Tela sin precio. ","")&amp;IF(AND(H180&lt;&gt;"",NOT(ISNUMBER(IFERROR(INDEX(Precios!$D$5:$D$120,MATCH(H180,Precios!$A$5:$A$120,0)),"x")))),"Tela 2 sin precio. ","")&amp;IF(J180="","Metros impresos. ","")&amp;IF(AND(N(J180)&gt;0,Parametros!$B$27=0),"Impresión sin costo. ","")&amp;IF(K180="","Confección. ",IF(Q180=0,"Confección sin valor. ",""))&amp;IF(NOT(ISNUMBER(E180)),"Precio de venta. ",""))</f>
        <v/>
      </c>
    </row>
    <row r="181" customFormat="false" ht="15" hidden="false" customHeight="false" outlineLevel="0" collapsed="false">
      <c r="A181" s="22"/>
      <c r="B181" s="22"/>
      <c r="C181" s="22"/>
      <c r="D181" s="13"/>
      <c r="E181" s="12"/>
      <c r="F181" s="13"/>
      <c r="G181" s="14"/>
      <c r="H181" s="13"/>
      <c r="I181" s="14"/>
      <c r="J181" s="15"/>
      <c r="K181" s="13"/>
      <c r="L181" s="12"/>
      <c r="M181" s="13"/>
      <c r="O181" s="17" t="str">
        <f aca="false">IF(B181="","",IFERROR(G181*INDEX(Precios!$D$5:$D$120,MATCH(F181,Precios!$A$5:$A$120,0)),0)+IF(H181="",0,IFERROR(I181*INDEX(Precios!$D$5:$D$120,MATCH(H181,Precios!$A$5:$A$120,0)),0)))</f>
        <v/>
      </c>
      <c r="P181" s="17" t="str">
        <f aca="false">IF(B181="","",N(J181)*Parametros!$B$27)</f>
        <v/>
      </c>
      <c r="Q181" s="17" t="str">
        <f aca="false">IF(B181="","",IFERROR(INDEX(Confeccion!$B$5:$B$100,MATCH(K181,Confeccion!$A$5:$A$100,0)),0))</f>
        <v/>
      </c>
      <c r="R181" s="17" t="str">
        <f aca="false">IF(B181="","",N(L181))</f>
        <v/>
      </c>
      <c r="S181" s="18" t="str">
        <f aca="false">IF(B181="","",IF(AND(F181&lt;&gt;"",ISNUMBER(G181),ISNUMBER(IFERROR(INDEX(Precios!$D$5:$D$120,MATCH(F181,Precios!$A$5:$A$120,0)),"x")),OR(H181="",ISNUMBER(IFERROR(INDEX(Precios!$D$5:$D$120,MATCH(H181,Precios!$A$5:$A$120,0)),"x"))),J181&lt;&gt;"",K181&lt;&gt;"",Q181&gt;0),SUM(O181:R181),""))</f>
        <v/>
      </c>
      <c r="T181" s="17" t="str">
        <f aca="false">IF(AND(S181&lt;&gt;"",ISNUMBER(E181)),E181*Parametros!$B$12,"")</f>
        <v/>
      </c>
      <c r="U181" s="17" t="str">
        <f aca="false">IF(AND(S181&lt;&gt;"",ISNUMBER(E181)),E181*Parametros!$B$13,"")</f>
        <v/>
      </c>
      <c r="V181" s="18" t="str">
        <f aca="false">IF(AND(S181&lt;&gt;"",ISNUMBER(E181)),E181-S181-T181-U181,"")</f>
        <v/>
      </c>
      <c r="W181" s="19" t="str">
        <f aca="false">IF(AND(S181&lt;&gt;"",ISNUMBER(E181)),V181/E181,"")</f>
        <v/>
      </c>
      <c r="X181" s="17" t="str">
        <f aca="false">IF(OR(S181="",Parametros!$B$14&gt;=1),"",S181/(1-Parametros!$B$14))</f>
        <v/>
      </c>
      <c r="Y181" s="17" t="str">
        <f aca="false">IF(OR(S181="",Parametros!$B$14+Parametros!$B$18&gt;=1),"",S181/(1-Parametros!$B$14-Parametros!$B$18))</f>
        <v/>
      </c>
      <c r="Z181" s="20" t="str">
        <f aca="false">IF(B181="","",IF(S181="","FALTAN DATOS",IF(NOT(ISNUMBER(E181)),"FALTA PRECIO",IF(V181&lt;0,"PIERDE",IF(W181&lt;Parametros!$B$18,"BAJO META","OK")))))</f>
        <v/>
      </c>
      <c r="AA181" s="21" t="str">
        <f aca="false">IF(B181="","",IF(F181="","Tela. ","")&amp;IF(NOT(ISNUMBER(G181)),"Kg de tela. ","")&amp;IF(AND(F181&lt;&gt;"",NOT(ISNUMBER(IFERROR(INDEX(Precios!$D$5:$D$120,MATCH(F181,Precios!$A$5:$A$120,0)),"x")))),"Tela sin precio. ","")&amp;IF(AND(H181&lt;&gt;"",NOT(ISNUMBER(IFERROR(INDEX(Precios!$D$5:$D$120,MATCH(H181,Precios!$A$5:$A$120,0)),"x")))),"Tela 2 sin precio. ","")&amp;IF(J181="","Metros impresos. ","")&amp;IF(AND(N(J181)&gt;0,Parametros!$B$27=0),"Impresión sin costo. ","")&amp;IF(K181="","Confección. ",IF(Q181=0,"Confección sin valor. ",""))&amp;IF(NOT(ISNUMBER(E181)),"Precio de venta. ",""))</f>
        <v/>
      </c>
    </row>
    <row r="182" customFormat="false" ht="15" hidden="false" customHeight="false" outlineLevel="0" collapsed="false">
      <c r="A182" s="22"/>
      <c r="B182" s="22"/>
      <c r="C182" s="22"/>
      <c r="D182" s="13"/>
      <c r="E182" s="12"/>
      <c r="F182" s="13"/>
      <c r="G182" s="14"/>
      <c r="H182" s="13"/>
      <c r="I182" s="14"/>
      <c r="J182" s="15"/>
      <c r="K182" s="13"/>
      <c r="L182" s="12"/>
      <c r="M182" s="13"/>
      <c r="O182" s="17" t="str">
        <f aca="false">IF(B182="","",IFERROR(G182*INDEX(Precios!$D$5:$D$120,MATCH(F182,Precios!$A$5:$A$120,0)),0)+IF(H182="",0,IFERROR(I182*INDEX(Precios!$D$5:$D$120,MATCH(H182,Precios!$A$5:$A$120,0)),0)))</f>
        <v/>
      </c>
      <c r="P182" s="17" t="str">
        <f aca="false">IF(B182="","",N(J182)*Parametros!$B$27)</f>
        <v/>
      </c>
      <c r="Q182" s="17" t="str">
        <f aca="false">IF(B182="","",IFERROR(INDEX(Confeccion!$B$5:$B$100,MATCH(K182,Confeccion!$A$5:$A$100,0)),0))</f>
        <v/>
      </c>
      <c r="R182" s="17" t="str">
        <f aca="false">IF(B182="","",N(L182))</f>
        <v/>
      </c>
      <c r="S182" s="18" t="str">
        <f aca="false">IF(B182="","",IF(AND(F182&lt;&gt;"",ISNUMBER(G182),ISNUMBER(IFERROR(INDEX(Precios!$D$5:$D$120,MATCH(F182,Precios!$A$5:$A$120,0)),"x")),OR(H182="",ISNUMBER(IFERROR(INDEX(Precios!$D$5:$D$120,MATCH(H182,Precios!$A$5:$A$120,0)),"x"))),J182&lt;&gt;"",K182&lt;&gt;"",Q182&gt;0),SUM(O182:R182),""))</f>
        <v/>
      </c>
      <c r="T182" s="17" t="str">
        <f aca="false">IF(AND(S182&lt;&gt;"",ISNUMBER(E182)),E182*Parametros!$B$12,"")</f>
        <v/>
      </c>
      <c r="U182" s="17" t="str">
        <f aca="false">IF(AND(S182&lt;&gt;"",ISNUMBER(E182)),E182*Parametros!$B$13,"")</f>
        <v/>
      </c>
      <c r="V182" s="18" t="str">
        <f aca="false">IF(AND(S182&lt;&gt;"",ISNUMBER(E182)),E182-S182-T182-U182,"")</f>
        <v/>
      </c>
      <c r="W182" s="19" t="str">
        <f aca="false">IF(AND(S182&lt;&gt;"",ISNUMBER(E182)),V182/E182,"")</f>
        <v/>
      </c>
      <c r="X182" s="17" t="str">
        <f aca="false">IF(OR(S182="",Parametros!$B$14&gt;=1),"",S182/(1-Parametros!$B$14))</f>
        <v/>
      </c>
      <c r="Y182" s="17" t="str">
        <f aca="false">IF(OR(S182="",Parametros!$B$14+Parametros!$B$18&gt;=1),"",S182/(1-Parametros!$B$14-Parametros!$B$18))</f>
        <v/>
      </c>
      <c r="Z182" s="20" t="str">
        <f aca="false">IF(B182="","",IF(S182="","FALTAN DATOS",IF(NOT(ISNUMBER(E182)),"FALTA PRECIO",IF(V182&lt;0,"PIERDE",IF(W182&lt;Parametros!$B$18,"BAJO META","OK")))))</f>
        <v/>
      </c>
      <c r="AA182" s="21" t="str">
        <f aca="false">IF(B182="","",IF(F182="","Tela. ","")&amp;IF(NOT(ISNUMBER(G182)),"Kg de tela. ","")&amp;IF(AND(F182&lt;&gt;"",NOT(ISNUMBER(IFERROR(INDEX(Precios!$D$5:$D$120,MATCH(F182,Precios!$A$5:$A$120,0)),"x")))),"Tela sin precio. ","")&amp;IF(AND(H182&lt;&gt;"",NOT(ISNUMBER(IFERROR(INDEX(Precios!$D$5:$D$120,MATCH(H182,Precios!$A$5:$A$120,0)),"x")))),"Tela 2 sin precio. ","")&amp;IF(J182="","Metros impresos. ","")&amp;IF(AND(N(J182)&gt;0,Parametros!$B$27=0),"Impresión sin costo. ","")&amp;IF(K182="","Confección. ",IF(Q182=0,"Confección sin valor. ",""))&amp;IF(NOT(ISNUMBER(E182)),"Precio de venta. ",""))</f>
        <v/>
      </c>
    </row>
    <row r="183" customFormat="false" ht="15" hidden="false" customHeight="false" outlineLevel="0" collapsed="false">
      <c r="A183" s="22"/>
      <c r="B183" s="22"/>
      <c r="C183" s="22"/>
      <c r="D183" s="13"/>
      <c r="E183" s="12"/>
      <c r="F183" s="13"/>
      <c r="G183" s="14"/>
      <c r="H183" s="13"/>
      <c r="I183" s="14"/>
      <c r="J183" s="15"/>
      <c r="K183" s="13"/>
      <c r="L183" s="12"/>
      <c r="M183" s="13"/>
      <c r="O183" s="17" t="str">
        <f aca="false">IF(B183="","",IFERROR(G183*INDEX(Precios!$D$5:$D$120,MATCH(F183,Precios!$A$5:$A$120,0)),0)+IF(H183="",0,IFERROR(I183*INDEX(Precios!$D$5:$D$120,MATCH(H183,Precios!$A$5:$A$120,0)),0)))</f>
        <v/>
      </c>
      <c r="P183" s="17" t="str">
        <f aca="false">IF(B183="","",N(J183)*Parametros!$B$27)</f>
        <v/>
      </c>
      <c r="Q183" s="17" t="str">
        <f aca="false">IF(B183="","",IFERROR(INDEX(Confeccion!$B$5:$B$100,MATCH(K183,Confeccion!$A$5:$A$100,0)),0))</f>
        <v/>
      </c>
      <c r="R183" s="17" t="str">
        <f aca="false">IF(B183="","",N(L183))</f>
        <v/>
      </c>
      <c r="S183" s="18" t="str">
        <f aca="false">IF(B183="","",IF(AND(F183&lt;&gt;"",ISNUMBER(G183),ISNUMBER(IFERROR(INDEX(Precios!$D$5:$D$120,MATCH(F183,Precios!$A$5:$A$120,0)),"x")),OR(H183="",ISNUMBER(IFERROR(INDEX(Precios!$D$5:$D$120,MATCH(H183,Precios!$A$5:$A$120,0)),"x"))),J183&lt;&gt;"",K183&lt;&gt;"",Q183&gt;0),SUM(O183:R183),""))</f>
        <v/>
      </c>
      <c r="T183" s="17" t="str">
        <f aca="false">IF(AND(S183&lt;&gt;"",ISNUMBER(E183)),E183*Parametros!$B$12,"")</f>
        <v/>
      </c>
      <c r="U183" s="17" t="str">
        <f aca="false">IF(AND(S183&lt;&gt;"",ISNUMBER(E183)),E183*Parametros!$B$13,"")</f>
        <v/>
      </c>
      <c r="V183" s="18" t="str">
        <f aca="false">IF(AND(S183&lt;&gt;"",ISNUMBER(E183)),E183-S183-T183-U183,"")</f>
        <v/>
      </c>
      <c r="W183" s="19" t="str">
        <f aca="false">IF(AND(S183&lt;&gt;"",ISNUMBER(E183)),V183/E183,"")</f>
        <v/>
      </c>
      <c r="X183" s="17" t="str">
        <f aca="false">IF(OR(S183="",Parametros!$B$14&gt;=1),"",S183/(1-Parametros!$B$14))</f>
        <v/>
      </c>
      <c r="Y183" s="17" t="str">
        <f aca="false">IF(OR(S183="",Parametros!$B$14+Parametros!$B$18&gt;=1),"",S183/(1-Parametros!$B$14-Parametros!$B$18))</f>
        <v/>
      </c>
      <c r="Z183" s="20" t="str">
        <f aca="false">IF(B183="","",IF(S183="","FALTAN DATOS",IF(NOT(ISNUMBER(E183)),"FALTA PRECIO",IF(V183&lt;0,"PIERDE",IF(W183&lt;Parametros!$B$18,"BAJO META","OK")))))</f>
        <v/>
      </c>
      <c r="AA183" s="21" t="str">
        <f aca="false">IF(B183="","",IF(F183="","Tela. ","")&amp;IF(NOT(ISNUMBER(G183)),"Kg de tela. ","")&amp;IF(AND(F183&lt;&gt;"",NOT(ISNUMBER(IFERROR(INDEX(Precios!$D$5:$D$120,MATCH(F183,Precios!$A$5:$A$120,0)),"x")))),"Tela sin precio. ","")&amp;IF(AND(H183&lt;&gt;"",NOT(ISNUMBER(IFERROR(INDEX(Precios!$D$5:$D$120,MATCH(H183,Precios!$A$5:$A$120,0)),"x")))),"Tela 2 sin precio. ","")&amp;IF(J183="","Metros impresos. ","")&amp;IF(AND(N(J183)&gt;0,Parametros!$B$27=0),"Impresión sin costo. ","")&amp;IF(K183="","Confección. ",IF(Q183=0,"Confección sin valor. ",""))&amp;IF(NOT(ISNUMBER(E183)),"Precio de venta. ",""))</f>
        <v/>
      </c>
    </row>
    <row r="184" customFormat="false" ht="15" hidden="false" customHeight="false" outlineLevel="0" collapsed="false">
      <c r="A184" s="22"/>
      <c r="B184" s="22"/>
      <c r="C184" s="22"/>
      <c r="D184" s="13"/>
      <c r="E184" s="12"/>
      <c r="F184" s="13"/>
      <c r="G184" s="14"/>
      <c r="H184" s="13"/>
      <c r="I184" s="14"/>
      <c r="J184" s="15"/>
      <c r="K184" s="13"/>
      <c r="L184" s="12"/>
      <c r="M184" s="13"/>
      <c r="O184" s="17" t="str">
        <f aca="false">IF(B184="","",IFERROR(G184*INDEX(Precios!$D$5:$D$120,MATCH(F184,Precios!$A$5:$A$120,0)),0)+IF(H184="",0,IFERROR(I184*INDEX(Precios!$D$5:$D$120,MATCH(H184,Precios!$A$5:$A$120,0)),0)))</f>
        <v/>
      </c>
      <c r="P184" s="17" t="str">
        <f aca="false">IF(B184="","",N(J184)*Parametros!$B$27)</f>
        <v/>
      </c>
      <c r="Q184" s="17" t="str">
        <f aca="false">IF(B184="","",IFERROR(INDEX(Confeccion!$B$5:$B$100,MATCH(K184,Confeccion!$A$5:$A$100,0)),0))</f>
        <v/>
      </c>
      <c r="R184" s="17" t="str">
        <f aca="false">IF(B184="","",N(L184))</f>
        <v/>
      </c>
      <c r="S184" s="18" t="str">
        <f aca="false">IF(B184="","",IF(AND(F184&lt;&gt;"",ISNUMBER(G184),ISNUMBER(IFERROR(INDEX(Precios!$D$5:$D$120,MATCH(F184,Precios!$A$5:$A$120,0)),"x")),OR(H184="",ISNUMBER(IFERROR(INDEX(Precios!$D$5:$D$120,MATCH(H184,Precios!$A$5:$A$120,0)),"x"))),J184&lt;&gt;"",K184&lt;&gt;"",Q184&gt;0),SUM(O184:R184),""))</f>
        <v/>
      </c>
      <c r="T184" s="17" t="str">
        <f aca="false">IF(AND(S184&lt;&gt;"",ISNUMBER(E184)),E184*Parametros!$B$12,"")</f>
        <v/>
      </c>
      <c r="U184" s="17" t="str">
        <f aca="false">IF(AND(S184&lt;&gt;"",ISNUMBER(E184)),E184*Parametros!$B$13,"")</f>
        <v/>
      </c>
      <c r="V184" s="18" t="str">
        <f aca="false">IF(AND(S184&lt;&gt;"",ISNUMBER(E184)),E184-S184-T184-U184,"")</f>
        <v/>
      </c>
      <c r="W184" s="19" t="str">
        <f aca="false">IF(AND(S184&lt;&gt;"",ISNUMBER(E184)),V184/E184,"")</f>
        <v/>
      </c>
      <c r="X184" s="17" t="str">
        <f aca="false">IF(OR(S184="",Parametros!$B$14&gt;=1),"",S184/(1-Parametros!$B$14))</f>
        <v/>
      </c>
      <c r="Y184" s="17" t="str">
        <f aca="false">IF(OR(S184="",Parametros!$B$14+Parametros!$B$18&gt;=1),"",S184/(1-Parametros!$B$14-Parametros!$B$18))</f>
        <v/>
      </c>
      <c r="Z184" s="20" t="str">
        <f aca="false">IF(B184="","",IF(S184="","FALTAN DATOS",IF(NOT(ISNUMBER(E184)),"FALTA PRECIO",IF(V184&lt;0,"PIERDE",IF(W184&lt;Parametros!$B$18,"BAJO META","OK")))))</f>
        <v/>
      </c>
      <c r="AA184" s="21" t="str">
        <f aca="false">IF(B184="","",IF(F184="","Tela. ","")&amp;IF(NOT(ISNUMBER(G184)),"Kg de tela. ","")&amp;IF(AND(F184&lt;&gt;"",NOT(ISNUMBER(IFERROR(INDEX(Precios!$D$5:$D$120,MATCH(F184,Precios!$A$5:$A$120,0)),"x")))),"Tela sin precio. ","")&amp;IF(AND(H184&lt;&gt;"",NOT(ISNUMBER(IFERROR(INDEX(Precios!$D$5:$D$120,MATCH(H184,Precios!$A$5:$A$120,0)),"x")))),"Tela 2 sin precio. ","")&amp;IF(J184="","Metros impresos. ","")&amp;IF(AND(N(J184)&gt;0,Parametros!$B$27=0),"Impresión sin costo. ","")&amp;IF(K184="","Confección. ",IF(Q184=0,"Confección sin valor. ",""))&amp;IF(NOT(ISNUMBER(E184)),"Precio de venta. ",""))</f>
        <v/>
      </c>
    </row>
    <row r="185" customFormat="false" ht="15" hidden="false" customHeight="false" outlineLevel="0" collapsed="false">
      <c r="A185" s="22"/>
      <c r="B185" s="22"/>
      <c r="C185" s="22"/>
      <c r="D185" s="13"/>
      <c r="E185" s="12"/>
      <c r="F185" s="13"/>
      <c r="G185" s="14"/>
      <c r="H185" s="13"/>
      <c r="I185" s="14"/>
      <c r="J185" s="15"/>
      <c r="K185" s="13"/>
      <c r="L185" s="12"/>
      <c r="M185" s="13"/>
      <c r="O185" s="17" t="str">
        <f aca="false">IF(B185="","",IFERROR(G185*INDEX(Precios!$D$5:$D$120,MATCH(F185,Precios!$A$5:$A$120,0)),0)+IF(H185="",0,IFERROR(I185*INDEX(Precios!$D$5:$D$120,MATCH(H185,Precios!$A$5:$A$120,0)),0)))</f>
        <v/>
      </c>
      <c r="P185" s="17" t="str">
        <f aca="false">IF(B185="","",N(J185)*Parametros!$B$27)</f>
        <v/>
      </c>
      <c r="Q185" s="17" t="str">
        <f aca="false">IF(B185="","",IFERROR(INDEX(Confeccion!$B$5:$B$100,MATCH(K185,Confeccion!$A$5:$A$100,0)),0))</f>
        <v/>
      </c>
      <c r="R185" s="17" t="str">
        <f aca="false">IF(B185="","",N(L185))</f>
        <v/>
      </c>
      <c r="S185" s="18" t="str">
        <f aca="false">IF(B185="","",IF(AND(F185&lt;&gt;"",ISNUMBER(G185),ISNUMBER(IFERROR(INDEX(Precios!$D$5:$D$120,MATCH(F185,Precios!$A$5:$A$120,0)),"x")),OR(H185="",ISNUMBER(IFERROR(INDEX(Precios!$D$5:$D$120,MATCH(H185,Precios!$A$5:$A$120,0)),"x"))),J185&lt;&gt;"",K185&lt;&gt;"",Q185&gt;0),SUM(O185:R185),""))</f>
        <v/>
      </c>
      <c r="T185" s="17" t="str">
        <f aca="false">IF(AND(S185&lt;&gt;"",ISNUMBER(E185)),E185*Parametros!$B$12,"")</f>
        <v/>
      </c>
      <c r="U185" s="17" t="str">
        <f aca="false">IF(AND(S185&lt;&gt;"",ISNUMBER(E185)),E185*Parametros!$B$13,"")</f>
        <v/>
      </c>
      <c r="V185" s="18" t="str">
        <f aca="false">IF(AND(S185&lt;&gt;"",ISNUMBER(E185)),E185-S185-T185-U185,"")</f>
        <v/>
      </c>
      <c r="W185" s="19" t="str">
        <f aca="false">IF(AND(S185&lt;&gt;"",ISNUMBER(E185)),V185/E185,"")</f>
        <v/>
      </c>
      <c r="X185" s="17" t="str">
        <f aca="false">IF(OR(S185="",Parametros!$B$14&gt;=1),"",S185/(1-Parametros!$B$14))</f>
        <v/>
      </c>
      <c r="Y185" s="17" t="str">
        <f aca="false">IF(OR(S185="",Parametros!$B$14+Parametros!$B$18&gt;=1),"",S185/(1-Parametros!$B$14-Parametros!$B$18))</f>
        <v/>
      </c>
      <c r="Z185" s="20" t="str">
        <f aca="false">IF(B185="","",IF(S185="","FALTAN DATOS",IF(NOT(ISNUMBER(E185)),"FALTA PRECIO",IF(V185&lt;0,"PIERDE",IF(W185&lt;Parametros!$B$18,"BAJO META","OK")))))</f>
        <v/>
      </c>
      <c r="AA185" s="21" t="str">
        <f aca="false">IF(B185="","",IF(F185="","Tela. ","")&amp;IF(NOT(ISNUMBER(G185)),"Kg de tela. ","")&amp;IF(AND(F185&lt;&gt;"",NOT(ISNUMBER(IFERROR(INDEX(Precios!$D$5:$D$120,MATCH(F185,Precios!$A$5:$A$120,0)),"x")))),"Tela sin precio. ","")&amp;IF(AND(H185&lt;&gt;"",NOT(ISNUMBER(IFERROR(INDEX(Precios!$D$5:$D$120,MATCH(H185,Precios!$A$5:$A$120,0)),"x")))),"Tela 2 sin precio. ","")&amp;IF(J185="","Metros impresos. ","")&amp;IF(AND(N(J185)&gt;0,Parametros!$B$27=0),"Impresión sin costo. ","")&amp;IF(K185="","Confección. ",IF(Q185=0,"Confección sin valor. ",""))&amp;IF(NOT(ISNUMBER(E185)),"Precio de venta. ",""))</f>
        <v/>
      </c>
    </row>
    <row r="186" customFormat="false" ht="15" hidden="false" customHeight="false" outlineLevel="0" collapsed="false">
      <c r="A186" s="22"/>
      <c r="B186" s="22"/>
      <c r="C186" s="22"/>
      <c r="D186" s="13"/>
      <c r="E186" s="12"/>
      <c r="F186" s="13"/>
      <c r="G186" s="14"/>
      <c r="H186" s="13"/>
      <c r="I186" s="14"/>
      <c r="J186" s="15"/>
      <c r="K186" s="13"/>
      <c r="L186" s="12"/>
      <c r="M186" s="13"/>
      <c r="O186" s="17" t="str">
        <f aca="false">IF(B186="","",IFERROR(G186*INDEX(Precios!$D$5:$D$120,MATCH(F186,Precios!$A$5:$A$120,0)),0)+IF(H186="",0,IFERROR(I186*INDEX(Precios!$D$5:$D$120,MATCH(H186,Precios!$A$5:$A$120,0)),0)))</f>
        <v/>
      </c>
      <c r="P186" s="17" t="str">
        <f aca="false">IF(B186="","",N(J186)*Parametros!$B$27)</f>
        <v/>
      </c>
      <c r="Q186" s="17" t="str">
        <f aca="false">IF(B186="","",IFERROR(INDEX(Confeccion!$B$5:$B$100,MATCH(K186,Confeccion!$A$5:$A$100,0)),0))</f>
        <v/>
      </c>
      <c r="R186" s="17" t="str">
        <f aca="false">IF(B186="","",N(L186))</f>
        <v/>
      </c>
      <c r="S186" s="18" t="str">
        <f aca="false">IF(B186="","",IF(AND(F186&lt;&gt;"",ISNUMBER(G186),ISNUMBER(IFERROR(INDEX(Precios!$D$5:$D$120,MATCH(F186,Precios!$A$5:$A$120,0)),"x")),OR(H186="",ISNUMBER(IFERROR(INDEX(Precios!$D$5:$D$120,MATCH(H186,Precios!$A$5:$A$120,0)),"x"))),J186&lt;&gt;"",K186&lt;&gt;"",Q186&gt;0),SUM(O186:R186),""))</f>
        <v/>
      </c>
      <c r="T186" s="17" t="str">
        <f aca="false">IF(AND(S186&lt;&gt;"",ISNUMBER(E186)),E186*Parametros!$B$12,"")</f>
        <v/>
      </c>
      <c r="U186" s="17" t="str">
        <f aca="false">IF(AND(S186&lt;&gt;"",ISNUMBER(E186)),E186*Parametros!$B$13,"")</f>
        <v/>
      </c>
      <c r="V186" s="18" t="str">
        <f aca="false">IF(AND(S186&lt;&gt;"",ISNUMBER(E186)),E186-S186-T186-U186,"")</f>
        <v/>
      </c>
      <c r="W186" s="19" t="str">
        <f aca="false">IF(AND(S186&lt;&gt;"",ISNUMBER(E186)),V186/E186,"")</f>
        <v/>
      </c>
      <c r="X186" s="17" t="str">
        <f aca="false">IF(OR(S186="",Parametros!$B$14&gt;=1),"",S186/(1-Parametros!$B$14))</f>
        <v/>
      </c>
      <c r="Y186" s="17" t="str">
        <f aca="false">IF(OR(S186="",Parametros!$B$14+Parametros!$B$18&gt;=1),"",S186/(1-Parametros!$B$14-Parametros!$B$18))</f>
        <v/>
      </c>
      <c r="Z186" s="20" t="str">
        <f aca="false">IF(B186="","",IF(S186="","FALTAN DATOS",IF(NOT(ISNUMBER(E186)),"FALTA PRECIO",IF(V186&lt;0,"PIERDE",IF(W186&lt;Parametros!$B$18,"BAJO META","OK")))))</f>
        <v/>
      </c>
      <c r="AA186" s="21" t="str">
        <f aca="false">IF(B186="","",IF(F186="","Tela. ","")&amp;IF(NOT(ISNUMBER(G186)),"Kg de tela. ","")&amp;IF(AND(F186&lt;&gt;"",NOT(ISNUMBER(IFERROR(INDEX(Precios!$D$5:$D$120,MATCH(F186,Precios!$A$5:$A$120,0)),"x")))),"Tela sin precio. ","")&amp;IF(AND(H186&lt;&gt;"",NOT(ISNUMBER(IFERROR(INDEX(Precios!$D$5:$D$120,MATCH(H186,Precios!$A$5:$A$120,0)),"x")))),"Tela 2 sin precio. ","")&amp;IF(J186="","Metros impresos. ","")&amp;IF(AND(N(J186)&gt;0,Parametros!$B$27=0),"Impresión sin costo. ","")&amp;IF(K186="","Confección. ",IF(Q186=0,"Confección sin valor. ",""))&amp;IF(NOT(ISNUMBER(E186)),"Precio de venta. ",""))</f>
        <v/>
      </c>
    </row>
    <row r="187" customFormat="false" ht="15" hidden="false" customHeight="false" outlineLevel="0" collapsed="false">
      <c r="A187" s="22"/>
      <c r="B187" s="22"/>
      <c r="C187" s="22"/>
      <c r="D187" s="13"/>
      <c r="E187" s="12"/>
      <c r="F187" s="13"/>
      <c r="G187" s="14"/>
      <c r="H187" s="13"/>
      <c r="I187" s="14"/>
      <c r="J187" s="15"/>
      <c r="K187" s="13"/>
      <c r="L187" s="12"/>
      <c r="M187" s="13"/>
      <c r="O187" s="17" t="str">
        <f aca="false">IF(B187="","",IFERROR(G187*INDEX(Precios!$D$5:$D$120,MATCH(F187,Precios!$A$5:$A$120,0)),0)+IF(H187="",0,IFERROR(I187*INDEX(Precios!$D$5:$D$120,MATCH(H187,Precios!$A$5:$A$120,0)),0)))</f>
        <v/>
      </c>
      <c r="P187" s="17" t="str">
        <f aca="false">IF(B187="","",N(J187)*Parametros!$B$27)</f>
        <v/>
      </c>
      <c r="Q187" s="17" t="str">
        <f aca="false">IF(B187="","",IFERROR(INDEX(Confeccion!$B$5:$B$100,MATCH(K187,Confeccion!$A$5:$A$100,0)),0))</f>
        <v/>
      </c>
      <c r="R187" s="17" t="str">
        <f aca="false">IF(B187="","",N(L187))</f>
        <v/>
      </c>
      <c r="S187" s="18" t="str">
        <f aca="false">IF(B187="","",IF(AND(F187&lt;&gt;"",ISNUMBER(G187),ISNUMBER(IFERROR(INDEX(Precios!$D$5:$D$120,MATCH(F187,Precios!$A$5:$A$120,0)),"x")),OR(H187="",ISNUMBER(IFERROR(INDEX(Precios!$D$5:$D$120,MATCH(H187,Precios!$A$5:$A$120,0)),"x"))),J187&lt;&gt;"",K187&lt;&gt;"",Q187&gt;0),SUM(O187:R187),""))</f>
        <v/>
      </c>
      <c r="T187" s="17" t="str">
        <f aca="false">IF(AND(S187&lt;&gt;"",ISNUMBER(E187)),E187*Parametros!$B$12,"")</f>
        <v/>
      </c>
      <c r="U187" s="17" t="str">
        <f aca="false">IF(AND(S187&lt;&gt;"",ISNUMBER(E187)),E187*Parametros!$B$13,"")</f>
        <v/>
      </c>
      <c r="V187" s="18" t="str">
        <f aca="false">IF(AND(S187&lt;&gt;"",ISNUMBER(E187)),E187-S187-T187-U187,"")</f>
        <v/>
      </c>
      <c r="W187" s="19" t="str">
        <f aca="false">IF(AND(S187&lt;&gt;"",ISNUMBER(E187)),V187/E187,"")</f>
        <v/>
      </c>
      <c r="X187" s="17" t="str">
        <f aca="false">IF(OR(S187="",Parametros!$B$14&gt;=1),"",S187/(1-Parametros!$B$14))</f>
        <v/>
      </c>
      <c r="Y187" s="17" t="str">
        <f aca="false">IF(OR(S187="",Parametros!$B$14+Parametros!$B$18&gt;=1),"",S187/(1-Parametros!$B$14-Parametros!$B$18))</f>
        <v/>
      </c>
      <c r="Z187" s="20" t="str">
        <f aca="false">IF(B187="","",IF(S187="","FALTAN DATOS",IF(NOT(ISNUMBER(E187)),"FALTA PRECIO",IF(V187&lt;0,"PIERDE",IF(W187&lt;Parametros!$B$18,"BAJO META","OK")))))</f>
        <v/>
      </c>
      <c r="AA187" s="21" t="str">
        <f aca="false">IF(B187="","",IF(F187="","Tela. ","")&amp;IF(NOT(ISNUMBER(G187)),"Kg de tela. ","")&amp;IF(AND(F187&lt;&gt;"",NOT(ISNUMBER(IFERROR(INDEX(Precios!$D$5:$D$120,MATCH(F187,Precios!$A$5:$A$120,0)),"x")))),"Tela sin precio. ","")&amp;IF(AND(H187&lt;&gt;"",NOT(ISNUMBER(IFERROR(INDEX(Precios!$D$5:$D$120,MATCH(H187,Precios!$A$5:$A$120,0)),"x")))),"Tela 2 sin precio. ","")&amp;IF(J187="","Metros impresos. ","")&amp;IF(AND(N(J187)&gt;0,Parametros!$B$27=0),"Impresión sin costo. ","")&amp;IF(K187="","Confección. ",IF(Q187=0,"Confección sin valor. ",""))&amp;IF(NOT(ISNUMBER(E187)),"Precio de venta. ",""))</f>
        <v/>
      </c>
    </row>
    <row r="188" customFormat="false" ht="15" hidden="false" customHeight="false" outlineLevel="0" collapsed="false">
      <c r="A188" s="22"/>
      <c r="B188" s="22"/>
      <c r="C188" s="22"/>
      <c r="D188" s="13"/>
      <c r="E188" s="12"/>
      <c r="F188" s="13"/>
      <c r="G188" s="14"/>
      <c r="H188" s="13"/>
      <c r="I188" s="14"/>
      <c r="J188" s="15"/>
      <c r="K188" s="13"/>
      <c r="L188" s="12"/>
      <c r="M188" s="13"/>
      <c r="O188" s="17" t="str">
        <f aca="false">IF(B188="","",IFERROR(G188*INDEX(Precios!$D$5:$D$120,MATCH(F188,Precios!$A$5:$A$120,0)),0)+IF(H188="",0,IFERROR(I188*INDEX(Precios!$D$5:$D$120,MATCH(H188,Precios!$A$5:$A$120,0)),0)))</f>
        <v/>
      </c>
      <c r="P188" s="17" t="str">
        <f aca="false">IF(B188="","",N(J188)*Parametros!$B$27)</f>
        <v/>
      </c>
      <c r="Q188" s="17" t="str">
        <f aca="false">IF(B188="","",IFERROR(INDEX(Confeccion!$B$5:$B$100,MATCH(K188,Confeccion!$A$5:$A$100,0)),0))</f>
        <v/>
      </c>
      <c r="R188" s="17" t="str">
        <f aca="false">IF(B188="","",N(L188))</f>
        <v/>
      </c>
      <c r="S188" s="18" t="str">
        <f aca="false">IF(B188="","",IF(AND(F188&lt;&gt;"",ISNUMBER(G188),ISNUMBER(IFERROR(INDEX(Precios!$D$5:$D$120,MATCH(F188,Precios!$A$5:$A$120,0)),"x")),OR(H188="",ISNUMBER(IFERROR(INDEX(Precios!$D$5:$D$120,MATCH(H188,Precios!$A$5:$A$120,0)),"x"))),J188&lt;&gt;"",K188&lt;&gt;"",Q188&gt;0),SUM(O188:R188),""))</f>
        <v/>
      </c>
      <c r="T188" s="17" t="str">
        <f aca="false">IF(AND(S188&lt;&gt;"",ISNUMBER(E188)),E188*Parametros!$B$12,"")</f>
        <v/>
      </c>
      <c r="U188" s="17" t="str">
        <f aca="false">IF(AND(S188&lt;&gt;"",ISNUMBER(E188)),E188*Parametros!$B$13,"")</f>
        <v/>
      </c>
      <c r="V188" s="18" t="str">
        <f aca="false">IF(AND(S188&lt;&gt;"",ISNUMBER(E188)),E188-S188-T188-U188,"")</f>
        <v/>
      </c>
      <c r="W188" s="19" t="str">
        <f aca="false">IF(AND(S188&lt;&gt;"",ISNUMBER(E188)),V188/E188,"")</f>
        <v/>
      </c>
      <c r="X188" s="17" t="str">
        <f aca="false">IF(OR(S188="",Parametros!$B$14&gt;=1),"",S188/(1-Parametros!$B$14))</f>
        <v/>
      </c>
      <c r="Y188" s="17" t="str">
        <f aca="false">IF(OR(S188="",Parametros!$B$14+Parametros!$B$18&gt;=1),"",S188/(1-Parametros!$B$14-Parametros!$B$18))</f>
        <v/>
      </c>
      <c r="Z188" s="20" t="str">
        <f aca="false">IF(B188="","",IF(S188="","FALTAN DATOS",IF(NOT(ISNUMBER(E188)),"FALTA PRECIO",IF(V188&lt;0,"PIERDE",IF(W188&lt;Parametros!$B$18,"BAJO META","OK")))))</f>
        <v/>
      </c>
      <c r="AA188" s="21" t="str">
        <f aca="false">IF(B188="","",IF(F188="","Tela. ","")&amp;IF(NOT(ISNUMBER(G188)),"Kg de tela. ","")&amp;IF(AND(F188&lt;&gt;"",NOT(ISNUMBER(IFERROR(INDEX(Precios!$D$5:$D$120,MATCH(F188,Precios!$A$5:$A$120,0)),"x")))),"Tela sin precio. ","")&amp;IF(AND(H188&lt;&gt;"",NOT(ISNUMBER(IFERROR(INDEX(Precios!$D$5:$D$120,MATCH(H188,Precios!$A$5:$A$120,0)),"x")))),"Tela 2 sin precio. ","")&amp;IF(J188="","Metros impresos. ","")&amp;IF(AND(N(J188)&gt;0,Parametros!$B$27=0),"Impresión sin costo. ","")&amp;IF(K188="","Confección. ",IF(Q188=0,"Confección sin valor. ",""))&amp;IF(NOT(ISNUMBER(E188)),"Precio de venta. ",""))</f>
        <v/>
      </c>
    </row>
    <row r="189" customFormat="false" ht="15" hidden="false" customHeight="false" outlineLevel="0" collapsed="false">
      <c r="A189" s="22"/>
      <c r="B189" s="22"/>
      <c r="C189" s="22"/>
      <c r="D189" s="13"/>
      <c r="E189" s="12"/>
      <c r="F189" s="13"/>
      <c r="G189" s="14"/>
      <c r="H189" s="13"/>
      <c r="I189" s="14"/>
      <c r="J189" s="15"/>
      <c r="K189" s="13"/>
      <c r="L189" s="12"/>
      <c r="M189" s="13"/>
      <c r="O189" s="17" t="str">
        <f aca="false">IF(B189="","",IFERROR(G189*INDEX(Precios!$D$5:$D$120,MATCH(F189,Precios!$A$5:$A$120,0)),0)+IF(H189="",0,IFERROR(I189*INDEX(Precios!$D$5:$D$120,MATCH(H189,Precios!$A$5:$A$120,0)),0)))</f>
        <v/>
      </c>
      <c r="P189" s="17" t="str">
        <f aca="false">IF(B189="","",N(J189)*Parametros!$B$27)</f>
        <v/>
      </c>
      <c r="Q189" s="17" t="str">
        <f aca="false">IF(B189="","",IFERROR(INDEX(Confeccion!$B$5:$B$100,MATCH(K189,Confeccion!$A$5:$A$100,0)),0))</f>
        <v/>
      </c>
      <c r="R189" s="17" t="str">
        <f aca="false">IF(B189="","",N(L189))</f>
        <v/>
      </c>
      <c r="S189" s="18" t="str">
        <f aca="false">IF(B189="","",IF(AND(F189&lt;&gt;"",ISNUMBER(G189),ISNUMBER(IFERROR(INDEX(Precios!$D$5:$D$120,MATCH(F189,Precios!$A$5:$A$120,0)),"x")),OR(H189="",ISNUMBER(IFERROR(INDEX(Precios!$D$5:$D$120,MATCH(H189,Precios!$A$5:$A$120,0)),"x"))),J189&lt;&gt;"",K189&lt;&gt;"",Q189&gt;0),SUM(O189:R189),""))</f>
        <v/>
      </c>
      <c r="T189" s="17" t="str">
        <f aca="false">IF(AND(S189&lt;&gt;"",ISNUMBER(E189)),E189*Parametros!$B$12,"")</f>
        <v/>
      </c>
      <c r="U189" s="17" t="str">
        <f aca="false">IF(AND(S189&lt;&gt;"",ISNUMBER(E189)),E189*Parametros!$B$13,"")</f>
        <v/>
      </c>
      <c r="V189" s="18" t="str">
        <f aca="false">IF(AND(S189&lt;&gt;"",ISNUMBER(E189)),E189-S189-T189-U189,"")</f>
        <v/>
      </c>
      <c r="W189" s="19" t="str">
        <f aca="false">IF(AND(S189&lt;&gt;"",ISNUMBER(E189)),V189/E189,"")</f>
        <v/>
      </c>
      <c r="X189" s="17" t="str">
        <f aca="false">IF(OR(S189="",Parametros!$B$14&gt;=1),"",S189/(1-Parametros!$B$14))</f>
        <v/>
      </c>
      <c r="Y189" s="17" t="str">
        <f aca="false">IF(OR(S189="",Parametros!$B$14+Parametros!$B$18&gt;=1),"",S189/(1-Parametros!$B$14-Parametros!$B$18))</f>
        <v/>
      </c>
      <c r="Z189" s="20" t="str">
        <f aca="false">IF(B189="","",IF(S189="","FALTAN DATOS",IF(NOT(ISNUMBER(E189)),"FALTA PRECIO",IF(V189&lt;0,"PIERDE",IF(W189&lt;Parametros!$B$18,"BAJO META","OK")))))</f>
        <v/>
      </c>
      <c r="AA189" s="21" t="str">
        <f aca="false">IF(B189="","",IF(F189="","Tela. ","")&amp;IF(NOT(ISNUMBER(G189)),"Kg de tela. ","")&amp;IF(AND(F189&lt;&gt;"",NOT(ISNUMBER(IFERROR(INDEX(Precios!$D$5:$D$120,MATCH(F189,Precios!$A$5:$A$120,0)),"x")))),"Tela sin precio. ","")&amp;IF(AND(H189&lt;&gt;"",NOT(ISNUMBER(IFERROR(INDEX(Precios!$D$5:$D$120,MATCH(H189,Precios!$A$5:$A$120,0)),"x")))),"Tela 2 sin precio. ","")&amp;IF(J189="","Metros impresos. ","")&amp;IF(AND(N(J189)&gt;0,Parametros!$B$27=0),"Impresión sin costo. ","")&amp;IF(K189="","Confección. ",IF(Q189=0,"Confección sin valor. ",""))&amp;IF(NOT(ISNUMBER(E189)),"Precio de venta. ",""))</f>
        <v/>
      </c>
    </row>
    <row r="190" customFormat="false" ht="15" hidden="false" customHeight="false" outlineLevel="0" collapsed="false">
      <c r="A190" s="22"/>
      <c r="B190" s="22"/>
      <c r="C190" s="22"/>
      <c r="D190" s="13"/>
      <c r="E190" s="12"/>
      <c r="F190" s="13"/>
      <c r="G190" s="14"/>
      <c r="H190" s="13"/>
      <c r="I190" s="14"/>
      <c r="J190" s="15"/>
      <c r="K190" s="13"/>
      <c r="L190" s="12"/>
      <c r="M190" s="13"/>
      <c r="O190" s="17" t="str">
        <f aca="false">IF(B190="","",IFERROR(G190*INDEX(Precios!$D$5:$D$120,MATCH(F190,Precios!$A$5:$A$120,0)),0)+IF(H190="",0,IFERROR(I190*INDEX(Precios!$D$5:$D$120,MATCH(H190,Precios!$A$5:$A$120,0)),0)))</f>
        <v/>
      </c>
      <c r="P190" s="17" t="str">
        <f aca="false">IF(B190="","",N(J190)*Parametros!$B$27)</f>
        <v/>
      </c>
      <c r="Q190" s="17" t="str">
        <f aca="false">IF(B190="","",IFERROR(INDEX(Confeccion!$B$5:$B$100,MATCH(K190,Confeccion!$A$5:$A$100,0)),0))</f>
        <v/>
      </c>
      <c r="R190" s="17" t="str">
        <f aca="false">IF(B190="","",N(L190))</f>
        <v/>
      </c>
      <c r="S190" s="18" t="str">
        <f aca="false">IF(B190="","",IF(AND(F190&lt;&gt;"",ISNUMBER(G190),ISNUMBER(IFERROR(INDEX(Precios!$D$5:$D$120,MATCH(F190,Precios!$A$5:$A$120,0)),"x")),OR(H190="",ISNUMBER(IFERROR(INDEX(Precios!$D$5:$D$120,MATCH(H190,Precios!$A$5:$A$120,0)),"x"))),J190&lt;&gt;"",K190&lt;&gt;"",Q190&gt;0),SUM(O190:R190),""))</f>
        <v/>
      </c>
      <c r="T190" s="17" t="str">
        <f aca="false">IF(AND(S190&lt;&gt;"",ISNUMBER(E190)),E190*Parametros!$B$12,"")</f>
        <v/>
      </c>
      <c r="U190" s="17" t="str">
        <f aca="false">IF(AND(S190&lt;&gt;"",ISNUMBER(E190)),E190*Parametros!$B$13,"")</f>
        <v/>
      </c>
      <c r="V190" s="18" t="str">
        <f aca="false">IF(AND(S190&lt;&gt;"",ISNUMBER(E190)),E190-S190-T190-U190,"")</f>
        <v/>
      </c>
      <c r="W190" s="19" t="str">
        <f aca="false">IF(AND(S190&lt;&gt;"",ISNUMBER(E190)),V190/E190,"")</f>
        <v/>
      </c>
      <c r="X190" s="17" t="str">
        <f aca="false">IF(OR(S190="",Parametros!$B$14&gt;=1),"",S190/(1-Parametros!$B$14))</f>
        <v/>
      </c>
      <c r="Y190" s="17" t="str">
        <f aca="false">IF(OR(S190="",Parametros!$B$14+Parametros!$B$18&gt;=1),"",S190/(1-Parametros!$B$14-Parametros!$B$18))</f>
        <v/>
      </c>
      <c r="Z190" s="20" t="str">
        <f aca="false">IF(B190="","",IF(S190="","FALTAN DATOS",IF(NOT(ISNUMBER(E190)),"FALTA PRECIO",IF(V190&lt;0,"PIERDE",IF(W190&lt;Parametros!$B$18,"BAJO META","OK")))))</f>
        <v/>
      </c>
      <c r="AA190" s="21" t="str">
        <f aca="false">IF(B190="","",IF(F190="","Tela. ","")&amp;IF(NOT(ISNUMBER(G190)),"Kg de tela. ","")&amp;IF(AND(F190&lt;&gt;"",NOT(ISNUMBER(IFERROR(INDEX(Precios!$D$5:$D$120,MATCH(F190,Precios!$A$5:$A$120,0)),"x")))),"Tela sin precio. ","")&amp;IF(AND(H190&lt;&gt;"",NOT(ISNUMBER(IFERROR(INDEX(Precios!$D$5:$D$120,MATCH(H190,Precios!$A$5:$A$120,0)),"x")))),"Tela 2 sin precio. ","")&amp;IF(J190="","Metros impresos. ","")&amp;IF(AND(N(J190)&gt;0,Parametros!$B$27=0),"Impresión sin costo. ","")&amp;IF(K190="","Confección. ",IF(Q190=0,"Confección sin valor. ",""))&amp;IF(NOT(ISNUMBER(E190)),"Precio de venta. ",""))</f>
        <v/>
      </c>
    </row>
    <row r="191" customFormat="false" ht="15" hidden="false" customHeight="false" outlineLevel="0" collapsed="false">
      <c r="A191" s="22"/>
      <c r="B191" s="22"/>
      <c r="C191" s="22"/>
      <c r="D191" s="13"/>
      <c r="E191" s="12"/>
      <c r="F191" s="13"/>
      <c r="G191" s="14"/>
      <c r="H191" s="13"/>
      <c r="I191" s="14"/>
      <c r="J191" s="15"/>
      <c r="K191" s="13"/>
      <c r="L191" s="12"/>
      <c r="M191" s="13"/>
      <c r="O191" s="17" t="str">
        <f aca="false">IF(B191="","",IFERROR(G191*INDEX(Precios!$D$5:$D$120,MATCH(F191,Precios!$A$5:$A$120,0)),0)+IF(H191="",0,IFERROR(I191*INDEX(Precios!$D$5:$D$120,MATCH(H191,Precios!$A$5:$A$120,0)),0)))</f>
        <v/>
      </c>
      <c r="P191" s="17" t="str">
        <f aca="false">IF(B191="","",N(J191)*Parametros!$B$27)</f>
        <v/>
      </c>
      <c r="Q191" s="17" t="str">
        <f aca="false">IF(B191="","",IFERROR(INDEX(Confeccion!$B$5:$B$100,MATCH(K191,Confeccion!$A$5:$A$100,0)),0))</f>
        <v/>
      </c>
      <c r="R191" s="17" t="str">
        <f aca="false">IF(B191="","",N(L191))</f>
        <v/>
      </c>
      <c r="S191" s="18" t="str">
        <f aca="false">IF(B191="","",IF(AND(F191&lt;&gt;"",ISNUMBER(G191),ISNUMBER(IFERROR(INDEX(Precios!$D$5:$D$120,MATCH(F191,Precios!$A$5:$A$120,0)),"x")),OR(H191="",ISNUMBER(IFERROR(INDEX(Precios!$D$5:$D$120,MATCH(H191,Precios!$A$5:$A$120,0)),"x"))),J191&lt;&gt;"",K191&lt;&gt;"",Q191&gt;0),SUM(O191:R191),""))</f>
        <v/>
      </c>
      <c r="T191" s="17" t="str">
        <f aca="false">IF(AND(S191&lt;&gt;"",ISNUMBER(E191)),E191*Parametros!$B$12,"")</f>
        <v/>
      </c>
      <c r="U191" s="17" t="str">
        <f aca="false">IF(AND(S191&lt;&gt;"",ISNUMBER(E191)),E191*Parametros!$B$13,"")</f>
        <v/>
      </c>
      <c r="V191" s="18" t="str">
        <f aca="false">IF(AND(S191&lt;&gt;"",ISNUMBER(E191)),E191-S191-T191-U191,"")</f>
        <v/>
      </c>
      <c r="W191" s="19" t="str">
        <f aca="false">IF(AND(S191&lt;&gt;"",ISNUMBER(E191)),V191/E191,"")</f>
        <v/>
      </c>
      <c r="X191" s="17" t="str">
        <f aca="false">IF(OR(S191="",Parametros!$B$14&gt;=1),"",S191/(1-Parametros!$B$14))</f>
        <v/>
      </c>
      <c r="Y191" s="17" t="str">
        <f aca="false">IF(OR(S191="",Parametros!$B$14+Parametros!$B$18&gt;=1),"",S191/(1-Parametros!$B$14-Parametros!$B$18))</f>
        <v/>
      </c>
      <c r="Z191" s="20" t="str">
        <f aca="false">IF(B191="","",IF(S191="","FALTAN DATOS",IF(NOT(ISNUMBER(E191)),"FALTA PRECIO",IF(V191&lt;0,"PIERDE",IF(W191&lt;Parametros!$B$18,"BAJO META","OK")))))</f>
        <v/>
      </c>
      <c r="AA191" s="21" t="str">
        <f aca="false">IF(B191="","",IF(F191="","Tela. ","")&amp;IF(NOT(ISNUMBER(G191)),"Kg de tela. ","")&amp;IF(AND(F191&lt;&gt;"",NOT(ISNUMBER(IFERROR(INDEX(Precios!$D$5:$D$120,MATCH(F191,Precios!$A$5:$A$120,0)),"x")))),"Tela sin precio. ","")&amp;IF(AND(H191&lt;&gt;"",NOT(ISNUMBER(IFERROR(INDEX(Precios!$D$5:$D$120,MATCH(H191,Precios!$A$5:$A$120,0)),"x")))),"Tela 2 sin precio. ","")&amp;IF(J191="","Metros impresos. ","")&amp;IF(AND(N(J191)&gt;0,Parametros!$B$27=0),"Impresión sin costo. ","")&amp;IF(K191="","Confección. ",IF(Q191=0,"Confección sin valor. ",""))&amp;IF(NOT(ISNUMBER(E191)),"Precio de venta. ",""))</f>
        <v/>
      </c>
    </row>
    <row r="192" customFormat="false" ht="15" hidden="false" customHeight="false" outlineLevel="0" collapsed="false">
      <c r="A192" s="22"/>
      <c r="B192" s="22"/>
      <c r="C192" s="22"/>
      <c r="D192" s="13"/>
      <c r="E192" s="12"/>
      <c r="F192" s="13"/>
      <c r="G192" s="14"/>
      <c r="H192" s="13"/>
      <c r="I192" s="14"/>
      <c r="J192" s="15"/>
      <c r="K192" s="13"/>
      <c r="L192" s="12"/>
      <c r="M192" s="13"/>
      <c r="O192" s="17" t="str">
        <f aca="false">IF(B192="","",IFERROR(G192*INDEX(Precios!$D$5:$D$120,MATCH(F192,Precios!$A$5:$A$120,0)),0)+IF(H192="",0,IFERROR(I192*INDEX(Precios!$D$5:$D$120,MATCH(H192,Precios!$A$5:$A$120,0)),0)))</f>
        <v/>
      </c>
      <c r="P192" s="17" t="str">
        <f aca="false">IF(B192="","",N(J192)*Parametros!$B$27)</f>
        <v/>
      </c>
      <c r="Q192" s="17" t="str">
        <f aca="false">IF(B192="","",IFERROR(INDEX(Confeccion!$B$5:$B$100,MATCH(K192,Confeccion!$A$5:$A$100,0)),0))</f>
        <v/>
      </c>
      <c r="R192" s="17" t="str">
        <f aca="false">IF(B192="","",N(L192))</f>
        <v/>
      </c>
      <c r="S192" s="18" t="str">
        <f aca="false">IF(B192="","",IF(AND(F192&lt;&gt;"",ISNUMBER(G192),ISNUMBER(IFERROR(INDEX(Precios!$D$5:$D$120,MATCH(F192,Precios!$A$5:$A$120,0)),"x")),OR(H192="",ISNUMBER(IFERROR(INDEX(Precios!$D$5:$D$120,MATCH(H192,Precios!$A$5:$A$120,0)),"x"))),J192&lt;&gt;"",K192&lt;&gt;"",Q192&gt;0),SUM(O192:R192),""))</f>
        <v/>
      </c>
      <c r="T192" s="17" t="str">
        <f aca="false">IF(AND(S192&lt;&gt;"",ISNUMBER(E192)),E192*Parametros!$B$12,"")</f>
        <v/>
      </c>
      <c r="U192" s="17" t="str">
        <f aca="false">IF(AND(S192&lt;&gt;"",ISNUMBER(E192)),E192*Parametros!$B$13,"")</f>
        <v/>
      </c>
      <c r="V192" s="18" t="str">
        <f aca="false">IF(AND(S192&lt;&gt;"",ISNUMBER(E192)),E192-S192-T192-U192,"")</f>
        <v/>
      </c>
      <c r="W192" s="19" t="str">
        <f aca="false">IF(AND(S192&lt;&gt;"",ISNUMBER(E192)),V192/E192,"")</f>
        <v/>
      </c>
      <c r="X192" s="17" t="str">
        <f aca="false">IF(OR(S192="",Parametros!$B$14&gt;=1),"",S192/(1-Parametros!$B$14))</f>
        <v/>
      </c>
      <c r="Y192" s="17" t="str">
        <f aca="false">IF(OR(S192="",Parametros!$B$14+Parametros!$B$18&gt;=1),"",S192/(1-Parametros!$B$14-Parametros!$B$18))</f>
        <v/>
      </c>
      <c r="Z192" s="20" t="str">
        <f aca="false">IF(B192="","",IF(S192="","FALTAN DATOS",IF(NOT(ISNUMBER(E192)),"FALTA PRECIO",IF(V192&lt;0,"PIERDE",IF(W192&lt;Parametros!$B$18,"BAJO META","OK")))))</f>
        <v/>
      </c>
      <c r="AA192" s="21" t="str">
        <f aca="false">IF(B192="","",IF(F192="","Tela. ","")&amp;IF(NOT(ISNUMBER(G192)),"Kg de tela. ","")&amp;IF(AND(F192&lt;&gt;"",NOT(ISNUMBER(IFERROR(INDEX(Precios!$D$5:$D$120,MATCH(F192,Precios!$A$5:$A$120,0)),"x")))),"Tela sin precio. ","")&amp;IF(AND(H192&lt;&gt;"",NOT(ISNUMBER(IFERROR(INDEX(Precios!$D$5:$D$120,MATCH(H192,Precios!$A$5:$A$120,0)),"x")))),"Tela 2 sin precio. ","")&amp;IF(J192="","Metros impresos. ","")&amp;IF(AND(N(J192)&gt;0,Parametros!$B$27=0),"Impresión sin costo. ","")&amp;IF(K192="","Confección. ",IF(Q192=0,"Confección sin valor. ",""))&amp;IF(NOT(ISNUMBER(E192)),"Precio de venta. ",""))</f>
        <v/>
      </c>
    </row>
    <row r="193" customFormat="false" ht="15" hidden="false" customHeight="false" outlineLevel="0" collapsed="false">
      <c r="A193" s="22"/>
      <c r="B193" s="22"/>
      <c r="C193" s="22"/>
      <c r="D193" s="13"/>
      <c r="E193" s="12"/>
      <c r="F193" s="13"/>
      <c r="G193" s="14"/>
      <c r="H193" s="13"/>
      <c r="I193" s="14"/>
      <c r="J193" s="15"/>
      <c r="K193" s="13"/>
      <c r="L193" s="12"/>
      <c r="M193" s="13"/>
      <c r="O193" s="17" t="str">
        <f aca="false">IF(B193="","",IFERROR(G193*INDEX(Precios!$D$5:$D$120,MATCH(F193,Precios!$A$5:$A$120,0)),0)+IF(H193="",0,IFERROR(I193*INDEX(Precios!$D$5:$D$120,MATCH(H193,Precios!$A$5:$A$120,0)),0)))</f>
        <v/>
      </c>
      <c r="P193" s="17" t="str">
        <f aca="false">IF(B193="","",N(J193)*Parametros!$B$27)</f>
        <v/>
      </c>
      <c r="Q193" s="17" t="str">
        <f aca="false">IF(B193="","",IFERROR(INDEX(Confeccion!$B$5:$B$100,MATCH(K193,Confeccion!$A$5:$A$100,0)),0))</f>
        <v/>
      </c>
      <c r="R193" s="17" t="str">
        <f aca="false">IF(B193="","",N(L193))</f>
        <v/>
      </c>
      <c r="S193" s="18" t="str">
        <f aca="false">IF(B193="","",IF(AND(F193&lt;&gt;"",ISNUMBER(G193),ISNUMBER(IFERROR(INDEX(Precios!$D$5:$D$120,MATCH(F193,Precios!$A$5:$A$120,0)),"x")),OR(H193="",ISNUMBER(IFERROR(INDEX(Precios!$D$5:$D$120,MATCH(H193,Precios!$A$5:$A$120,0)),"x"))),J193&lt;&gt;"",K193&lt;&gt;"",Q193&gt;0),SUM(O193:R193),""))</f>
        <v/>
      </c>
      <c r="T193" s="17" t="str">
        <f aca="false">IF(AND(S193&lt;&gt;"",ISNUMBER(E193)),E193*Parametros!$B$12,"")</f>
        <v/>
      </c>
      <c r="U193" s="17" t="str">
        <f aca="false">IF(AND(S193&lt;&gt;"",ISNUMBER(E193)),E193*Parametros!$B$13,"")</f>
        <v/>
      </c>
      <c r="V193" s="18" t="str">
        <f aca="false">IF(AND(S193&lt;&gt;"",ISNUMBER(E193)),E193-S193-T193-U193,"")</f>
        <v/>
      </c>
      <c r="W193" s="19" t="str">
        <f aca="false">IF(AND(S193&lt;&gt;"",ISNUMBER(E193)),V193/E193,"")</f>
        <v/>
      </c>
      <c r="X193" s="17" t="str">
        <f aca="false">IF(OR(S193="",Parametros!$B$14&gt;=1),"",S193/(1-Parametros!$B$14))</f>
        <v/>
      </c>
      <c r="Y193" s="17" t="str">
        <f aca="false">IF(OR(S193="",Parametros!$B$14+Parametros!$B$18&gt;=1),"",S193/(1-Parametros!$B$14-Parametros!$B$18))</f>
        <v/>
      </c>
      <c r="Z193" s="20" t="str">
        <f aca="false">IF(B193="","",IF(S193="","FALTAN DATOS",IF(NOT(ISNUMBER(E193)),"FALTA PRECIO",IF(V193&lt;0,"PIERDE",IF(W193&lt;Parametros!$B$18,"BAJO META","OK")))))</f>
        <v/>
      </c>
      <c r="AA193" s="21" t="str">
        <f aca="false">IF(B193="","",IF(F193="","Tela. ","")&amp;IF(NOT(ISNUMBER(G193)),"Kg de tela. ","")&amp;IF(AND(F193&lt;&gt;"",NOT(ISNUMBER(IFERROR(INDEX(Precios!$D$5:$D$120,MATCH(F193,Precios!$A$5:$A$120,0)),"x")))),"Tela sin precio. ","")&amp;IF(AND(H193&lt;&gt;"",NOT(ISNUMBER(IFERROR(INDEX(Precios!$D$5:$D$120,MATCH(H193,Precios!$A$5:$A$120,0)),"x")))),"Tela 2 sin precio. ","")&amp;IF(J193="","Metros impresos. ","")&amp;IF(AND(N(J193)&gt;0,Parametros!$B$27=0),"Impresión sin costo. ","")&amp;IF(K193="","Confección. ",IF(Q193=0,"Confección sin valor. ",""))&amp;IF(NOT(ISNUMBER(E193)),"Precio de venta. ",""))</f>
        <v/>
      </c>
    </row>
    <row r="194" customFormat="false" ht="15" hidden="false" customHeight="false" outlineLevel="0" collapsed="false">
      <c r="A194" s="22"/>
      <c r="B194" s="22"/>
      <c r="C194" s="22"/>
      <c r="D194" s="13"/>
      <c r="E194" s="12"/>
      <c r="F194" s="13"/>
      <c r="G194" s="14"/>
      <c r="H194" s="13"/>
      <c r="I194" s="14"/>
      <c r="J194" s="15"/>
      <c r="K194" s="13"/>
      <c r="L194" s="12"/>
      <c r="M194" s="13"/>
      <c r="O194" s="17" t="str">
        <f aca="false">IF(B194="","",IFERROR(G194*INDEX(Precios!$D$5:$D$120,MATCH(F194,Precios!$A$5:$A$120,0)),0)+IF(H194="",0,IFERROR(I194*INDEX(Precios!$D$5:$D$120,MATCH(H194,Precios!$A$5:$A$120,0)),0)))</f>
        <v/>
      </c>
      <c r="P194" s="17" t="str">
        <f aca="false">IF(B194="","",N(J194)*Parametros!$B$27)</f>
        <v/>
      </c>
      <c r="Q194" s="17" t="str">
        <f aca="false">IF(B194="","",IFERROR(INDEX(Confeccion!$B$5:$B$100,MATCH(K194,Confeccion!$A$5:$A$100,0)),0))</f>
        <v/>
      </c>
      <c r="R194" s="17" t="str">
        <f aca="false">IF(B194="","",N(L194))</f>
        <v/>
      </c>
      <c r="S194" s="18" t="str">
        <f aca="false">IF(B194="","",IF(AND(F194&lt;&gt;"",ISNUMBER(G194),ISNUMBER(IFERROR(INDEX(Precios!$D$5:$D$120,MATCH(F194,Precios!$A$5:$A$120,0)),"x")),OR(H194="",ISNUMBER(IFERROR(INDEX(Precios!$D$5:$D$120,MATCH(H194,Precios!$A$5:$A$120,0)),"x"))),J194&lt;&gt;"",K194&lt;&gt;"",Q194&gt;0),SUM(O194:R194),""))</f>
        <v/>
      </c>
      <c r="T194" s="17" t="str">
        <f aca="false">IF(AND(S194&lt;&gt;"",ISNUMBER(E194)),E194*Parametros!$B$12,"")</f>
        <v/>
      </c>
      <c r="U194" s="17" t="str">
        <f aca="false">IF(AND(S194&lt;&gt;"",ISNUMBER(E194)),E194*Parametros!$B$13,"")</f>
        <v/>
      </c>
      <c r="V194" s="18" t="str">
        <f aca="false">IF(AND(S194&lt;&gt;"",ISNUMBER(E194)),E194-S194-T194-U194,"")</f>
        <v/>
      </c>
      <c r="W194" s="19" t="str">
        <f aca="false">IF(AND(S194&lt;&gt;"",ISNUMBER(E194)),V194/E194,"")</f>
        <v/>
      </c>
      <c r="X194" s="17" t="str">
        <f aca="false">IF(OR(S194="",Parametros!$B$14&gt;=1),"",S194/(1-Parametros!$B$14))</f>
        <v/>
      </c>
      <c r="Y194" s="17" t="str">
        <f aca="false">IF(OR(S194="",Parametros!$B$14+Parametros!$B$18&gt;=1),"",S194/(1-Parametros!$B$14-Parametros!$B$18))</f>
        <v/>
      </c>
      <c r="Z194" s="20" t="str">
        <f aca="false">IF(B194="","",IF(S194="","FALTAN DATOS",IF(NOT(ISNUMBER(E194)),"FALTA PRECIO",IF(V194&lt;0,"PIERDE",IF(W194&lt;Parametros!$B$18,"BAJO META","OK")))))</f>
        <v/>
      </c>
      <c r="AA194" s="21" t="str">
        <f aca="false">IF(B194="","",IF(F194="","Tela. ","")&amp;IF(NOT(ISNUMBER(G194)),"Kg de tela. ","")&amp;IF(AND(F194&lt;&gt;"",NOT(ISNUMBER(IFERROR(INDEX(Precios!$D$5:$D$120,MATCH(F194,Precios!$A$5:$A$120,0)),"x")))),"Tela sin precio. ","")&amp;IF(AND(H194&lt;&gt;"",NOT(ISNUMBER(IFERROR(INDEX(Precios!$D$5:$D$120,MATCH(H194,Precios!$A$5:$A$120,0)),"x")))),"Tela 2 sin precio. ","")&amp;IF(J194="","Metros impresos. ","")&amp;IF(AND(N(J194)&gt;0,Parametros!$B$27=0),"Impresión sin costo. ","")&amp;IF(K194="","Confección. ",IF(Q194=0,"Confección sin valor. ",""))&amp;IF(NOT(ISNUMBER(E194)),"Precio de venta. ",""))</f>
        <v/>
      </c>
    </row>
    <row r="195" customFormat="false" ht="15" hidden="false" customHeight="false" outlineLevel="0" collapsed="false">
      <c r="A195" s="22"/>
      <c r="B195" s="22"/>
      <c r="C195" s="22"/>
      <c r="D195" s="13"/>
      <c r="E195" s="12"/>
      <c r="F195" s="13"/>
      <c r="G195" s="14"/>
      <c r="H195" s="13"/>
      <c r="I195" s="14"/>
      <c r="J195" s="15"/>
      <c r="K195" s="13"/>
      <c r="L195" s="12"/>
      <c r="M195" s="13"/>
      <c r="O195" s="17" t="str">
        <f aca="false">IF(B195="","",IFERROR(G195*INDEX(Precios!$D$5:$D$120,MATCH(F195,Precios!$A$5:$A$120,0)),0)+IF(H195="",0,IFERROR(I195*INDEX(Precios!$D$5:$D$120,MATCH(H195,Precios!$A$5:$A$120,0)),0)))</f>
        <v/>
      </c>
      <c r="P195" s="17" t="str">
        <f aca="false">IF(B195="","",N(J195)*Parametros!$B$27)</f>
        <v/>
      </c>
      <c r="Q195" s="17" t="str">
        <f aca="false">IF(B195="","",IFERROR(INDEX(Confeccion!$B$5:$B$100,MATCH(K195,Confeccion!$A$5:$A$100,0)),0))</f>
        <v/>
      </c>
      <c r="R195" s="17" t="str">
        <f aca="false">IF(B195="","",N(L195))</f>
        <v/>
      </c>
      <c r="S195" s="18" t="str">
        <f aca="false">IF(B195="","",IF(AND(F195&lt;&gt;"",ISNUMBER(G195),ISNUMBER(IFERROR(INDEX(Precios!$D$5:$D$120,MATCH(F195,Precios!$A$5:$A$120,0)),"x")),OR(H195="",ISNUMBER(IFERROR(INDEX(Precios!$D$5:$D$120,MATCH(H195,Precios!$A$5:$A$120,0)),"x"))),J195&lt;&gt;"",K195&lt;&gt;"",Q195&gt;0),SUM(O195:R195),""))</f>
        <v/>
      </c>
      <c r="T195" s="17" t="str">
        <f aca="false">IF(AND(S195&lt;&gt;"",ISNUMBER(E195)),E195*Parametros!$B$12,"")</f>
        <v/>
      </c>
      <c r="U195" s="17" t="str">
        <f aca="false">IF(AND(S195&lt;&gt;"",ISNUMBER(E195)),E195*Parametros!$B$13,"")</f>
        <v/>
      </c>
      <c r="V195" s="18" t="str">
        <f aca="false">IF(AND(S195&lt;&gt;"",ISNUMBER(E195)),E195-S195-T195-U195,"")</f>
        <v/>
      </c>
      <c r="W195" s="19" t="str">
        <f aca="false">IF(AND(S195&lt;&gt;"",ISNUMBER(E195)),V195/E195,"")</f>
        <v/>
      </c>
      <c r="X195" s="17" t="str">
        <f aca="false">IF(OR(S195="",Parametros!$B$14&gt;=1),"",S195/(1-Parametros!$B$14))</f>
        <v/>
      </c>
      <c r="Y195" s="17" t="str">
        <f aca="false">IF(OR(S195="",Parametros!$B$14+Parametros!$B$18&gt;=1),"",S195/(1-Parametros!$B$14-Parametros!$B$18))</f>
        <v/>
      </c>
      <c r="Z195" s="20" t="str">
        <f aca="false">IF(B195="","",IF(S195="","FALTAN DATOS",IF(NOT(ISNUMBER(E195)),"FALTA PRECIO",IF(V195&lt;0,"PIERDE",IF(W195&lt;Parametros!$B$18,"BAJO META","OK")))))</f>
        <v/>
      </c>
      <c r="AA195" s="21" t="str">
        <f aca="false">IF(B195="","",IF(F195="","Tela. ","")&amp;IF(NOT(ISNUMBER(G195)),"Kg de tela. ","")&amp;IF(AND(F195&lt;&gt;"",NOT(ISNUMBER(IFERROR(INDEX(Precios!$D$5:$D$120,MATCH(F195,Precios!$A$5:$A$120,0)),"x")))),"Tela sin precio. ","")&amp;IF(AND(H195&lt;&gt;"",NOT(ISNUMBER(IFERROR(INDEX(Precios!$D$5:$D$120,MATCH(H195,Precios!$A$5:$A$120,0)),"x")))),"Tela 2 sin precio. ","")&amp;IF(J195="","Metros impresos. ","")&amp;IF(AND(N(J195)&gt;0,Parametros!$B$27=0),"Impresión sin costo. ","")&amp;IF(K195="","Confección. ",IF(Q195=0,"Confección sin valor. ",""))&amp;IF(NOT(ISNUMBER(E195)),"Precio de venta. ",""))</f>
        <v/>
      </c>
    </row>
    <row r="196" customFormat="false" ht="15" hidden="false" customHeight="false" outlineLevel="0" collapsed="false">
      <c r="A196" s="22"/>
      <c r="B196" s="22"/>
      <c r="C196" s="22"/>
      <c r="D196" s="13"/>
      <c r="E196" s="12"/>
      <c r="F196" s="13"/>
      <c r="G196" s="14"/>
      <c r="H196" s="13"/>
      <c r="I196" s="14"/>
      <c r="J196" s="15"/>
      <c r="K196" s="13"/>
      <c r="L196" s="12"/>
      <c r="M196" s="13"/>
      <c r="O196" s="17" t="str">
        <f aca="false">IF(B196="","",IFERROR(G196*INDEX(Precios!$D$5:$D$120,MATCH(F196,Precios!$A$5:$A$120,0)),0)+IF(H196="",0,IFERROR(I196*INDEX(Precios!$D$5:$D$120,MATCH(H196,Precios!$A$5:$A$120,0)),0)))</f>
        <v/>
      </c>
      <c r="P196" s="17" t="str">
        <f aca="false">IF(B196="","",N(J196)*Parametros!$B$27)</f>
        <v/>
      </c>
      <c r="Q196" s="17" t="str">
        <f aca="false">IF(B196="","",IFERROR(INDEX(Confeccion!$B$5:$B$100,MATCH(K196,Confeccion!$A$5:$A$100,0)),0))</f>
        <v/>
      </c>
      <c r="R196" s="17" t="str">
        <f aca="false">IF(B196="","",N(L196))</f>
        <v/>
      </c>
      <c r="S196" s="18" t="str">
        <f aca="false">IF(B196="","",IF(AND(F196&lt;&gt;"",ISNUMBER(G196),ISNUMBER(IFERROR(INDEX(Precios!$D$5:$D$120,MATCH(F196,Precios!$A$5:$A$120,0)),"x")),OR(H196="",ISNUMBER(IFERROR(INDEX(Precios!$D$5:$D$120,MATCH(H196,Precios!$A$5:$A$120,0)),"x"))),J196&lt;&gt;"",K196&lt;&gt;"",Q196&gt;0),SUM(O196:R196),""))</f>
        <v/>
      </c>
      <c r="T196" s="17" t="str">
        <f aca="false">IF(AND(S196&lt;&gt;"",ISNUMBER(E196)),E196*Parametros!$B$12,"")</f>
        <v/>
      </c>
      <c r="U196" s="17" t="str">
        <f aca="false">IF(AND(S196&lt;&gt;"",ISNUMBER(E196)),E196*Parametros!$B$13,"")</f>
        <v/>
      </c>
      <c r="V196" s="18" t="str">
        <f aca="false">IF(AND(S196&lt;&gt;"",ISNUMBER(E196)),E196-S196-T196-U196,"")</f>
        <v/>
      </c>
      <c r="W196" s="19" t="str">
        <f aca="false">IF(AND(S196&lt;&gt;"",ISNUMBER(E196)),V196/E196,"")</f>
        <v/>
      </c>
      <c r="X196" s="17" t="str">
        <f aca="false">IF(OR(S196="",Parametros!$B$14&gt;=1),"",S196/(1-Parametros!$B$14))</f>
        <v/>
      </c>
      <c r="Y196" s="17" t="str">
        <f aca="false">IF(OR(S196="",Parametros!$B$14+Parametros!$B$18&gt;=1),"",S196/(1-Parametros!$B$14-Parametros!$B$18))</f>
        <v/>
      </c>
      <c r="Z196" s="20" t="str">
        <f aca="false">IF(B196="","",IF(S196="","FALTAN DATOS",IF(NOT(ISNUMBER(E196)),"FALTA PRECIO",IF(V196&lt;0,"PIERDE",IF(W196&lt;Parametros!$B$18,"BAJO META","OK")))))</f>
        <v/>
      </c>
      <c r="AA196" s="21" t="str">
        <f aca="false">IF(B196="","",IF(F196="","Tela. ","")&amp;IF(NOT(ISNUMBER(G196)),"Kg de tela. ","")&amp;IF(AND(F196&lt;&gt;"",NOT(ISNUMBER(IFERROR(INDEX(Precios!$D$5:$D$120,MATCH(F196,Precios!$A$5:$A$120,0)),"x")))),"Tela sin precio. ","")&amp;IF(AND(H196&lt;&gt;"",NOT(ISNUMBER(IFERROR(INDEX(Precios!$D$5:$D$120,MATCH(H196,Precios!$A$5:$A$120,0)),"x")))),"Tela 2 sin precio. ","")&amp;IF(J196="","Metros impresos. ","")&amp;IF(AND(N(J196)&gt;0,Parametros!$B$27=0),"Impresión sin costo. ","")&amp;IF(K196="","Confección. ",IF(Q196=0,"Confección sin valor. ",""))&amp;IF(NOT(ISNUMBER(E196)),"Precio de venta. ",""))</f>
        <v/>
      </c>
    </row>
    <row r="197" customFormat="false" ht="15" hidden="false" customHeight="false" outlineLevel="0" collapsed="false">
      <c r="A197" s="22"/>
      <c r="B197" s="22"/>
      <c r="C197" s="22"/>
      <c r="D197" s="13"/>
      <c r="E197" s="12"/>
      <c r="F197" s="13"/>
      <c r="G197" s="14"/>
      <c r="H197" s="13"/>
      <c r="I197" s="14"/>
      <c r="J197" s="15"/>
      <c r="K197" s="13"/>
      <c r="L197" s="12"/>
      <c r="M197" s="13"/>
      <c r="O197" s="17" t="str">
        <f aca="false">IF(B197="","",IFERROR(G197*INDEX(Precios!$D$5:$D$120,MATCH(F197,Precios!$A$5:$A$120,0)),0)+IF(H197="",0,IFERROR(I197*INDEX(Precios!$D$5:$D$120,MATCH(H197,Precios!$A$5:$A$120,0)),0)))</f>
        <v/>
      </c>
      <c r="P197" s="17" t="str">
        <f aca="false">IF(B197="","",N(J197)*Parametros!$B$27)</f>
        <v/>
      </c>
      <c r="Q197" s="17" t="str">
        <f aca="false">IF(B197="","",IFERROR(INDEX(Confeccion!$B$5:$B$100,MATCH(K197,Confeccion!$A$5:$A$100,0)),0))</f>
        <v/>
      </c>
      <c r="R197" s="17" t="str">
        <f aca="false">IF(B197="","",N(L197))</f>
        <v/>
      </c>
      <c r="S197" s="18" t="str">
        <f aca="false">IF(B197="","",IF(AND(F197&lt;&gt;"",ISNUMBER(G197),ISNUMBER(IFERROR(INDEX(Precios!$D$5:$D$120,MATCH(F197,Precios!$A$5:$A$120,0)),"x")),OR(H197="",ISNUMBER(IFERROR(INDEX(Precios!$D$5:$D$120,MATCH(H197,Precios!$A$5:$A$120,0)),"x"))),J197&lt;&gt;"",K197&lt;&gt;"",Q197&gt;0),SUM(O197:R197),""))</f>
        <v/>
      </c>
      <c r="T197" s="17" t="str">
        <f aca="false">IF(AND(S197&lt;&gt;"",ISNUMBER(E197)),E197*Parametros!$B$12,"")</f>
        <v/>
      </c>
      <c r="U197" s="17" t="str">
        <f aca="false">IF(AND(S197&lt;&gt;"",ISNUMBER(E197)),E197*Parametros!$B$13,"")</f>
        <v/>
      </c>
      <c r="V197" s="18" t="str">
        <f aca="false">IF(AND(S197&lt;&gt;"",ISNUMBER(E197)),E197-S197-T197-U197,"")</f>
        <v/>
      </c>
      <c r="W197" s="19" t="str">
        <f aca="false">IF(AND(S197&lt;&gt;"",ISNUMBER(E197)),V197/E197,"")</f>
        <v/>
      </c>
      <c r="X197" s="17" t="str">
        <f aca="false">IF(OR(S197="",Parametros!$B$14&gt;=1),"",S197/(1-Parametros!$B$14))</f>
        <v/>
      </c>
      <c r="Y197" s="17" t="str">
        <f aca="false">IF(OR(S197="",Parametros!$B$14+Parametros!$B$18&gt;=1),"",S197/(1-Parametros!$B$14-Parametros!$B$18))</f>
        <v/>
      </c>
      <c r="Z197" s="20" t="str">
        <f aca="false">IF(B197="","",IF(S197="","FALTAN DATOS",IF(NOT(ISNUMBER(E197)),"FALTA PRECIO",IF(V197&lt;0,"PIERDE",IF(W197&lt;Parametros!$B$18,"BAJO META","OK")))))</f>
        <v/>
      </c>
      <c r="AA197" s="21" t="str">
        <f aca="false">IF(B197="","",IF(F197="","Tela. ","")&amp;IF(NOT(ISNUMBER(G197)),"Kg de tela. ","")&amp;IF(AND(F197&lt;&gt;"",NOT(ISNUMBER(IFERROR(INDEX(Precios!$D$5:$D$120,MATCH(F197,Precios!$A$5:$A$120,0)),"x")))),"Tela sin precio. ","")&amp;IF(AND(H197&lt;&gt;"",NOT(ISNUMBER(IFERROR(INDEX(Precios!$D$5:$D$120,MATCH(H197,Precios!$A$5:$A$120,0)),"x")))),"Tela 2 sin precio. ","")&amp;IF(J197="","Metros impresos. ","")&amp;IF(AND(N(J197)&gt;0,Parametros!$B$27=0),"Impresión sin costo. ","")&amp;IF(K197="","Confección. ",IF(Q197=0,"Confección sin valor. ",""))&amp;IF(NOT(ISNUMBER(E197)),"Precio de venta. ",""))</f>
        <v/>
      </c>
    </row>
    <row r="198" customFormat="false" ht="15" hidden="false" customHeight="false" outlineLevel="0" collapsed="false">
      <c r="A198" s="22"/>
      <c r="B198" s="22"/>
      <c r="C198" s="22"/>
      <c r="D198" s="13"/>
      <c r="E198" s="12"/>
      <c r="F198" s="13"/>
      <c r="G198" s="14"/>
      <c r="H198" s="13"/>
      <c r="I198" s="14"/>
      <c r="J198" s="15"/>
      <c r="K198" s="13"/>
      <c r="L198" s="12"/>
      <c r="M198" s="13"/>
      <c r="O198" s="17" t="str">
        <f aca="false">IF(B198="","",IFERROR(G198*INDEX(Precios!$D$5:$D$120,MATCH(F198,Precios!$A$5:$A$120,0)),0)+IF(H198="",0,IFERROR(I198*INDEX(Precios!$D$5:$D$120,MATCH(H198,Precios!$A$5:$A$120,0)),0)))</f>
        <v/>
      </c>
      <c r="P198" s="17" t="str">
        <f aca="false">IF(B198="","",N(J198)*Parametros!$B$27)</f>
        <v/>
      </c>
      <c r="Q198" s="17" t="str">
        <f aca="false">IF(B198="","",IFERROR(INDEX(Confeccion!$B$5:$B$100,MATCH(K198,Confeccion!$A$5:$A$100,0)),0))</f>
        <v/>
      </c>
      <c r="R198" s="17" t="str">
        <f aca="false">IF(B198="","",N(L198))</f>
        <v/>
      </c>
      <c r="S198" s="18" t="str">
        <f aca="false">IF(B198="","",IF(AND(F198&lt;&gt;"",ISNUMBER(G198),ISNUMBER(IFERROR(INDEX(Precios!$D$5:$D$120,MATCH(F198,Precios!$A$5:$A$120,0)),"x")),OR(H198="",ISNUMBER(IFERROR(INDEX(Precios!$D$5:$D$120,MATCH(H198,Precios!$A$5:$A$120,0)),"x"))),J198&lt;&gt;"",K198&lt;&gt;"",Q198&gt;0),SUM(O198:R198),""))</f>
        <v/>
      </c>
      <c r="T198" s="17" t="str">
        <f aca="false">IF(AND(S198&lt;&gt;"",ISNUMBER(E198)),E198*Parametros!$B$12,"")</f>
        <v/>
      </c>
      <c r="U198" s="17" t="str">
        <f aca="false">IF(AND(S198&lt;&gt;"",ISNUMBER(E198)),E198*Parametros!$B$13,"")</f>
        <v/>
      </c>
      <c r="V198" s="18" t="str">
        <f aca="false">IF(AND(S198&lt;&gt;"",ISNUMBER(E198)),E198-S198-T198-U198,"")</f>
        <v/>
      </c>
      <c r="W198" s="19" t="str">
        <f aca="false">IF(AND(S198&lt;&gt;"",ISNUMBER(E198)),V198/E198,"")</f>
        <v/>
      </c>
      <c r="X198" s="17" t="str">
        <f aca="false">IF(OR(S198="",Parametros!$B$14&gt;=1),"",S198/(1-Parametros!$B$14))</f>
        <v/>
      </c>
      <c r="Y198" s="17" t="str">
        <f aca="false">IF(OR(S198="",Parametros!$B$14+Parametros!$B$18&gt;=1),"",S198/(1-Parametros!$B$14-Parametros!$B$18))</f>
        <v/>
      </c>
      <c r="Z198" s="20" t="str">
        <f aca="false">IF(B198="","",IF(S198="","FALTAN DATOS",IF(NOT(ISNUMBER(E198)),"FALTA PRECIO",IF(V198&lt;0,"PIERDE",IF(W198&lt;Parametros!$B$18,"BAJO META","OK")))))</f>
        <v/>
      </c>
      <c r="AA198" s="21" t="str">
        <f aca="false">IF(B198="","",IF(F198="","Tela. ","")&amp;IF(NOT(ISNUMBER(G198)),"Kg de tela. ","")&amp;IF(AND(F198&lt;&gt;"",NOT(ISNUMBER(IFERROR(INDEX(Precios!$D$5:$D$120,MATCH(F198,Precios!$A$5:$A$120,0)),"x")))),"Tela sin precio. ","")&amp;IF(AND(H198&lt;&gt;"",NOT(ISNUMBER(IFERROR(INDEX(Precios!$D$5:$D$120,MATCH(H198,Precios!$A$5:$A$120,0)),"x")))),"Tela 2 sin precio. ","")&amp;IF(J198="","Metros impresos. ","")&amp;IF(AND(N(J198)&gt;0,Parametros!$B$27=0),"Impresión sin costo. ","")&amp;IF(K198="","Confección. ",IF(Q198=0,"Confección sin valor. ",""))&amp;IF(NOT(ISNUMBER(E198)),"Precio de venta. ",""))</f>
        <v/>
      </c>
    </row>
    <row r="199" customFormat="false" ht="15" hidden="false" customHeight="false" outlineLevel="0" collapsed="false">
      <c r="A199" s="22"/>
      <c r="B199" s="22"/>
      <c r="C199" s="22"/>
      <c r="D199" s="13"/>
      <c r="E199" s="12"/>
      <c r="F199" s="13"/>
      <c r="G199" s="14"/>
      <c r="H199" s="13"/>
      <c r="I199" s="14"/>
      <c r="J199" s="15"/>
      <c r="K199" s="13"/>
      <c r="L199" s="12"/>
      <c r="M199" s="13"/>
      <c r="O199" s="17" t="str">
        <f aca="false">IF(B199="","",IFERROR(G199*INDEX(Precios!$D$5:$D$120,MATCH(F199,Precios!$A$5:$A$120,0)),0)+IF(H199="",0,IFERROR(I199*INDEX(Precios!$D$5:$D$120,MATCH(H199,Precios!$A$5:$A$120,0)),0)))</f>
        <v/>
      </c>
      <c r="P199" s="17" t="str">
        <f aca="false">IF(B199="","",N(J199)*Parametros!$B$27)</f>
        <v/>
      </c>
      <c r="Q199" s="17" t="str">
        <f aca="false">IF(B199="","",IFERROR(INDEX(Confeccion!$B$5:$B$100,MATCH(K199,Confeccion!$A$5:$A$100,0)),0))</f>
        <v/>
      </c>
      <c r="R199" s="17" t="str">
        <f aca="false">IF(B199="","",N(L199))</f>
        <v/>
      </c>
      <c r="S199" s="18" t="str">
        <f aca="false">IF(B199="","",IF(AND(F199&lt;&gt;"",ISNUMBER(G199),ISNUMBER(IFERROR(INDEX(Precios!$D$5:$D$120,MATCH(F199,Precios!$A$5:$A$120,0)),"x")),OR(H199="",ISNUMBER(IFERROR(INDEX(Precios!$D$5:$D$120,MATCH(H199,Precios!$A$5:$A$120,0)),"x"))),J199&lt;&gt;"",K199&lt;&gt;"",Q199&gt;0),SUM(O199:R199),""))</f>
        <v/>
      </c>
      <c r="T199" s="17" t="str">
        <f aca="false">IF(AND(S199&lt;&gt;"",ISNUMBER(E199)),E199*Parametros!$B$12,"")</f>
        <v/>
      </c>
      <c r="U199" s="17" t="str">
        <f aca="false">IF(AND(S199&lt;&gt;"",ISNUMBER(E199)),E199*Parametros!$B$13,"")</f>
        <v/>
      </c>
      <c r="V199" s="18" t="str">
        <f aca="false">IF(AND(S199&lt;&gt;"",ISNUMBER(E199)),E199-S199-T199-U199,"")</f>
        <v/>
      </c>
      <c r="W199" s="19" t="str">
        <f aca="false">IF(AND(S199&lt;&gt;"",ISNUMBER(E199)),V199/E199,"")</f>
        <v/>
      </c>
      <c r="X199" s="17" t="str">
        <f aca="false">IF(OR(S199="",Parametros!$B$14&gt;=1),"",S199/(1-Parametros!$B$14))</f>
        <v/>
      </c>
      <c r="Y199" s="17" t="str">
        <f aca="false">IF(OR(S199="",Parametros!$B$14+Parametros!$B$18&gt;=1),"",S199/(1-Parametros!$B$14-Parametros!$B$18))</f>
        <v/>
      </c>
      <c r="Z199" s="20" t="str">
        <f aca="false">IF(B199="","",IF(S199="","FALTAN DATOS",IF(NOT(ISNUMBER(E199)),"FALTA PRECIO",IF(V199&lt;0,"PIERDE",IF(W199&lt;Parametros!$B$18,"BAJO META","OK")))))</f>
        <v/>
      </c>
      <c r="AA199" s="21" t="str">
        <f aca="false">IF(B199="","",IF(F199="","Tela. ","")&amp;IF(NOT(ISNUMBER(G199)),"Kg de tela. ","")&amp;IF(AND(F199&lt;&gt;"",NOT(ISNUMBER(IFERROR(INDEX(Precios!$D$5:$D$120,MATCH(F199,Precios!$A$5:$A$120,0)),"x")))),"Tela sin precio. ","")&amp;IF(AND(H199&lt;&gt;"",NOT(ISNUMBER(IFERROR(INDEX(Precios!$D$5:$D$120,MATCH(H199,Precios!$A$5:$A$120,0)),"x")))),"Tela 2 sin precio. ","")&amp;IF(J199="","Metros impresos. ","")&amp;IF(AND(N(J199)&gt;0,Parametros!$B$27=0),"Impresión sin costo. ","")&amp;IF(K199="","Confección. ",IF(Q199=0,"Confección sin valor. ",""))&amp;IF(NOT(ISNUMBER(E199)),"Precio de venta. ",""))</f>
        <v/>
      </c>
    </row>
    <row r="200" customFormat="false" ht="15" hidden="false" customHeight="false" outlineLevel="0" collapsed="false">
      <c r="A200" s="22"/>
      <c r="B200" s="22"/>
      <c r="C200" s="22"/>
      <c r="D200" s="13"/>
      <c r="E200" s="12"/>
      <c r="F200" s="13"/>
      <c r="G200" s="14"/>
      <c r="H200" s="13"/>
      <c r="I200" s="14"/>
      <c r="J200" s="15"/>
      <c r="K200" s="13"/>
      <c r="L200" s="12"/>
      <c r="M200" s="13"/>
      <c r="O200" s="17" t="str">
        <f aca="false">IF(B200="","",IFERROR(G200*INDEX(Precios!$D$5:$D$120,MATCH(F200,Precios!$A$5:$A$120,0)),0)+IF(H200="",0,IFERROR(I200*INDEX(Precios!$D$5:$D$120,MATCH(H200,Precios!$A$5:$A$120,0)),0)))</f>
        <v/>
      </c>
      <c r="P200" s="17" t="str">
        <f aca="false">IF(B200="","",N(J200)*Parametros!$B$27)</f>
        <v/>
      </c>
      <c r="Q200" s="17" t="str">
        <f aca="false">IF(B200="","",IFERROR(INDEX(Confeccion!$B$5:$B$100,MATCH(K200,Confeccion!$A$5:$A$100,0)),0))</f>
        <v/>
      </c>
      <c r="R200" s="17" t="str">
        <f aca="false">IF(B200="","",N(L200))</f>
        <v/>
      </c>
      <c r="S200" s="18" t="str">
        <f aca="false">IF(B200="","",IF(AND(F200&lt;&gt;"",ISNUMBER(G200),ISNUMBER(IFERROR(INDEX(Precios!$D$5:$D$120,MATCH(F200,Precios!$A$5:$A$120,0)),"x")),OR(H200="",ISNUMBER(IFERROR(INDEX(Precios!$D$5:$D$120,MATCH(H200,Precios!$A$5:$A$120,0)),"x"))),J200&lt;&gt;"",K200&lt;&gt;"",Q200&gt;0),SUM(O200:R200),""))</f>
        <v/>
      </c>
      <c r="T200" s="17" t="str">
        <f aca="false">IF(AND(S200&lt;&gt;"",ISNUMBER(E200)),E200*Parametros!$B$12,"")</f>
        <v/>
      </c>
      <c r="U200" s="17" t="str">
        <f aca="false">IF(AND(S200&lt;&gt;"",ISNUMBER(E200)),E200*Parametros!$B$13,"")</f>
        <v/>
      </c>
      <c r="V200" s="18" t="str">
        <f aca="false">IF(AND(S200&lt;&gt;"",ISNUMBER(E200)),E200-S200-T200-U200,"")</f>
        <v/>
      </c>
      <c r="W200" s="19" t="str">
        <f aca="false">IF(AND(S200&lt;&gt;"",ISNUMBER(E200)),V200/E200,"")</f>
        <v/>
      </c>
      <c r="X200" s="17" t="str">
        <f aca="false">IF(OR(S200="",Parametros!$B$14&gt;=1),"",S200/(1-Parametros!$B$14))</f>
        <v/>
      </c>
      <c r="Y200" s="17" t="str">
        <f aca="false">IF(OR(S200="",Parametros!$B$14+Parametros!$B$18&gt;=1),"",S200/(1-Parametros!$B$14-Parametros!$B$18))</f>
        <v/>
      </c>
      <c r="Z200" s="20" t="str">
        <f aca="false">IF(B200="","",IF(S200="","FALTAN DATOS",IF(NOT(ISNUMBER(E200)),"FALTA PRECIO",IF(V200&lt;0,"PIERDE",IF(W200&lt;Parametros!$B$18,"BAJO META","OK")))))</f>
        <v/>
      </c>
      <c r="AA200" s="21" t="str">
        <f aca="false">IF(B200="","",IF(F200="","Tela. ","")&amp;IF(NOT(ISNUMBER(G200)),"Kg de tela. ","")&amp;IF(AND(F200&lt;&gt;"",NOT(ISNUMBER(IFERROR(INDEX(Precios!$D$5:$D$120,MATCH(F200,Precios!$A$5:$A$120,0)),"x")))),"Tela sin precio. ","")&amp;IF(AND(H200&lt;&gt;"",NOT(ISNUMBER(IFERROR(INDEX(Precios!$D$5:$D$120,MATCH(H200,Precios!$A$5:$A$120,0)),"x")))),"Tela 2 sin precio. ","")&amp;IF(J200="","Metros impresos. ","")&amp;IF(AND(N(J200)&gt;0,Parametros!$B$27=0),"Impresión sin costo. ","")&amp;IF(K200="","Confección. ",IF(Q200=0,"Confección sin valor. ",""))&amp;IF(NOT(ISNUMBER(E200)),"Precio de venta. ",""))</f>
        <v/>
      </c>
    </row>
    <row r="201" customFormat="false" ht="15" hidden="false" customHeight="false" outlineLevel="0" collapsed="false">
      <c r="A201" s="22"/>
      <c r="B201" s="22"/>
      <c r="C201" s="22"/>
      <c r="D201" s="13"/>
      <c r="E201" s="12"/>
      <c r="F201" s="13"/>
      <c r="G201" s="14"/>
      <c r="H201" s="13"/>
      <c r="I201" s="14"/>
      <c r="J201" s="15"/>
      <c r="K201" s="13"/>
      <c r="L201" s="12"/>
      <c r="M201" s="13"/>
      <c r="O201" s="17" t="str">
        <f aca="false">IF(B201="","",IFERROR(G201*INDEX(Precios!$D$5:$D$120,MATCH(F201,Precios!$A$5:$A$120,0)),0)+IF(H201="",0,IFERROR(I201*INDEX(Precios!$D$5:$D$120,MATCH(H201,Precios!$A$5:$A$120,0)),0)))</f>
        <v/>
      </c>
      <c r="P201" s="17" t="str">
        <f aca="false">IF(B201="","",N(J201)*Parametros!$B$27)</f>
        <v/>
      </c>
      <c r="Q201" s="17" t="str">
        <f aca="false">IF(B201="","",IFERROR(INDEX(Confeccion!$B$5:$B$100,MATCH(K201,Confeccion!$A$5:$A$100,0)),0))</f>
        <v/>
      </c>
      <c r="R201" s="17" t="str">
        <f aca="false">IF(B201="","",N(L201))</f>
        <v/>
      </c>
      <c r="S201" s="18" t="str">
        <f aca="false">IF(B201="","",IF(AND(F201&lt;&gt;"",ISNUMBER(G201),ISNUMBER(IFERROR(INDEX(Precios!$D$5:$D$120,MATCH(F201,Precios!$A$5:$A$120,0)),"x")),OR(H201="",ISNUMBER(IFERROR(INDEX(Precios!$D$5:$D$120,MATCH(H201,Precios!$A$5:$A$120,0)),"x"))),J201&lt;&gt;"",K201&lt;&gt;"",Q201&gt;0),SUM(O201:R201),""))</f>
        <v/>
      </c>
      <c r="T201" s="17" t="str">
        <f aca="false">IF(AND(S201&lt;&gt;"",ISNUMBER(E201)),E201*Parametros!$B$12,"")</f>
        <v/>
      </c>
      <c r="U201" s="17" t="str">
        <f aca="false">IF(AND(S201&lt;&gt;"",ISNUMBER(E201)),E201*Parametros!$B$13,"")</f>
        <v/>
      </c>
      <c r="V201" s="18" t="str">
        <f aca="false">IF(AND(S201&lt;&gt;"",ISNUMBER(E201)),E201-S201-T201-U201,"")</f>
        <v/>
      </c>
      <c r="W201" s="19" t="str">
        <f aca="false">IF(AND(S201&lt;&gt;"",ISNUMBER(E201)),V201/E201,"")</f>
        <v/>
      </c>
      <c r="X201" s="17" t="str">
        <f aca="false">IF(OR(S201="",Parametros!$B$14&gt;=1),"",S201/(1-Parametros!$B$14))</f>
        <v/>
      </c>
      <c r="Y201" s="17" t="str">
        <f aca="false">IF(OR(S201="",Parametros!$B$14+Parametros!$B$18&gt;=1),"",S201/(1-Parametros!$B$14-Parametros!$B$18))</f>
        <v/>
      </c>
      <c r="Z201" s="20" t="str">
        <f aca="false">IF(B201="","",IF(S201="","FALTAN DATOS",IF(NOT(ISNUMBER(E201)),"FALTA PRECIO",IF(V201&lt;0,"PIERDE",IF(W201&lt;Parametros!$B$18,"BAJO META","OK")))))</f>
        <v/>
      </c>
      <c r="AA201" s="21" t="str">
        <f aca="false">IF(B201="","",IF(F201="","Tela. ","")&amp;IF(NOT(ISNUMBER(G201)),"Kg de tela. ","")&amp;IF(AND(F201&lt;&gt;"",NOT(ISNUMBER(IFERROR(INDEX(Precios!$D$5:$D$120,MATCH(F201,Precios!$A$5:$A$120,0)),"x")))),"Tela sin precio. ","")&amp;IF(AND(H201&lt;&gt;"",NOT(ISNUMBER(IFERROR(INDEX(Precios!$D$5:$D$120,MATCH(H201,Precios!$A$5:$A$120,0)),"x")))),"Tela 2 sin precio. ","")&amp;IF(J201="","Metros impresos. ","")&amp;IF(AND(N(J201)&gt;0,Parametros!$B$27=0),"Impresión sin costo. ","")&amp;IF(K201="","Confección. ",IF(Q201=0,"Confección sin valor. ",""))&amp;IF(NOT(ISNUMBER(E201)),"Precio de venta. ",""))</f>
        <v/>
      </c>
    </row>
    <row r="202" customFormat="false" ht="15" hidden="false" customHeight="false" outlineLevel="0" collapsed="false">
      <c r="A202" s="22"/>
      <c r="B202" s="22"/>
      <c r="C202" s="22"/>
      <c r="D202" s="13"/>
      <c r="E202" s="12"/>
      <c r="F202" s="13"/>
      <c r="G202" s="14"/>
      <c r="H202" s="13"/>
      <c r="I202" s="14"/>
      <c r="J202" s="15"/>
      <c r="K202" s="13"/>
      <c r="L202" s="12"/>
      <c r="M202" s="13"/>
      <c r="O202" s="17" t="str">
        <f aca="false">IF(B202="","",IFERROR(G202*INDEX(Precios!$D$5:$D$120,MATCH(F202,Precios!$A$5:$A$120,0)),0)+IF(H202="",0,IFERROR(I202*INDEX(Precios!$D$5:$D$120,MATCH(H202,Precios!$A$5:$A$120,0)),0)))</f>
        <v/>
      </c>
      <c r="P202" s="17" t="str">
        <f aca="false">IF(B202="","",N(J202)*Parametros!$B$27)</f>
        <v/>
      </c>
      <c r="Q202" s="17" t="str">
        <f aca="false">IF(B202="","",IFERROR(INDEX(Confeccion!$B$5:$B$100,MATCH(K202,Confeccion!$A$5:$A$100,0)),0))</f>
        <v/>
      </c>
      <c r="R202" s="17" t="str">
        <f aca="false">IF(B202="","",N(L202))</f>
        <v/>
      </c>
      <c r="S202" s="18" t="str">
        <f aca="false">IF(B202="","",IF(AND(F202&lt;&gt;"",ISNUMBER(G202),ISNUMBER(IFERROR(INDEX(Precios!$D$5:$D$120,MATCH(F202,Precios!$A$5:$A$120,0)),"x")),OR(H202="",ISNUMBER(IFERROR(INDEX(Precios!$D$5:$D$120,MATCH(H202,Precios!$A$5:$A$120,0)),"x"))),J202&lt;&gt;"",K202&lt;&gt;"",Q202&gt;0),SUM(O202:R202),""))</f>
        <v/>
      </c>
      <c r="T202" s="17" t="str">
        <f aca="false">IF(AND(S202&lt;&gt;"",ISNUMBER(E202)),E202*Parametros!$B$12,"")</f>
        <v/>
      </c>
      <c r="U202" s="17" t="str">
        <f aca="false">IF(AND(S202&lt;&gt;"",ISNUMBER(E202)),E202*Parametros!$B$13,"")</f>
        <v/>
      </c>
      <c r="V202" s="18" t="str">
        <f aca="false">IF(AND(S202&lt;&gt;"",ISNUMBER(E202)),E202-S202-T202-U202,"")</f>
        <v/>
      </c>
      <c r="W202" s="19" t="str">
        <f aca="false">IF(AND(S202&lt;&gt;"",ISNUMBER(E202)),V202/E202,"")</f>
        <v/>
      </c>
      <c r="X202" s="17" t="str">
        <f aca="false">IF(OR(S202="",Parametros!$B$14&gt;=1),"",S202/(1-Parametros!$B$14))</f>
        <v/>
      </c>
      <c r="Y202" s="17" t="str">
        <f aca="false">IF(OR(S202="",Parametros!$B$14+Parametros!$B$18&gt;=1),"",S202/(1-Parametros!$B$14-Parametros!$B$18))</f>
        <v/>
      </c>
      <c r="Z202" s="20" t="str">
        <f aca="false">IF(B202="","",IF(S202="","FALTAN DATOS",IF(NOT(ISNUMBER(E202)),"FALTA PRECIO",IF(V202&lt;0,"PIERDE",IF(W202&lt;Parametros!$B$18,"BAJO META","OK")))))</f>
        <v/>
      </c>
      <c r="AA202" s="21" t="str">
        <f aca="false">IF(B202="","",IF(F202="","Tela. ","")&amp;IF(NOT(ISNUMBER(G202)),"Kg de tela. ","")&amp;IF(AND(F202&lt;&gt;"",NOT(ISNUMBER(IFERROR(INDEX(Precios!$D$5:$D$120,MATCH(F202,Precios!$A$5:$A$120,0)),"x")))),"Tela sin precio. ","")&amp;IF(AND(H202&lt;&gt;"",NOT(ISNUMBER(IFERROR(INDEX(Precios!$D$5:$D$120,MATCH(H202,Precios!$A$5:$A$120,0)),"x")))),"Tela 2 sin precio. ","")&amp;IF(J202="","Metros impresos. ","")&amp;IF(AND(N(J202)&gt;0,Parametros!$B$27=0),"Impresión sin costo. ","")&amp;IF(K202="","Confección. ",IF(Q202=0,"Confección sin valor. ",""))&amp;IF(NOT(ISNUMBER(E202)),"Precio de venta. ",""))</f>
        <v/>
      </c>
    </row>
    <row r="203" customFormat="false" ht="15" hidden="false" customHeight="false" outlineLevel="0" collapsed="false">
      <c r="A203" s="22"/>
      <c r="B203" s="22"/>
      <c r="C203" s="22"/>
      <c r="D203" s="13"/>
      <c r="E203" s="12"/>
      <c r="F203" s="13"/>
      <c r="G203" s="14"/>
      <c r="H203" s="13"/>
      <c r="I203" s="14"/>
      <c r="J203" s="15"/>
      <c r="K203" s="13"/>
      <c r="L203" s="12"/>
      <c r="M203" s="13"/>
      <c r="O203" s="17" t="str">
        <f aca="false">IF(B203="","",IFERROR(G203*INDEX(Precios!$D$5:$D$120,MATCH(F203,Precios!$A$5:$A$120,0)),0)+IF(H203="",0,IFERROR(I203*INDEX(Precios!$D$5:$D$120,MATCH(H203,Precios!$A$5:$A$120,0)),0)))</f>
        <v/>
      </c>
      <c r="P203" s="17" t="str">
        <f aca="false">IF(B203="","",N(J203)*Parametros!$B$27)</f>
        <v/>
      </c>
      <c r="Q203" s="17" t="str">
        <f aca="false">IF(B203="","",IFERROR(INDEX(Confeccion!$B$5:$B$100,MATCH(K203,Confeccion!$A$5:$A$100,0)),0))</f>
        <v/>
      </c>
      <c r="R203" s="17" t="str">
        <f aca="false">IF(B203="","",N(L203))</f>
        <v/>
      </c>
      <c r="S203" s="18" t="str">
        <f aca="false">IF(B203="","",IF(AND(F203&lt;&gt;"",ISNUMBER(G203),ISNUMBER(IFERROR(INDEX(Precios!$D$5:$D$120,MATCH(F203,Precios!$A$5:$A$120,0)),"x")),OR(H203="",ISNUMBER(IFERROR(INDEX(Precios!$D$5:$D$120,MATCH(H203,Precios!$A$5:$A$120,0)),"x"))),J203&lt;&gt;"",K203&lt;&gt;"",Q203&gt;0),SUM(O203:R203),""))</f>
        <v/>
      </c>
      <c r="T203" s="17" t="str">
        <f aca="false">IF(AND(S203&lt;&gt;"",ISNUMBER(E203)),E203*Parametros!$B$12,"")</f>
        <v/>
      </c>
      <c r="U203" s="17" t="str">
        <f aca="false">IF(AND(S203&lt;&gt;"",ISNUMBER(E203)),E203*Parametros!$B$13,"")</f>
        <v/>
      </c>
      <c r="V203" s="18" t="str">
        <f aca="false">IF(AND(S203&lt;&gt;"",ISNUMBER(E203)),E203-S203-T203-U203,"")</f>
        <v/>
      </c>
      <c r="W203" s="19" t="str">
        <f aca="false">IF(AND(S203&lt;&gt;"",ISNUMBER(E203)),V203/E203,"")</f>
        <v/>
      </c>
      <c r="X203" s="17" t="str">
        <f aca="false">IF(OR(S203="",Parametros!$B$14&gt;=1),"",S203/(1-Parametros!$B$14))</f>
        <v/>
      </c>
      <c r="Y203" s="17" t="str">
        <f aca="false">IF(OR(S203="",Parametros!$B$14+Parametros!$B$18&gt;=1),"",S203/(1-Parametros!$B$14-Parametros!$B$18))</f>
        <v/>
      </c>
      <c r="Z203" s="20" t="str">
        <f aca="false">IF(B203="","",IF(S203="","FALTAN DATOS",IF(NOT(ISNUMBER(E203)),"FALTA PRECIO",IF(V203&lt;0,"PIERDE",IF(W203&lt;Parametros!$B$18,"BAJO META","OK")))))</f>
        <v/>
      </c>
      <c r="AA203" s="21" t="str">
        <f aca="false">IF(B203="","",IF(F203="","Tela. ","")&amp;IF(NOT(ISNUMBER(G203)),"Kg de tela. ","")&amp;IF(AND(F203&lt;&gt;"",NOT(ISNUMBER(IFERROR(INDEX(Precios!$D$5:$D$120,MATCH(F203,Precios!$A$5:$A$120,0)),"x")))),"Tela sin precio. ","")&amp;IF(AND(H203&lt;&gt;"",NOT(ISNUMBER(IFERROR(INDEX(Precios!$D$5:$D$120,MATCH(H203,Precios!$A$5:$A$120,0)),"x")))),"Tela 2 sin precio. ","")&amp;IF(J203="","Metros impresos. ","")&amp;IF(AND(N(J203)&gt;0,Parametros!$B$27=0),"Impresión sin costo. ","")&amp;IF(K203="","Confección. ",IF(Q203=0,"Confección sin valor. ",""))&amp;IF(NOT(ISNUMBER(E203)),"Precio de venta. ",""))</f>
        <v/>
      </c>
    </row>
    <row r="204" customFormat="false" ht="15" hidden="false" customHeight="false" outlineLevel="0" collapsed="false">
      <c r="A204" s="22"/>
      <c r="B204" s="22"/>
      <c r="C204" s="22"/>
      <c r="D204" s="13"/>
      <c r="E204" s="12"/>
      <c r="F204" s="13"/>
      <c r="G204" s="14"/>
      <c r="H204" s="13"/>
      <c r="I204" s="14"/>
      <c r="J204" s="15"/>
      <c r="K204" s="13"/>
      <c r="L204" s="12"/>
      <c r="M204" s="13"/>
      <c r="O204" s="17" t="str">
        <f aca="false">IF(B204="","",IFERROR(G204*INDEX(Precios!$D$5:$D$120,MATCH(F204,Precios!$A$5:$A$120,0)),0)+IF(H204="",0,IFERROR(I204*INDEX(Precios!$D$5:$D$120,MATCH(H204,Precios!$A$5:$A$120,0)),0)))</f>
        <v/>
      </c>
      <c r="P204" s="17" t="str">
        <f aca="false">IF(B204="","",N(J204)*Parametros!$B$27)</f>
        <v/>
      </c>
      <c r="Q204" s="17" t="str">
        <f aca="false">IF(B204="","",IFERROR(INDEX(Confeccion!$B$5:$B$100,MATCH(K204,Confeccion!$A$5:$A$100,0)),0))</f>
        <v/>
      </c>
      <c r="R204" s="17" t="str">
        <f aca="false">IF(B204="","",N(L204))</f>
        <v/>
      </c>
      <c r="S204" s="18" t="str">
        <f aca="false">IF(B204="","",IF(AND(F204&lt;&gt;"",ISNUMBER(G204),ISNUMBER(IFERROR(INDEX(Precios!$D$5:$D$120,MATCH(F204,Precios!$A$5:$A$120,0)),"x")),OR(H204="",ISNUMBER(IFERROR(INDEX(Precios!$D$5:$D$120,MATCH(H204,Precios!$A$5:$A$120,0)),"x"))),J204&lt;&gt;"",K204&lt;&gt;"",Q204&gt;0),SUM(O204:R204),""))</f>
        <v/>
      </c>
      <c r="T204" s="17" t="str">
        <f aca="false">IF(AND(S204&lt;&gt;"",ISNUMBER(E204)),E204*Parametros!$B$12,"")</f>
        <v/>
      </c>
      <c r="U204" s="17" t="str">
        <f aca="false">IF(AND(S204&lt;&gt;"",ISNUMBER(E204)),E204*Parametros!$B$13,"")</f>
        <v/>
      </c>
      <c r="V204" s="18" t="str">
        <f aca="false">IF(AND(S204&lt;&gt;"",ISNUMBER(E204)),E204-S204-T204-U204,"")</f>
        <v/>
      </c>
      <c r="W204" s="19" t="str">
        <f aca="false">IF(AND(S204&lt;&gt;"",ISNUMBER(E204)),V204/E204,"")</f>
        <v/>
      </c>
      <c r="X204" s="17" t="str">
        <f aca="false">IF(OR(S204="",Parametros!$B$14&gt;=1),"",S204/(1-Parametros!$B$14))</f>
        <v/>
      </c>
      <c r="Y204" s="17" t="str">
        <f aca="false">IF(OR(S204="",Parametros!$B$14+Parametros!$B$18&gt;=1),"",S204/(1-Parametros!$B$14-Parametros!$B$18))</f>
        <v/>
      </c>
      <c r="Z204" s="20" t="str">
        <f aca="false">IF(B204="","",IF(S204="","FALTAN DATOS",IF(NOT(ISNUMBER(E204)),"FALTA PRECIO",IF(V204&lt;0,"PIERDE",IF(W204&lt;Parametros!$B$18,"BAJO META","OK")))))</f>
        <v/>
      </c>
      <c r="AA204" s="21" t="str">
        <f aca="false">IF(B204="","",IF(F204="","Tela. ","")&amp;IF(NOT(ISNUMBER(G204)),"Kg de tela. ","")&amp;IF(AND(F204&lt;&gt;"",NOT(ISNUMBER(IFERROR(INDEX(Precios!$D$5:$D$120,MATCH(F204,Precios!$A$5:$A$120,0)),"x")))),"Tela sin precio. ","")&amp;IF(AND(H204&lt;&gt;"",NOT(ISNUMBER(IFERROR(INDEX(Precios!$D$5:$D$120,MATCH(H204,Precios!$A$5:$A$120,0)),"x")))),"Tela 2 sin precio. ","")&amp;IF(J204="","Metros impresos. ","")&amp;IF(AND(N(J204)&gt;0,Parametros!$B$27=0),"Impresión sin costo. ","")&amp;IF(K204="","Confección. ",IF(Q204=0,"Confección sin valor. ",""))&amp;IF(NOT(ISNUMBER(E204)),"Precio de venta. ",""))</f>
        <v/>
      </c>
    </row>
    <row r="205" customFormat="false" ht="15" hidden="false" customHeight="false" outlineLevel="0" collapsed="false">
      <c r="A205" s="22"/>
      <c r="B205" s="22"/>
      <c r="C205" s="22"/>
      <c r="D205" s="13"/>
      <c r="E205" s="12"/>
      <c r="F205" s="13"/>
      <c r="G205" s="14"/>
      <c r="H205" s="13"/>
      <c r="I205" s="14"/>
      <c r="J205" s="15"/>
      <c r="K205" s="13"/>
      <c r="L205" s="12"/>
      <c r="M205" s="13"/>
      <c r="O205" s="17" t="str">
        <f aca="false">IF(B205="","",IFERROR(G205*INDEX(Precios!$D$5:$D$120,MATCH(F205,Precios!$A$5:$A$120,0)),0)+IF(H205="",0,IFERROR(I205*INDEX(Precios!$D$5:$D$120,MATCH(H205,Precios!$A$5:$A$120,0)),0)))</f>
        <v/>
      </c>
      <c r="P205" s="17" t="str">
        <f aca="false">IF(B205="","",N(J205)*Parametros!$B$27)</f>
        <v/>
      </c>
      <c r="Q205" s="17" t="str">
        <f aca="false">IF(B205="","",IFERROR(INDEX(Confeccion!$B$5:$B$100,MATCH(K205,Confeccion!$A$5:$A$100,0)),0))</f>
        <v/>
      </c>
      <c r="R205" s="17" t="str">
        <f aca="false">IF(B205="","",N(L205))</f>
        <v/>
      </c>
      <c r="S205" s="18" t="str">
        <f aca="false">IF(B205="","",IF(AND(F205&lt;&gt;"",ISNUMBER(G205),ISNUMBER(IFERROR(INDEX(Precios!$D$5:$D$120,MATCH(F205,Precios!$A$5:$A$120,0)),"x")),OR(H205="",ISNUMBER(IFERROR(INDEX(Precios!$D$5:$D$120,MATCH(H205,Precios!$A$5:$A$120,0)),"x"))),J205&lt;&gt;"",K205&lt;&gt;"",Q205&gt;0),SUM(O205:R205),""))</f>
        <v/>
      </c>
      <c r="T205" s="17" t="str">
        <f aca="false">IF(AND(S205&lt;&gt;"",ISNUMBER(E205)),E205*Parametros!$B$12,"")</f>
        <v/>
      </c>
      <c r="U205" s="17" t="str">
        <f aca="false">IF(AND(S205&lt;&gt;"",ISNUMBER(E205)),E205*Parametros!$B$13,"")</f>
        <v/>
      </c>
      <c r="V205" s="18" t="str">
        <f aca="false">IF(AND(S205&lt;&gt;"",ISNUMBER(E205)),E205-S205-T205-U205,"")</f>
        <v/>
      </c>
      <c r="W205" s="19" t="str">
        <f aca="false">IF(AND(S205&lt;&gt;"",ISNUMBER(E205)),V205/E205,"")</f>
        <v/>
      </c>
      <c r="X205" s="17" t="str">
        <f aca="false">IF(OR(S205="",Parametros!$B$14&gt;=1),"",S205/(1-Parametros!$B$14))</f>
        <v/>
      </c>
      <c r="Y205" s="17" t="str">
        <f aca="false">IF(OR(S205="",Parametros!$B$14+Parametros!$B$18&gt;=1),"",S205/(1-Parametros!$B$14-Parametros!$B$18))</f>
        <v/>
      </c>
      <c r="Z205" s="20" t="str">
        <f aca="false">IF(B205="","",IF(S205="","FALTAN DATOS",IF(NOT(ISNUMBER(E205)),"FALTA PRECIO",IF(V205&lt;0,"PIERDE",IF(W205&lt;Parametros!$B$18,"BAJO META","OK")))))</f>
        <v/>
      </c>
      <c r="AA205" s="21" t="str">
        <f aca="false">IF(B205="","",IF(F205="","Tela. ","")&amp;IF(NOT(ISNUMBER(G205)),"Kg de tela. ","")&amp;IF(AND(F205&lt;&gt;"",NOT(ISNUMBER(IFERROR(INDEX(Precios!$D$5:$D$120,MATCH(F205,Precios!$A$5:$A$120,0)),"x")))),"Tela sin precio. ","")&amp;IF(AND(H205&lt;&gt;"",NOT(ISNUMBER(IFERROR(INDEX(Precios!$D$5:$D$120,MATCH(H205,Precios!$A$5:$A$120,0)),"x")))),"Tela 2 sin precio. ","")&amp;IF(J205="","Metros impresos. ","")&amp;IF(AND(N(J205)&gt;0,Parametros!$B$27=0),"Impresión sin costo. ","")&amp;IF(K205="","Confección. ",IF(Q205=0,"Confección sin valor. ",""))&amp;IF(NOT(ISNUMBER(E205)),"Precio de venta. ",""))</f>
        <v/>
      </c>
    </row>
    <row r="206" customFormat="false" ht="15" hidden="false" customHeight="false" outlineLevel="0" collapsed="false">
      <c r="A206" s="22"/>
      <c r="B206" s="22"/>
      <c r="C206" s="22"/>
      <c r="D206" s="13"/>
      <c r="E206" s="12"/>
      <c r="F206" s="13"/>
      <c r="G206" s="14"/>
      <c r="H206" s="13"/>
      <c r="I206" s="14"/>
      <c r="J206" s="15"/>
      <c r="K206" s="13"/>
      <c r="L206" s="12"/>
      <c r="M206" s="13"/>
      <c r="O206" s="17" t="str">
        <f aca="false">IF(B206="","",IFERROR(G206*INDEX(Precios!$D$5:$D$120,MATCH(F206,Precios!$A$5:$A$120,0)),0)+IF(H206="",0,IFERROR(I206*INDEX(Precios!$D$5:$D$120,MATCH(H206,Precios!$A$5:$A$120,0)),0)))</f>
        <v/>
      </c>
      <c r="P206" s="17" t="str">
        <f aca="false">IF(B206="","",N(J206)*Parametros!$B$27)</f>
        <v/>
      </c>
      <c r="Q206" s="17" t="str">
        <f aca="false">IF(B206="","",IFERROR(INDEX(Confeccion!$B$5:$B$100,MATCH(K206,Confeccion!$A$5:$A$100,0)),0))</f>
        <v/>
      </c>
      <c r="R206" s="17" t="str">
        <f aca="false">IF(B206="","",N(L206))</f>
        <v/>
      </c>
      <c r="S206" s="18" t="str">
        <f aca="false">IF(B206="","",IF(AND(F206&lt;&gt;"",ISNUMBER(G206),ISNUMBER(IFERROR(INDEX(Precios!$D$5:$D$120,MATCH(F206,Precios!$A$5:$A$120,0)),"x")),OR(H206="",ISNUMBER(IFERROR(INDEX(Precios!$D$5:$D$120,MATCH(H206,Precios!$A$5:$A$120,0)),"x"))),J206&lt;&gt;"",K206&lt;&gt;"",Q206&gt;0),SUM(O206:R206),""))</f>
        <v/>
      </c>
      <c r="T206" s="17" t="str">
        <f aca="false">IF(AND(S206&lt;&gt;"",ISNUMBER(E206)),E206*Parametros!$B$12,"")</f>
        <v/>
      </c>
      <c r="U206" s="17" t="str">
        <f aca="false">IF(AND(S206&lt;&gt;"",ISNUMBER(E206)),E206*Parametros!$B$13,"")</f>
        <v/>
      </c>
      <c r="V206" s="18" t="str">
        <f aca="false">IF(AND(S206&lt;&gt;"",ISNUMBER(E206)),E206-S206-T206-U206,"")</f>
        <v/>
      </c>
      <c r="W206" s="19" t="str">
        <f aca="false">IF(AND(S206&lt;&gt;"",ISNUMBER(E206)),V206/E206,"")</f>
        <v/>
      </c>
      <c r="X206" s="17" t="str">
        <f aca="false">IF(OR(S206="",Parametros!$B$14&gt;=1),"",S206/(1-Parametros!$B$14))</f>
        <v/>
      </c>
      <c r="Y206" s="17" t="str">
        <f aca="false">IF(OR(S206="",Parametros!$B$14+Parametros!$B$18&gt;=1),"",S206/(1-Parametros!$B$14-Parametros!$B$18))</f>
        <v/>
      </c>
      <c r="Z206" s="20" t="str">
        <f aca="false">IF(B206="","",IF(S206="","FALTAN DATOS",IF(NOT(ISNUMBER(E206)),"FALTA PRECIO",IF(V206&lt;0,"PIERDE",IF(W206&lt;Parametros!$B$18,"BAJO META","OK")))))</f>
        <v/>
      </c>
      <c r="AA206" s="21" t="str">
        <f aca="false">IF(B206="","",IF(F206="","Tela. ","")&amp;IF(NOT(ISNUMBER(G206)),"Kg de tela. ","")&amp;IF(AND(F206&lt;&gt;"",NOT(ISNUMBER(IFERROR(INDEX(Precios!$D$5:$D$120,MATCH(F206,Precios!$A$5:$A$120,0)),"x")))),"Tela sin precio. ","")&amp;IF(AND(H206&lt;&gt;"",NOT(ISNUMBER(IFERROR(INDEX(Precios!$D$5:$D$120,MATCH(H206,Precios!$A$5:$A$120,0)),"x")))),"Tela 2 sin precio. ","")&amp;IF(J206="","Metros impresos. ","")&amp;IF(AND(N(J206)&gt;0,Parametros!$B$27=0),"Impresión sin costo. ","")&amp;IF(K206="","Confección. ",IF(Q206=0,"Confección sin valor. ",""))&amp;IF(NOT(ISNUMBER(E206)),"Precio de venta. ",""))</f>
        <v/>
      </c>
    </row>
    <row r="207" customFormat="false" ht="15" hidden="false" customHeight="false" outlineLevel="0" collapsed="false">
      <c r="A207" s="22"/>
      <c r="B207" s="22"/>
      <c r="C207" s="22"/>
      <c r="D207" s="13"/>
      <c r="E207" s="12"/>
      <c r="F207" s="13"/>
      <c r="G207" s="14"/>
      <c r="H207" s="13"/>
      <c r="I207" s="14"/>
      <c r="J207" s="15"/>
      <c r="K207" s="13"/>
      <c r="L207" s="12"/>
      <c r="M207" s="13"/>
      <c r="O207" s="17" t="str">
        <f aca="false">IF(B207="","",IFERROR(G207*INDEX(Precios!$D$5:$D$120,MATCH(F207,Precios!$A$5:$A$120,0)),0)+IF(H207="",0,IFERROR(I207*INDEX(Precios!$D$5:$D$120,MATCH(H207,Precios!$A$5:$A$120,0)),0)))</f>
        <v/>
      </c>
      <c r="P207" s="17" t="str">
        <f aca="false">IF(B207="","",N(J207)*Parametros!$B$27)</f>
        <v/>
      </c>
      <c r="Q207" s="17" t="str">
        <f aca="false">IF(B207="","",IFERROR(INDEX(Confeccion!$B$5:$B$100,MATCH(K207,Confeccion!$A$5:$A$100,0)),0))</f>
        <v/>
      </c>
      <c r="R207" s="17" t="str">
        <f aca="false">IF(B207="","",N(L207))</f>
        <v/>
      </c>
      <c r="S207" s="18" t="str">
        <f aca="false">IF(B207="","",IF(AND(F207&lt;&gt;"",ISNUMBER(G207),ISNUMBER(IFERROR(INDEX(Precios!$D$5:$D$120,MATCH(F207,Precios!$A$5:$A$120,0)),"x")),OR(H207="",ISNUMBER(IFERROR(INDEX(Precios!$D$5:$D$120,MATCH(H207,Precios!$A$5:$A$120,0)),"x"))),J207&lt;&gt;"",K207&lt;&gt;"",Q207&gt;0),SUM(O207:R207),""))</f>
        <v/>
      </c>
      <c r="T207" s="17" t="str">
        <f aca="false">IF(AND(S207&lt;&gt;"",ISNUMBER(E207)),E207*Parametros!$B$12,"")</f>
        <v/>
      </c>
      <c r="U207" s="17" t="str">
        <f aca="false">IF(AND(S207&lt;&gt;"",ISNUMBER(E207)),E207*Parametros!$B$13,"")</f>
        <v/>
      </c>
      <c r="V207" s="18" t="str">
        <f aca="false">IF(AND(S207&lt;&gt;"",ISNUMBER(E207)),E207-S207-T207-U207,"")</f>
        <v/>
      </c>
      <c r="W207" s="19" t="str">
        <f aca="false">IF(AND(S207&lt;&gt;"",ISNUMBER(E207)),V207/E207,"")</f>
        <v/>
      </c>
      <c r="X207" s="17" t="str">
        <f aca="false">IF(OR(S207="",Parametros!$B$14&gt;=1),"",S207/(1-Parametros!$B$14))</f>
        <v/>
      </c>
      <c r="Y207" s="17" t="str">
        <f aca="false">IF(OR(S207="",Parametros!$B$14+Parametros!$B$18&gt;=1),"",S207/(1-Parametros!$B$14-Parametros!$B$18))</f>
        <v/>
      </c>
      <c r="Z207" s="20" t="str">
        <f aca="false">IF(B207="","",IF(S207="","FALTAN DATOS",IF(NOT(ISNUMBER(E207)),"FALTA PRECIO",IF(V207&lt;0,"PIERDE",IF(W207&lt;Parametros!$B$18,"BAJO META","OK")))))</f>
        <v/>
      </c>
      <c r="AA207" s="21" t="str">
        <f aca="false">IF(B207="","",IF(F207="","Tela. ","")&amp;IF(NOT(ISNUMBER(G207)),"Kg de tela. ","")&amp;IF(AND(F207&lt;&gt;"",NOT(ISNUMBER(IFERROR(INDEX(Precios!$D$5:$D$120,MATCH(F207,Precios!$A$5:$A$120,0)),"x")))),"Tela sin precio. ","")&amp;IF(AND(H207&lt;&gt;"",NOT(ISNUMBER(IFERROR(INDEX(Precios!$D$5:$D$120,MATCH(H207,Precios!$A$5:$A$120,0)),"x")))),"Tela 2 sin precio. ","")&amp;IF(J207="","Metros impresos. ","")&amp;IF(AND(N(J207)&gt;0,Parametros!$B$27=0),"Impresión sin costo. ","")&amp;IF(K207="","Confección. ",IF(Q207=0,"Confección sin valor. ",""))&amp;IF(NOT(ISNUMBER(E207)),"Precio de venta. ",""))</f>
        <v/>
      </c>
    </row>
    <row r="208" customFormat="false" ht="15" hidden="false" customHeight="false" outlineLevel="0" collapsed="false">
      <c r="A208" s="22"/>
      <c r="B208" s="22"/>
      <c r="C208" s="22"/>
      <c r="D208" s="13"/>
      <c r="E208" s="12"/>
      <c r="F208" s="13"/>
      <c r="G208" s="14"/>
      <c r="H208" s="13"/>
      <c r="I208" s="14"/>
      <c r="J208" s="15"/>
      <c r="K208" s="13"/>
      <c r="L208" s="12"/>
      <c r="M208" s="13"/>
      <c r="O208" s="17" t="str">
        <f aca="false">IF(B208="","",IFERROR(G208*INDEX(Precios!$D$5:$D$120,MATCH(F208,Precios!$A$5:$A$120,0)),0)+IF(H208="",0,IFERROR(I208*INDEX(Precios!$D$5:$D$120,MATCH(H208,Precios!$A$5:$A$120,0)),0)))</f>
        <v/>
      </c>
      <c r="P208" s="17" t="str">
        <f aca="false">IF(B208="","",N(J208)*Parametros!$B$27)</f>
        <v/>
      </c>
      <c r="Q208" s="17" t="str">
        <f aca="false">IF(B208="","",IFERROR(INDEX(Confeccion!$B$5:$B$100,MATCH(K208,Confeccion!$A$5:$A$100,0)),0))</f>
        <v/>
      </c>
      <c r="R208" s="17" t="str">
        <f aca="false">IF(B208="","",N(L208))</f>
        <v/>
      </c>
      <c r="S208" s="18" t="str">
        <f aca="false">IF(B208="","",IF(AND(F208&lt;&gt;"",ISNUMBER(G208),ISNUMBER(IFERROR(INDEX(Precios!$D$5:$D$120,MATCH(F208,Precios!$A$5:$A$120,0)),"x")),OR(H208="",ISNUMBER(IFERROR(INDEX(Precios!$D$5:$D$120,MATCH(H208,Precios!$A$5:$A$120,0)),"x"))),J208&lt;&gt;"",K208&lt;&gt;"",Q208&gt;0),SUM(O208:R208),""))</f>
        <v/>
      </c>
      <c r="T208" s="17" t="str">
        <f aca="false">IF(AND(S208&lt;&gt;"",ISNUMBER(E208)),E208*Parametros!$B$12,"")</f>
        <v/>
      </c>
      <c r="U208" s="17" t="str">
        <f aca="false">IF(AND(S208&lt;&gt;"",ISNUMBER(E208)),E208*Parametros!$B$13,"")</f>
        <v/>
      </c>
      <c r="V208" s="18" t="str">
        <f aca="false">IF(AND(S208&lt;&gt;"",ISNUMBER(E208)),E208-S208-T208-U208,"")</f>
        <v/>
      </c>
      <c r="W208" s="19" t="str">
        <f aca="false">IF(AND(S208&lt;&gt;"",ISNUMBER(E208)),V208/E208,"")</f>
        <v/>
      </c>
      <c r="X208" s="17" t="str">
        <f aca="false">IF(OR(S208="",Parametros!$B$14&gt;=1),"",S208/(1-Parametros!$B$14))</f>
        <v/>
      </c>
      <c r="Y208" s="17" t="str">
        <f aca="false">IF(OR(S208="",Parametros!$B$14+Parametros!$B$18&gt;=1),"",S208/(1-Parametros!$B$14-Parametros!$B$18))</f>
        <v/>
      </c>
      <c r="Z208" s="20" t="str">
        <f aca="false">IF(B208="","",IF(S208="","FALTAN DATOS",IF(NOT(ISNUMBER(E208)),"FALTA PRECIO",IF(V208&lt;0,"PIERDE",IF(W208&lt;Parametros!$B$18,"BAJO META","OK")))))</f>
        <v/>
      </c>
      <c r="AA208" s="21" t="str">
        <f aca="false">IF(B208="","",IF(F208="","Tela. ","")&amp;IF(NOT(ISNUMBER(G208)),"Kg de tela. ","")&amp;IF(AND(F208&lt;&gt;"",NOT(ISNUMBER(IFERROR(INDEX(Precios!$D$5:$D$120,MATCH(F208,Precios!$A$5:$A$120,0)),"x")))),"Tela sin precio. ","")&amp;IF(AND(H208&lt;&gt;"",NOT(ISNUMBER(IFERROR(INDEX(Precios!$D$5:$D$120,MATCH(H208,Precios!$A$5:$A$120,0)),"x")))),"Tela 2 sin precio. ","")&amp;IF(J208="","Metros impresos. ","")&amp;IF(AND(N(J208)&gt;0,Parametros!$B$27=0),"Impresión sin costo. ","")&amp;IF(K208="","Confección. ",IF(Q208=0,"Confección sin valor. ",""))&amp;IF(NOT(ISNUMBER(E208)),"Precio de venta. ",""))</f>
        <v/>
      </c>
    </row>
    <row r="209" customFormat="false" ht="15" hidden="false" customHeight="false" outlineLevel="0" collapsed="false">
      <c r="A209" s="22"/>
      <c r="B209" s="22"/>
      <c r="C209" s="22"/>
      <c r="D209" s="13"/>
      <c r="E209" s="12"/>
      <c r="F209" s="13"/>
      <c r="G209" s="14"/>
      <c r="H209" s="13"/>
      <c r="I209" s="14"/>
      <c r="J209" s="15"/>
      <c r="K209" s="13"/>
      <c r="L209" s="12"/>
      <c r="M209" s="13"/>
      <c r="O209" s="17" t="str">
        <f aca="false">IF(B209="","",IFERROR(G209*INDEX(Precios!$D$5:$D$120,MATCH(F209,Precios!$A$5:$A$120,0)),0)+IF(H209="",0,IFERROR(I209*INDEX(Precios!$D$5:$D$120,MATCH(H209,Precios!$A$5:$A$120,0)),0)))</f>
        <v/>
      </c>
      <c r="P209" s="17" t="str">
        <f aca="false">IF(B209="","",N(J209)*Parametros!$B$27)</f>
        <v/>
      </c>
      <c r="Q209" s="17" t="str">
        <f aca="false">IF(B209="","",IFERROR(INDEX(Confeccion!$B$5:$B$100,MATCH(K209,Confeccion!$A$5:$A$100,0)),0))</f>
        <v/>
      </c>
      <c r="R209" s="17" t="str">
        <f aca="false">IF(B209="","",N(L209))</f>
        <v/>
      </c>
      <c r="S209" s="18" t="str">
        <f aca="false">IF(B209="","",IF(AND(F209&lt;&gt;"",ISNUMBER(G209),ISNUMBER(IFERROR(INDEX(Precios!$D$5:$D$120,MATCH(F209,Precios!$A$5:$A$120,0)),"x")),OR(H209="",ISNUMBER(IFERROR(INDEX(Precios!$D$5:$D$120,MATCH(H209,Precios!$A$5:$A$120,0)),"x"))),J209&lt;&gt;"",K209&lt;&gt;"",Q209&gt;0),SUM(O209:R209),""))</f>
        <v/>
      </c>
      <c r="T209" s="17" t="str">
        <f aca="false">IF(AND(S209&lt;&gt;"",ISNUMBER(E209)),E209*Parametros!$B$12,"")</f>
        <v/>
      </c>
      <c r="U209" s="17" t="str">
        <f aca="false">IF(AND(S209&lt;&gt;"",ISNUMBER(E209)),E209*Parametros!$B$13,"")</f>
        <v/>
      </c>
      <c r="V209" s="18" t="str">
        <f aca="false">IF(AND(S209&lt;&gt;"",ISNUMBER(E209)),E209-S209-T209-U209,"")</f>
        <v/>
      </c>
      <c r="W209" s="19" t="str">
        <f aca="false">IF(AND(S209&lt;&gt;"",ISNUMBER(E209)),V209/E209,"")</f>
        <v/>
      </c>
      <c r="X209" s="17" t="str">
        <f aca="false">IF(OR(S209="",Parametros!$B$14&gt;=1),"",S209/(1-Parametros!$B$14))</f>
        <v/>
      </c>
      <c r="Y209" s="17" t="str">
        <f aca="false">IF(OR(S209="",Parametros!$B$14+Parametros!$B$18&gt;=1),"",S209/(1-Parametros!$B$14-Parametros!$B$18))</f>
        <v/>
      </c>
      <c r="Z209" s="20" t="str">
        <f aca="false">IF(B209="","",IF(S209="","FALTAN DATOS",IF(NOT(ISNUMBER(E209)),"FALTA PRECIO",IF(V209&lt;0,"PIERDE",IF(W209&lt;Parametros!$B$18,"BAJO META","OK")))))</f>
        <v/>
      </c>
      <c r="AA209" s="21" t="str">
        <f aca="false">IF(B209="","",IF(F209="","Tela. ","")&amp;IF(NOT(ISNUMBER(G209)),"Kg de tela. ","")&amp;IF(AND(F209&lt;&gt;"",NOT(ISNUMBER(IFERROR(INDEX(Precios!$D$5:$D$120,MATCH(F209,Precios!$A$5:$A$120,0)),"x")))),"Tela sin precio. ","")&amp;IF(AND(H209&lt;&gt;"",NOT(ISNUMBER(IFERROR(INDEX(Precios!$D$5:$D$120,MATCH(H209,Precios!$A$5:$A$120,0)),"x")))),"Tela 2 sin precio. ","")&amp;IF(J209="","Metros impresos. ","")&amp;IF(AND(N(J209)&gt;0,Parametros!$B$27=0),"Impresión sin costo. ","")&amp;IF(K209="","Confección. ",IF(Q209=0,"Confección sin valor. ",""))&amp;IF(NOT(ISNUMBER(E209)),"Precio de venta. ",""))</f>
        <v/>
      </c>
    </row>
    <row r="210" customFormat="false" ht="15" hidden="false" customHeight="false" outlineLevel="0" collapsed="false">
      <c r="A210" s="22"/>
      <c r="B210" s="22"/>
      <c r="C210" s="22"/>
      <c r="D210" s="13"/>
      <c r="E210" s="12"/>
      <c r="F210" s="13"/>
      <c r="G210" s="14"/>
      <c r="H210" s="13"/>
      <c r="I210" s="14"/>
      <c r="J210" s="15"/>
      <c r="K210" s="13"/>
      <c r="L210" s="12"/>
      <c r="M210" s="13"/>
      <c r="O210" s="17" t="str">
        <f aca="false">IF(B210="","",IFERROR(G210*INDEX(Precios!$D$5:$D$120,MATCH(F210,Precios!$A$5:$A$120,0)),0)+IF(H210="",0,IFERROR(I210*INDEX(Precios!$D$5:$D$120,MATCH(H210,Precios!$A$5:$A$120,0)),0)))</f>
        <v/>
      </c>
      <c r="P210" s="17" t="str">
        <f aca="false">IF(B210="","",N(J210)*Parametros!$B$27)</f>
        <v/>
      </c>
      <c r="Q210" s="17" t="str">
        <f aca="false">IF(B210="","",IFERROR(INDEX(Confeccion!$B$5:$B$100,MATCH(K210,Confeccion!$A$5:$A$100,0)),0))</f>
        <v/>
      </c>
      <c r="R210" s="17" t="str">
        <f aca="false">IF(B210="","",N(L210))</f>
        <v/>
      </c>
      <c r="S210" s="18" t="str">
        <f aca="false">IF(B210="","",IF(AND(F210&lt;&gt;"",ISNUMBER(G210),ISNUMBER(IFERROR(INDEX(Precios!$D$5:$D$120,MATCH(F210,Precios!$A$5:$A$120,0)),"x")),OR(H210="",ISNUMBER(IFERROR(INDEX(Precios!$D$5:$D$120,MATCH(H210,Precios!$A$5:$A$120,0)),"x"))),J210&lt;&gt;"",K210&lt;&gt;"",Q210&gt;0),SUM(O210:R210),""))</f>
        <v/>
      </c>
      <c r="T210" s="17" t="str">
        <f aca="false">IF(AND(S210&lt;&gt;"",ISNUMBER(E210)),E210*Parametros!$B$12,"")</f>
        <v/>
      </c>
      <c r="U210" s="17" t="str">
        <f aca="false">IF(AND(S210&lt;&gt;"",ISNUMBER(E210)),E210*Parametros!$B$13,"")</f>
        <v/>
      </c>
      <c r="V210" s="18" t="str">
        <f aca="false">IF(AND(S210&lt;&gt;"",ISNUMBER(E210)),E210-S210-T210-U210,"")</f>
        <v/>
      </c>
      <c r="W210" s="19" t="str">
        <f aca="false">IF(AND(S210&lt;&gt;"",ISNUMBER(E210)),V210/E210,"")</f>
        <v/>
      </c>
      <c r="X210" s="17" t="str">
        <f aca="false">IF(OR(S210="",Parametros!$B$14&gt;=1),"",S210/(1-Parametros!$B$14))</f>
        <v/>
      </c>
      <c r="Y210" s="17" t="str">
        <f aca="false">IF(OR(S210="",Parametros!$B$14+Parametros!$B$18&gt;=1),"",S210/(1-Parametros!$B$14-Parametros!$B$18))</f>
        <v/>
      </c>
      <c r="Z210" s="20" t="str">
        <f aca="false">IF(B210="","",IF(S210="","FALTAN DATOS",IF(NOT(ISNUMBER(E210)),"FALTA PRECIO",IF(V210&lt;0,"PIERDE",IF(W210&lt;Parametros!$B$18,"BAJO META","OK")))))</f>
        <v/>
      </c>
      <c r="AA210" s="21" t="str">
        <f aca="false">IF(B210="","",IF(F210="","Tela. ","")&amp;IF(NOT(ISNUMBER(G210)),"Kg de tela. ","")&amp;IF(AND(F210&lt;&gt;"",NOT(ISNUMBER(IFERROR(INDEX(Precios!$D$5:$D$120,MATCH(F210,Precios!$A$5:$A$120,0)),"x")))),"Tela sin precio. ","")&amp;IF(AND(H210&lt;&gt;"",NOT(ISNUMBER(IFERROR(INDEX(Precios!$D$5:$D$120,MATCH(H210,Precios!$A$5:$A$120,0)),"x")))),"Tela 2 sin precio. ","")&amp;IF(J210="","Metros impresos. ","")&amp;IF(AND(N(J210)&gt;0,Parametros!$B$27=0),"Impresión sin costo. ","")&amp;IF(K210="","Confección. ",IF(Q210=0,"Confección sin valor. ",""))&amp;IF(NOT(ISNUMBER(E210)),"Precio de venta. ",""))</f>
        <v/>
      </c>
    </row>
    <row r="211" customFormat="false" ht="15" hidden="false" customHeight="false" outlineLevel="0" collapsed="false">
      <c r="A211" s="22"/>
      <c r="B211" s="22"/>
      <c r="C211" s="22"/>
      <c r="D211" s="13"/>
      <c r="E211" s="12"/>
      <c r="F211" s="13"/>
      <c r="G211" s="14"/>
      <c r="H211" s="13"/>
      <c r="I211" s="14"/>
      <c r="J211" s="15"/>
      <c r="K211" s="13"/>
      <c r="L211" s="12"/>
      <c r="M211" s="13"/>
      <c r="O211" s="17" t="str">
        <f aca="false">IF(B211="","",IFERROR(G211*INDEX(Precios!$D$5:$D$120,MATCH(F211,Precios!$A$5:$A$120,0)),0)+IF(H211="",0,IFERROR(I211*INDEX(Precios!$D$5:$D$120,MATCH(H211,Precios!$A$5:$A$120,0)),0)))</f>
        <v/>
      </c>
      <c r="P211" s="17" t="str">
        <f aca="false">IF(B211="","",N(J211)*Parametros!$B$27)</f>
        <v/>
      </c>
      <c r="Q211" s="17" t="str">
        <f aca="false">IF(B211="","",IFERROR(INDEX(Confeccion!$B$5:$B$100,MATCH(K211,Confeccion!$A$5:$A$100,0)),0))</f>
        <v/>
      </c>
      <c r="R211" s="17" t="str">
        <f aca="false">IF(B211="","",N(L211))</f>
        <v/>
      </c>
      <c r="S211" s="18" t="str">
        <f aca="false">IF(B211="","",IF(AND(F211&lt;&gt;"",ISNUMBER(G211),ISNUMBER(IFERROR(INDEX(Precios!$D$5:$D$120,MATCH(F211,Precios!$A$5:$A$120,0)),"x")),OR(H211="",ISNUMBER(IFERROR(INDEX(Precios!$D$5:$D$120,MATCH(H211,Precios!$A$5:$A$120,0)),"x"))),J211&lt;&gt;"",K211&lt;&gt;"",Q211&gt;0),SUM(O211:R211),""))</f>
        <v/>
      </c>
      <c r="T211" s="17" t="str">
        <f aca="false">IF(AND(S211&lt;&gt;"",ISNUMBER(E211)),E211*Parametros!$B$12,"")</f>
        <v/>
      </c>
      <c r="U211" s="17" t="str">
        <f aca="false">IF(AND(S211&lt;&gt;"",ISNUMBER(E211)),E211*Parametros!$B$13,"")</f>
        <v/>
      </c>
      <c r="V211" s="18" t="str">
        <f aca="false">IF(AND(S211&lt;&gt;"",ISNUMBER(E211)),E211-S211-T211-U211,"")</f>
        <v/>
      </c>
      <c r="W211" s="19" t="str">
        <f aca="false">IF(AND(S211&lt;&gt;"",ISNUMBER(E211)),V211/E211,"")</f>
        <v/>
      </c>
      <c r="X211" s="17" t="str">
        <f aca="false">IF(OR(S211="",Parametros!$B$14&gt;=1),"",S211/(1-Parametros!$B$14))</f>
        <v/>
      </c>
      <c r="Y211" s="17" t="str">
        <f aca="false">IF(OR(S211="",Parametros!$B$14+Parametros!$B$18&gt;=1),"",S211/(1-Parametros!$B$14-Parametros!$B$18))</f>
        <v/>
      </c>
      <c r="Z211" s="20" t="str">
        <f aca="false">IF(B211="","",IF(S211="","FALTAN DATOS",IF(NOT(ISNUMBER(E211)),"FALTA PRECIO",IF(V211&lt;0,"PIERDE",IF(W211&lt;Parametros!$B$18,"BAJO META","OK")))))</f>
        <v/>
      </c>
      <c r="AA211" s="21" t="str">
        <f aca="false">IF(B211="","",IF(F211="","Tela. ","")&amp;IF(NOT(ISNUMBER(G211)),"Kg de tela. ","")&amp;IF(AND(F211&lt;&gt;"",NOT(ISNUMBER(IFERROR(INDEX(Precios!$D$5:$D$120,MATCH(F211,Precios!$A$5:$A$120,0)),"x")))),"Tela sin precio. ","")&amp;IF(AND(H211&lt;&gt;"",NOT(ISNUMBER(IFERROR(INDEX(Precios!$D$5:$D$120,MATCH(H211,Precios!$A$5:$A$120,0)),"x")))),"Tela 2 sin precio. ","")&amp;IF(J211="","Metros impresos. ","")&amp;IF(AND(N(J211)&gt;0,Parametros!$B$27=0),"Impresión sin costo. ","")&amp;IF(K211="","Confección. ",IF(Q211=0,"Confección sin valor. ",""))&amp;IF(NOT(ISNUMBER(E211)),"Precio de venta. ",""))</f>
        <v/>
      </c>
    </row>
    <row r="212" customFormat="false" ht="15" hidden="false" customHeight="false" outlineLevel="0" collapsed="false">
      <c r="A212" s="22"/>
      <c r="B212" s="22"/>
      <c r="C212" s="22"/>
      <c r="D212" s="13"/>
      <c r="E212" s="12"/>
      <c r="F212" s="13"/>
      <c r="G212" s="14"/>
      <c r="H212" s="13"/>
      <c r="I212" s="14"/>
      <c r="J212" s="15"/>
      <c r="K212" s="13"/>
      <c r="L212" s="12"/>
      <c r="M212" s="13"/>
      <c r="O212" s="17" t="str">
        <f aca="false">IF(B212="","",IFERROR(G212*INDEX(Precios!$D$5:$D$120,MATCH(F212,Precios!$A$5:$A$120,0)),0)+IF(H212="",0,IFERROR(I212*INDEX(Precios!$D$5:$D$120,MATCH(H212,Precios!$A$5:$A$120,0)),0)))</f>
        <v/>
      </c>
      <c r="P212" s="17" t="str">
        <f aca="false">IF(B212="","",N(J212)*Parametros!$B$27)</f>
        <v/>
      </c>
      <c r="Q212" s="17" t="str">
        <f aca="false">IF(B212="","",IFERROR(INDEX(Confeccion!$B$5:$B$100,MATCH(K212,Confeccion!$A$5:$A$100,0)),0))</f>
        <v/>
      </c>
      <c r="R212" s="17" t="str">
        <f aca="false">IF(B212="","",N(L212))</f>
        <v/>
      </c>
      <c r="S212" s="18" t="str">
        <f aca="false">IF(B212="","",IF(AND(F212&lt;&gt;"",ISNUMBER(G212),ISNUMBER(IFERROR(INDEX(Precios!$D$5:$D$120,MATCH(F212,Precios!$A$5:$A$120,0)),"x")),OR(H212="",ISNUMBER(IFERROR(INDEX(Precios!$D$5:$D$120,MATCH(H212,Precios!$A$5:$A$120,0)),"x"))),J212&lt;&gt;"",K212&lt;&gt;"",Q212&gt;0),SUM(O212:R212),""))</f>
        <v/>
      </c>
      <c r="T212" s="17" t="str">
        <f aca="false">IF(AND(S212&lt;&gt;"",ISNUMBER(E212)),E212*Parametros!$B$12,"")</f>
        <v/>
      </c>
      <c r="U212" s="17" t="str">
        <f aca="false">IF(AND(S212&lt;&gt;"",ISNUMBER(E212)),E212*Parametros!$B$13,"")</f>
        <v/>
      </c>
      <c r="V212" s="18" t="str">
        <f aca="false">IF(AND(S212&lt;&gt;"",ISNUMBER(E212)),E212-S212-T212-U212,"")</f>
        <v/>
      </c>
      <c r="W212" s="19" t="str">
        <f aca="false">IF(AND(S212&lt;&gt;"",ISNUMBER(E212)),V212/E212,"")</f>
        <v/>
      </c>
      <c r="X212" s="17" t="str">
        <f aca="false">IF(OR(S212="",Parametros!$B$14&gt;=1),"",S212/(1-Parametros!$B$14))</f>
        <v/>
      </c>
      <c r="Y212" s="17" t="str">
        <f aca="false">IF(OR(S212="",Parametros!$B$14+Parametros!$B$18&gt;=1),"",S212/(1-Parametros!$B$14-Parametros!$B$18))</f>
        <v/>
      </c>
      <c r="Z212" s="20" t="str">
        <f aca="false">IF(B212="","",IF(S212="","FALTAN DATOS",IF(NOT(ISNUMBER(E212)),"FALTA PRECIO",IF(V212&lt;0,"PIERDE",IF(W212&lt;Parametros!$B$18,"BAJO META","OK")))))</f>
        <v/>
      </c>
      <c r="AA212" s="21" t="str">
        <f aca="false">IF(B212="","",IF(F212="","Tela. ","")&amp;IF(NOT(ISNUMBER(G212)),"Kg de tela. ","")&amp;IF(AND(F212&lt;&gt;"",NOT(ISNUMBER(IFERROR(INDEX(Precios!$D$5:$D$120,MATCH(F212,Precios!$A$5:$A$120,0)),"x")))),"Tela sin precio. ","")&amp;IF(AND(H212&lt;&gt;"",NOT(ISNUMBER(IFERROR(INDEX(Precios!$D$5:$D$120,MATCH(H212,Precios!$A$5:$A$120,0)),"x")))),"Tela 2 sin precio. ","")&amp;IF(J212="","Metros impresos. ","")&amp;IF(AND(N(J212)&gt;0,Parametros!$B$27=0),"Impresión sin costo. ","")&amp;IF(K212="","Confección. ",IF(Q212=0,"Confección sin valor. ",""))&amp;IF(NOT(ISNUMBER(E212)),"Precio de venta. ",""))</f>
        <v/>
      </c>
    </row>
    <row r="213" customFormat="false" ht="15" hidden="false" customHeight="false" outlineLevel="0" collapsed="false">
      <c r="A213" s="22"/>
      <c r="B213" s="22"/>
      <c r="C213" s="22"/>
      <c r="D213" s="13"/>
      <c r="E213" s="12"/>
      <c r="F213" s="13"/>
      <c r="G213" s="14"/>
      <c r="H213" s="13"/>
      <c r="I213" s="14"/>
      <c r="J213" s="15"/>
      <c r="K213" s="13"/>
      <c r="L213" s="12"/>
      <c r="M213" s="13"/>
      <c r="O213" s="17" t="str">
        <f aca="false">IF(B213="","",IFERROR(G213*INDEX(Precios!$D$5:$D$120,MATCH(F213,Precios!$A$5:$A$120,0)),0)+IF(H213="",0,IFERROR(I213*INDEX(Precios!$D$5:$D$120,MATCH(H213,Precios!$A$5:$A$120,0)),0)))</f>
        <v/>
      </c>
      <c r="P213" s="17" t="str">
        <f aca="false">IF(B213="","",N(J213)*Parametros!$B$27)</f>
        <v/>
      </c>
      <c r="Q213" s="17" t="str">
        <f aca="false">IF(B213="","",IFERROR(INDEX(Confeccion!$B$5:$B$100,MATCH(K213,Confeccion!$A$5:$A$100,0)),0))</f>
        <v/>
      </c>
      <c r="R213" s="17" t="str">
        <f aca="false">IF(B213="","",N(L213))</f>
        <v/>
      </c>
      <c r="S213" s="18" t="str">
        <f aca="false">IF(B213="","",IF(AND(F213&lt;&gt;"",ISNUMBER(G213),ISNUMBER(IFERROR(INDEX(Precios!$D$5:$D$120,MATCH(F213,Precios!$A$5:$A$120,0)),"x")),OR(H213="",ISNUMBER(IFERROR(INDEX(Precios!$D$5:$D$120,MATCH(H213,Precios!$A$5:$A$120,0)),"x"))),J213&lt;&gt;"",K213&lt;&gt;"",Q213&gt;0),SUM(O213:R213),""))</f>
        <v/>
      </c>
      <c r="T213" s="17" t="str">
        <f aca="false">IF(AND(S213&lt;&gt;"",ISNUMBER(E213)),E213*Parametros!$B$12,"")</f>
        <v/>
      </c>
      <c r="U213" s="17" t="str">
        <f aca="false">IF(AND(S213&lt;&gt;"",ISNUMBER(E213)),E213*Parametros!$B$13,"")</f>
        <v/>
      </c>
      <c r="V213" s="18" t="str">
        <f aca="false">IF(AND(S213&lt;&gt;"",ISNUMBER(E213)),E213-S213-T213-U213,"")</f>
        <v/>
      </c>
      <c r="W213" s="19" t="str">
        <f aca="false">IF(AND(S213&lt;&gt;"",ISNUMBER(E213)),V213/E213,"")</f>
        <v/>
      </c>
      <c r="X213" s="17" t="str">
        <f aca="false">IF(OR(S213="",Parametros!$B$14&gt;=1),"",S213/(1-Parametros!$B$14))</f>
        <v/>
      </c>
      <c r="Y213" s="17" t="str">
        <f aca="false">IF(OR(S213="",Parametros!$B$14+Parametros!$B$18&gt;=1),"",S213/(1-Parametros!$B$14-Parametros!$B$18))</f>
        <v/>
      </c>
      <c r="Z213" s="20" t="str">
        <f aca="false">IF(B213="","",IF(S213="","FALTAN DATOS",IF(NOT(ISNUMBER(E213)),"FALTA PRECIO",IF(V213&lt;0,"PIERDE",IF(W213&lt;Parametros!$B$18,"BAJO META","OK")))))</f>
        <v/>
      </c>
      <c r="AA213" s="21" t="str">
        <f aca="false">IF(B213="","",IF(F213="","Tela. ","")&amp;IF(NOT(ISNUMBER(G213)),"Kg de tela. ","")&amp;IF(AND(F213&lt;&gt;"",NOT(ISNUMBER(IFERROR(INDEX(Precios!$D$5:$D$120,MATCH(F213,Precios!$A$5:$A$120,0)),"x")))),"Tela sin precio. ","")&amp;IF(AND(H213&lt;&gt;"",NOT(ISNUMBER(IFERROR(INDEX(Precios!$D$5:$D$120,MATCH(H213,Precios!$A$5:$A$120,0)),"x")))),"Tela 2 sin precio. ","")&amp;IF(J213="","Metros impresos. ","")&amp;IF(AND(N(J213)&gt;0,Parametros!$B$27=0),"Impresión sin costo. ","")&amp;IF(K213="","Confección. ",IF(Q213=0,"Confección sin valor. ",""))&amp;IF(NOT(ISNUMBER(E213)),"Precio de venta. ",""))</f>
        <v/>
      </c>
    </row>
    <row r="214" customFormat="false" ht="15" hidden="false" customHeight="false" outlineLevel="0" collapsed="false">
      <c r="A214" s="22"/>
      <c r="B214" s="22"/>
      <c r="C214" s="22"/>
      <c r="D214" s="13"/>
      <c r="E214" s="12"/>
      <c r="F214" s="13"/>
      <c r="G214" s="14"/>
      <c r="H214" s="13"/>
      <c r="I214" s="14"/>
      <c r="J214" s="15"/>
      <c r="K214" s="13"/>
      <c r="L214" s="12"/>
      <c r="M214" s="13"/>
      <c r="O214" s="17" t="str">
        <f aca="false">IF(B214="","",IFERROR(G214*INDEX(Precios!$D$5:$D$120,MATCH(F214,Precios!$A$5:$A$120,0)),0)+IF(H214="",0,IFERROR(I214*INDEX(Precios!$D$5:$D$120,MATCH(H214,Precios!$A$5:$A$120,0)),0)))</f>
        <v/>
      </c>
      <c r="P214" s="17" t="str">
        <f aca="false">IF(B214="","",N(J214)*Parametros!$B$27)</f>
        <v/>
      </c>
      <c r="Q214" s="17" t="str">
        <f aca="false">IF(B214="","",IFERROR(INDEX(Confeccion!$B$5:$B$100,MATCH(K214,Confeccion!$A$5:$A$100,0)),0))</f>
        <v/>
      </c>
      <c r="R214" s="17" t="str">
        <f aca="false">IF(B214="","",N(L214))</f>
        <v/>
      </c>
      <c r="S214" s="18" t="str">
        <f aca="false">IF(B214="","",IF(AND(F214&lt;&gt;"",ISNUMBER(G214),ISNUMBER(IFERROR(INDEX(Precios!$D$5:$D$120,MATCH(F214,Precios!$A$5:$A$120,0)),"x")),OR(H214="",ISNUMBER(IFERROR(INDEX(Precios!$D$5:$D$120,MATCH(H214,Precios!$A$5:$A$120,0)),"x"))),J214&lt;&gt;"",K214&lt;&gt;"",Q214&gt;0),SUM(O214:R214),""))</f>
        <v/>
      </c>
      <c r="T214" s="17" t="str">
        <f aca="false">IF(AND(S214&lt;&gt;"",ISNUMBER(E214)),E214*Parametros!$B$12,"")</f>
        <v/>
      </c>
      <c r="U214" s="17" t="str">
        <f aca="false">IF(AND(S214&lt;&gt;"",ISNUMBER(E214)),E214*Parametros!$B$13,"")</f>
        <v/>
      </c>
      <c r="V214" s="18" t="str">
        <f aca="false">IF(AND(S214&lt;&gt;"",ISNUMBER(E214)),E214-S214-T214-U214,"")</f>
        <v/>
      </c>
      <c r="W214" s="19" t="str">
        <f aca="false">IF(AND(S214&lt;&gt;"",ISNUMBER(E214)),V214/E214,"")</f>
        <v/>
      </c>
      <c r="X214" s="17" t="str">
        <f aca="false">IF(OR(S214="",Parametros!$B$14&gt;=1),"",S214/(1-Parametros!$B$14))</f>
        <v/>
      </c>
      <c r="Y214" s="17" t="str">
        <f aca="false">IF(OR(S214="",Parametros!$B$14+Parametros!$B$18&gt;=1),"",S214/(1-Parametros!$B$14-Parametros!$B$18))</f>
        <v/>
      </c>
      <c r="Z214" s="20" t="str">
        <f aca="false">IF(B214="","",IF(S214="","FALTAN DATOS",IF(NOT(ISNUMBER(E214)),"FALTA PRECIO",IF(V214&lt;0,"PIERDE",IF(W214&lt;Parametros!$B$18,"BAJO META","OK")))))</f>
        <v/>
      </c>
      <c r="AA214" s="21" t="str">
        <f aca="false">IF(B214="","",IF(F214="","Tela. ","")&amp;IF(NOT(ISNUMBER(G214)),"Kg de tela. ","")&amp;IF(AND(F214&lt;&gt;"",NOT(ISNUMBER(IFERROR(INDEX(Precios!$D$5:$D$120,MATCH(F214,Precios!$A$5:$A$120,0)),"x")))),"Tela sin precio. ","")&amp;IF(AND(H214&lt;&gt;"",NOT(ISNUMBER(IFERROR(INDEX(Precios!$D$5:$D$120,MATCH(H214,Precios!$A$5:$A$120,0)),"x")))),"Tela 2 sin precio. ","")&amp;IF(J214="","Metros impresos. ","")&amp;IF(AND(N(J214)&gt;0,Parametros!$B$27=0),"Impresión sin costo. ","")&amp;IF(K214="","Confección. ",IF(Q214=0,"Confección sin valor. ",""))&amp;IF(NOT(ISNUMBER(E214)),"Precio de venta. ",""))</f>
        <v/>
      </c>
    </row>
    <row r="215" customFormat="false" ht="15" hidden="false" customHeight="false" outlineLevel="0" collapsed="false">
      <c r="A215" s="22"/>
      <c r="B215" s="22"/>
      <c r="C215" s="22"/>
      <c r="D215" s="13"/>
      <c r="E215" s="12"/>
      <c r="F215" s="13"/>
      <c r="G215" s="14"/>
      <c r="H215" s="13"/>
      <c r="I215" s="14"/>
      <c r="J215" s="15"/>
      <c r="K215" s="13"/>
      <c r="L215" s="12"/>
      <c r="M215" s="13"/>
      <c r="O215" s="17" t="str">
        <f aca="false">IF(B215="","",IFERROR(G215*INDEX(Precios!$D$5:$D$120,MATCH(F215,Precios!$A$5:$A$120,0)),0)+IF(H215="",0,IFERROR(I215*INDEX(Precios!$D$5:$D$120,MATCH(H215,Precios!$A$5:$A$120,0)),0)))</f>
        <v/>
      </c>
      <c r="P215" s="17" t="str">
        <f aca="false">IF(B215="","",N(J215)*Parametros!$B$27)</f>
        <v/>
      </c>
      <c r="Q215" s="17" t="str">
        <f aca="false">IF(B215="","",IFERROR(INDEX(Confeccion!$B$5:$B$100,MATCH(K215,Confeccion!$A$5:$A$100,0)),0))</f>
        <v/>
      </c>
      <c r="R215" s="17" t="str">
        <f aca="false">IF(B215="","",N(L215))</f>
        <v/>
      </c>
      <c r="S215" s="18" t="str">
        <f aca="false">IF(B215="","",IF(AND(F215&lt;&gt;"",ISNUMBER(G215),ISNUMBER(IFERROR(INDEX(Precios!$D$5:$D$120,MATCH(F215,Precios!$A$5:$A$120,0)),"x")),OR(H215="",ISNUMBER(IFERROR(INDEX(Precios!$D$5:$D$120,MATCH(H215,Precios!$A$5:$A$120,0)),"x"))),J215&lt;&gt;"",K215&lt;&gt;"",Q215&gt;0),SUM(O215:R215),""))</f>
        <v/>
      </c>
      <c r="T215" s="17" t="str">
        <f aca="false">IF(AND(S215&lt;&gt;"",ISNUMBER(E215)),E215*Parametros!$B$12,"")</f>
        <v/>
      </c>
      <c r="U215" s="17" t="str">
        <f aca="false">IF(AND(S215&lt;&gt;"",ISNUMBER(E215)),E215*Parametros!$B$13,"")</f>
        <v/>
      </c>
      <c r="V215" s="18" t="str">
        <f aca="false">IF(AND(S215&lt;&gt;"",ISNUMBER(E215)),E215-S215-T215-U215,"")</f>
        <v/>
      </c>
      <c r="W215" s="19" t="str">
        <f aca="false">IF(AND(S215&lt;&gt;"",ISNUMBER(E215)),V215/E215,"")</f>
        <v/>
      </c>
      <c r="X215" s="17" t="str">
        <f aca="false">IF(OR(S215="",Parametros!$B$14&gt;=1),"",S215/(1-Parametros!$B$14))</f>
        <v/>
      </c>
      <c r="Y215" s="17" t="str">
        <f aca="false">IF(OR(S215="",Parametros!$B$14+Parametros!$B$18&gt;=1),"",S215/(1-Parametros!$B$14-Parametros!$B$18))</f>
        <v/>
      </c>
      <c r="Z215" s="20" t="str">
        <f aca="false">IF(B215="","",IF(S215="","FALTAN DATOS",IF(NOT(ISNUMBER(E215)),"FALTA PRECIO",IF(V215&lt;0,"PIERDE",IF(W215&lt;Parametros!$B$18,"BAJO META","OK")))))</f>
        <v/>
      </c>
      <c r="AA215" s="21" t="str">
        <f aca="false">IF(B215="","",IF(F215="","Tela. ","")&amp;IF(NOT(ISNUMBER(G215)),"Kg de tela. ","")&amp;IF(AND(F215&lt;&gt;"",NOT(ISNUMBER(IFERROR(INDEX(Precios!$D$5:$D$120,MATCH(F215,Precios!$A$5:$A$120,0)),"x")))),"Tela sin precio. ","")&amp;IF(AND(H215&lt;&gt;"",NOT(ISNUMBER(IFERROR(INDEX(Precios!$D$5:$D$120,MATCH(H215,Precios!$A$5:$A$120,0)),"x")))),"Tela 2 sin precio. ","")&amp;IF(J215="","Metros impresos. ","")&amp;IF(AND(N(J215)&gt;0,Parametros!$B$27=0),"Impresión sin costo. ","")&amp;IF(K215="","Confección. ",IF(Q215=0,"Confección sin valor. ",""))&amp;IF(NOT(ISNUMBER(E215)),"Precio de venta. ",""))</f>
        <v/>
      </c>
    </row>
    <row r="216" customFormat="false" ht="15" hidden="false" customHeight="false" outlineLevel="0" collapsed="false">
      <c r="A216" s="22"/>
      <c r="B216" s="22"/>
      <c r="C216" s="22"/>
      <c r="D216" s="13"/>
      <c r="E216" s="12"/>
      <c r="F216" s="13"/>
      <c r="G216" s="14"/>
      <c r="H216" s="13"/>
      <c r="I216" s="14"/>
      <c r="J216" s="15"/>
      <c r="K216" s="13"/>
      <c r="L216" s="12"/>
      <c r="M216" s="13"/>
      <c r="O216" s="17" t="str">
        <f aca="false">IF(B216="","",IFERROR(G216*INDEX(Precios!$D$5:$D$120,MATCH(F216,Precios!$A$5:$A$120,0)),0)+IF(H216="",0,IFERROR(I216*INDEX(Precios!$D$5:$D$120,MATCH(H216,Precios!$A$5:$A$120,0)),0)))</f>
        <v/>
      </c>
      <c r="P216" s="17" t="str">
        <f aca="false">IF(B216="","",N(J216)*Parametros!$B$27)</f>
        <v/>
      </c>
      <c r="Q216" s="17" t="str">
        <f aca="false">IF(B216="","",IFERROR(INDEX(Confeccion!$B$5:$B$100,MATCH(K216,Confeccion!$A$5:$A$100,0)),0))</f>
        <v/>
      </c>
      <c r="R216" s="17" t="str">
        <f aca="false">IF(B216="","",N(L216))</f>
        <v/>
      </c>
      <c r="S216" s="18" t="str">
        <f aca="false">IF(B216="","",IF(AND(F216&lt;&gt;"",ISNUMBER(G216),ISNUMBER(IFERROR(INDEX(Precios!$D$5:$D$120,MATCH(F216,Precios!$A$5:$A$120,0)),"x")),OR(H216="",ISNUMBER(IFERROR(INDEX(Precios!$D$5:$D$120,MATCH(H216,Precios!$A$5:$A$120,0)),"x"))),J216&lt;&gt;"",K216&lt;&gt;"",Q216&gt;0),SUM(O216:R216),""))</f>
        <v/>
      </c>
      <c r="T216" s="17" t="str">
        <f aca="false">IF(AND(S216&lt;&gt;"",ISNUMBER(E216)),E216*Parametros!$B$12,"")</f>
        <v/>
      </c>
      <c r="U216" s="17" t="str">
        <f aca="false">IF(AND(S216&lt;&gt;"",ISNUMBER(E216)),E216*Parametros!$B$13,"")</f>
        <v/>
      </c>
      <c r="V216" s="18" t="str">
        <f aca="false">IF(AND(S216&lt;&gt;"",ISNUMBER(E216)),E216-S216-T216-U216,"")</f>
        <v/>
      </c>
      <c r="W216" s="19" t="str">
        <f aca="false">IF(AND(S216&lt;&gt;"",ISNUMBER(E216)),V216/E216,"")</f>
        <v/>
      </c>
      <c r="X216" s="17" t="str">
        <f aca="false">IF(OR(S216="",Parametros!$B$14&gt;=1),"",S216/(1-Parametros!$B$14))</f>
        <v/>
      </c>
      <c r="Y216" s="17" t="str">
        <f aca="false">IF(OR(S216="",Parametros!$B$14+Parametros!$B$18&gt;=1),"",S216/(1-Parametros!$B$14-Parametros!$B$18))</f>
        <v/>
      </c>
      <c r="Z216" s="20" t="str">
        <f aca="false">IF(B216="","",IF(S216="","FALTAN DATOS",IF(NOT(ISNUMBER(E216)),"FALTA PRECIO",IF(V216&lt;0,"PIERDE",IF(W216&lt;Parametros!$B$18,"BAJO META","OK")))))</f>
        <v/>
      </c>
      <c r="AA216" s="21" t="str">
        <f aca="false">IF(B216="","",IF(F216="","Tela. ","")&amp;IF(NOT(ISNUMBER(G216)),"Kg de tela. ","")&amp;IF(AND(F216&lt;&gt;"",NOT(ISNUMBER(IFERROR(INDEX(Precios!$D$5:$D$120,MATCH(F216,Precios!$A$5:$A$120,0)),"x")))),"Tela sin precio. ","")&amp;IF(AND(H216&lt;&gt;"",NOT(ISNUMBER(IFERROR(INDEX(Precios!$D$5:$D$120,MATCH(H216,Precios!$A$5:$A$120,0)),"x")))),"Tela 2 sin precio. ","")&amp;IF(J216="","Metros impresos. ","")&amp;IF(AND(N(J216)&gt;0,Parametros!$B$27=0),"Impresión sin costo. ","")&amp;IF(K216="","Confección. ",IF(Q216=0,"Confección sin valor. ",""))&amp;IF(NOT(ISNUMBER(E216)),"Precio de venta. ",""))</f>
        <v/>
      </c>
    </row>
    <row r="217" customFormat="false" ht="15" hidden="false" customHeight="false" outlineLevel="0" collapsed="false">
      <c r="A217" s="22"/>
      <c r="B217" s="22"/>
      <c r="C217" s="22"/>
      <c r="D217" s="13"/>
      <c r="E217" s="12"/>
      <c r="F217" s="13"/>
      <c r="G217" s="14"/>
      <c r="H217" s="13"/>
      <c r="I217" s="14"/>
      <c r="J217" s="15"/>
      <c r="K217" s="13"/>
      <c r="L217" s="12"/>
      <c r="M217" s="13"/>
      <c r="O217" s="17" t="str">
        <f aca="false">IF(B217="","",IFERROR(G217*INDEX(Precios!$D$5:$D$120,MATCH(F217,Precios!$A$5:$A$120,0)),0)+IF(H217="",0,IFERROR(I217*INDEX(Precios!$D$5:$D$120,MATCH(H217,Precios!$A$5:$A$120,0)),0)))</f>
        <v/>
      </c>
      <c r="P217" s="17" t="str">
        <f aca="false">IF(B217="","",N(J217)*Parametros!$B$27)</f>
        <v/>
      </c>
      <c r="Q217" s="17" t="str">
        <f aca="false">IF(B217="","",IFERROR(INDEX(Confeccion!$B$5:$B$100,MATCH(K217,Confeccion!$A$5:$A$100,0)),0))</f>
        <v/>
      </c>
      <c r="R217" s="17" t="str">
        <f aca="false">IF(B217="","",N(L217))</f>
        <v/>
      </c>
      <c r="S217" s="18" t="str">
        <f aca="false">IF(B217="","",IF(AND(F217&lt;&gt;"",ISNUMBER(G217),ISNUMBER(IFERROR(INDEX(Precios!$D$5:$D$120,MATCH(F217,Precios!$A$5:$A$120,0)),"x")),OR(H217="",ISNUMBER(IFERROR(INDEX(Precios!$D$5:$D$120,MATCH(H217,Precios!$A$5:$A$120,0)),"x"))),J217&lt;&gt;"",K217&lt;&gt;"",Q217&gt;0),SUM(O217:R217),""))</f>
        <v/>
      </c>
      <c r="T217" s="17" t="str">
        <f aca="false">IF(AND(S217&lt;&gt;"",ISNUMBER(E217)),E217*Parametros!$B$12,"")</f>
        <v/>
      </c>
      <c r="U217" s="17" t="str">
        <f aca="false">IF(AND(S217&lt;&gt;"",ISNUMBER(E217)),E217*Parametros!$B$13,"")</f>
        <v/>
      </c>
      <c r="V217" s="18" t="str">
        <f aca="false">IF(AND(S217&lt;&gt;"",ISNUMBER(E217)),E217-S217-T217-U217,"")</f>
        <v/>
      </c>
      <c r="W217" s="19" t="str">
        <f aca="false">IF(AND(S217&lt;&gt;"",ISNUMBER(E217)),V217/E217,"")</f>
        <v/>
      </c>
      <c r="X217" s="17" t="str">
        <f aca="false">IF(OR(S217="",Parametros!$B$14&gt;=1),"",S217/(1-Parametros!$B$14))</f>
        <v/>
      </c>
      <c r="Y217" s="17" t="str">
        <f aca="false">IF(OR(S217="",Parametros!$B$14+Parametros!$B$18&gt;=1),"",S217/(1-Parametros!$B$14-Parametros!$B$18))</f>
        <v/>
      </c>
      <c r="Z217" s="20" t="str">
        <f aca="false">IF(B217="","",IF(S217="","FALTAN DATOS",IF(NOT(ISNUMBER(E217)),"FALTA PRECIO",IF(V217&lt;0,"PIERDE",IF(W217&lt;Parametros!$B$18,"BAJO META","OK")))))</f>
        <v/>
      </c>
      <c r="AA217" s="21" t="str">
        <f aca="false">IF(B217="","",IF(F217="","Tela. ","")&amp;IF(NOT(ISNUMBER(G217)),"Kg de tela. ","")&amp;IF(AND(F217&lt;&gt;"",NOT(ISNUMBER(IFERROR(INDEX(Precios!$D$5:$D$120,MATCH(F217,Precios!$A$5:$A$120,0)),"x")))),"Tela sin precio. ","")&amp;IF(AND(H217&lt;&gt;"",NOT(ISNUMBER(IFERROR(INDEX(Precios!$D$5:$D$120,MATCH(H217,Precios!$A$5:$A$120,0)),"x")))),"Tela 2 sin precio. ","")&amp;IF(J217="","Metros impresos. ","")&amp;IF(AND(N(J217)&gt;0,Parametros!$B$27=0),"Impresión sin costo. ","")&amp;IF(K217="","Confección. ",IF(Q217=0,"Confección sin valor. ",""))&amp;IF(NOT(ISNUMBER(E217)),"Precio de venta. ",""))</f>
        <v/>
      </c>
    </row>
    <row r="218" customFormat="false" ht="15" hidden="false" customHeight="false" outlineLevel="0" collapsed="false">
      <c r="A218" s="22"/>
      <c r="B218" s="22"/>
      <c r="C218" s="22"/>
      <c r="D218" s="13"/>
      <c r="E218" s="12"/>
      <c r="F218" s="13"/>
      <c r="G218" s="14"/>
      <c r="H218" s="13"/>
      <c r="I218" s="14"/>
      <c r="J218" s="15"/>
      <c r="K218" s="13"/>
      <c r="L218" s="12"/>
      <c r="M218" s="13"/>
      <c r="O218" s="17" t="str">
        <f aca="false">IF(B218="","",IFERROR(G218*INDEX(Precios!$D$5:$D$120,MATCH(F218,Precios!$A$5:$A$120,0)),0)+IF(H218="",0,IFERROR(I218*INDEX(Precios!$D$5:$D$120,MATCH(H218,Precios!$A$5:$A$120,0)),0)))</f>
        <v/>
      </c>
      <c r="P218" s="17" t="str">
        <f aca="false">IF(B218="","",N(J218)*Parametros!$B$27)</f>
        <v/>
      </c>
      <c r="Q218" s="17" t="str">
        <f aca="false">IF(B218="","",IFERROR(INDEX(Confeccion!$B$5:$B$100,MATCH(K218,Confeccion!$A$5:$A$100,0)),0))</f>
        <v/>
      </c>
      <c r="R218" s="17" t="str">
        <f aca="false">IF(B218="","",N(L218))</f>
        <v/>
      </c>
      <c r="S218" s="18" t="str">
        <f aca="false">IF(B218="","",IF(AND(F218&lt;&gt;"",ISNUMBER(G218),ISNUMBER(IFERROR(INDEX(Precios!$D$5:$D$120,MATCH(F218,Precios!$A$5:$A$120,0)),"x")),OR(H218="",ISNUMBER(IFERROR(INDEX(Precios!$D$5:$D$120,MATCH(H218,Precios!$A$5:$A$120,0)),"x"))),J218&lt;&gt;"",K218&lt;&gt;"",Q218&gt;0),SUM(O218:R218),""))</f>
        <v/>
      </c>
      <c r="T218" s="17" t="str">
        <f aca="false">IF(AND(S218&lt;&gt;"",ISNUMBER(E218)),E218*Parametros!$B$12,"")</f>
        <v/>
      </c>
      <c r="U218" s="17" t="str">
        <f aca="false">IF(AND(S218&lt;&gt;"",ISNUMBER(E218)),E218*Parametros!$B$13,"")</f>
        <v/>
      </c>
      <c r="V218" s="18" t="str">
        <f aca="false">IF(AND(S218&lt;&gt;"",ISNUMBER(E218)),E218-S218-T218-U218,"")</f>
        <v/>
      </c>
      <c r="W218" s="19" t="str">
        <f aca="false">IF(AND(S218&lt;&gt;"",ISNUMBER(E218)),V218/E218,"")</f>
        <v/>
      </c>
      <c r="X218" s="17" t="str">
        <f aca="false">IF(OR(S218="",Parametros!$B$14&gt;=1),"",S218/(1-Parametros!$B$14))</f>
        <v/>
      </c>
      <c r="Y218" s="17" t="str">
        <f aca="false">IF(OR(S218="",Parametros!$B$14+Parametros!$B$18&gt;=1),"",S218/(1-Parametros!$B$14-Parametros!$B$18))</f>
        <v/>
      </c>
      <c r="Z218" s="20" t="str">
        <f aca="false">IF(B218="","",IF(S218="","FALTAN DATOS",IF(NOT(ISNUMBER(E218)),"FALTA PRECIO",IF(V218&lt;0,"PIERDE",IF(W218&lt;Parametros!$B$18,"BAJO META","OK")))))</f>
        <v/>
      </c>
      <c r="AA218" s="21" t="str">
        <f aca="false">IF(B218="","",IF(F218="","Tela. ","")&amp;IF(NOT(ISNUMBER(G218)),"Kg de tela. ","")&amp;IF(AND(F218&lt;&gt;"",NOT(ISNUMBER(IFERROR(INDEX(Precios!$D$5:$D$120,MATCH(F218,Precios!$A$5:$A$120,0)),"x")))),"Tela sin precio. ","")&amp;IF(AND(H218&lt;&gt;"",NOT(ISNUMBER(IFERROR(INDEX(Precios!$D$5:$D$120,MATCH(H218,Precios!$A$5:$A$120,0)),"x")))),"Tela 2 sin precio. ","")&amp;IF(J218="","Metros impresos. ","")&amp;IF(AND(N(J218)&gt;0,Parametros!$B$27=0),"Impresión sin costo. ","")&amp;IF(K218="","Confección. ",IF(Q218=0,"Confección sin valor. ",""))&amp;IF(NOT(ISNUMBER(E218)),"Precio de venta. ",""))</f>
        <v/>
      </c>
    </row>
    <row r="219" customFormat="false" ht="15" hidden="false" customHeight="false" outlineLevel="0" collapsed="false">
      <c r="A219" s="22"/>
      <c r="B219" s="22"/>
      <c r="C219" s="22"/>
      <c r="D219" s="13"/>
      <c r="E219" s="12"/>
      <c r="F219" s="13"/>
      <c r="G219" s="14"/>
      <c r="H219" s="13"/>
      <c r="I219" s="14"/>
      <c r="J219" s="15"/>
      <c r="K219" s="13"/>
      <c r="L219" s="12"/>
      <c r="M219" s="13"/>
      <c r="O219" s="17" t="str">
        <f aca="false">IF(B219="","",IFERROR(G219*INDEX(Precios!$D$5:$D$120,MATCH(F219,Precios!$A$5:$A$120,0)),0)+IF(H219="",0,IFERROR(I219*INDEX(Precios!$D$5:$D$120,MATCH(H219,Precios!$A$5:$A$120,0)),0)))</f>
        <v/>
      </c>
      <c r="P219" s="17" t="str">
        <f aca="false">IF(B219="","",N(J219)*Parametros!$B$27)</f>
        <v/>
      </c>
      <c r="Q219" s="17" t="str">
        <f aca="false">IF(B219="","",IFERROR(INDEX(Confeccion!$B$5:$B$100,MATCH(K219,Confeccion!$A$5:$A$100,0)),0))</f>
        <v/>
      </c>
      <c r="R219" s="17" t="str">
        <f aca="false">IF(B219="","",N(L219))</f>
        <v/>
      </c>
      <c r="S219" s="18" t="str">
        <f aca="false">IF(B219="","",IF(AND(F219&lt;&gt;"",ISNUMBER(G219),ISNUMBER(IFERROR(INDEX(Precios!$D$5:$D$120,MATCH(F219,Precios!$A$5:$A$120,0)),"x")),OR(H219="",ISNUMBER(IFERROR(INDEX(Precios!$D$5:$D$120,MATCH(H219,Precios!$A$5:$A$120,0)),"x"))),J219&lt;&gt;"",K219&lt;&gt;"",Q219&gt;0),SUM(O219:R219),""))</f>
        <v/>
      </c>
      <c r="T219" s="17" t="str">
        <f aca="false">IF(AND(S219&lt;&gt;"",ISNUMBER(E219)),E219*Parametros!$B$12,"")</f>
        <v/>
      </c>
      <c r="U219" s="17" t="str">
        <f aca="false">IF(AND(S219&lt;&gt;"",ISNUMBER(E219)),E219*Parametros!$B$13,"")</f>
        <v/>
      </c>
      <c r="V219" s="18" t="str">
        <f aca="false">IF(AND(S219&lt;&gt;"",ISNUMBER(E219)),E219-S219-T219-U219,"")</f>
        <v/>
      </c>
      <c r="W219" s="19" t="str">
        <f aca="false">IF(AND(S219&lt;&gt;"",ISNUMBER(E219)),V219/E219,"")</f>
        <v/>
      </c>
      <c r="X219" s="17" t="str">
        <f aca="false">IF(OR(S219="",Parametros!$B$14&gt;=1),"",S219/(1-Parametros!$B$14))</f>
        <v/>
      </c>
      <c r="Y219" s="17" t="str">
        <f aca="false">IF(OR(S219="",Parametros!$B$14+Parametros!$B$18&gt;=1),"",S219/(1-Parametros!$B$14-Parametros!$B$18))</f>
        <v/>
      </c>
      <c r="Z219" s="20" t="str">
        <f aca="false">IF(B219="","",IF(S219="","FALTAN DATOS",IF(NOT(ISNUMBER(E219)),"FALTA PRECIO",IF(V219&lt;0,"PIERDE",IF(W219&lt;Parametros!$B$18,"BAJO META","OK")))))</f>
        <v/>
      </c>
      <c r="AA219" s="21" t="str">
        <f aca="false">IF(B219="","",IF(F219="","Tela. ","")&amp;IF(NOT(ISNUMBER(G219)),"Kg de tela. ","")&amp;IF(AND(F219&lt;&gt;"",NOT(ISNUMBER(IFERROR(INDEX(Precios!$D$5:$D$120,MATCH(F219,Precios!$A$5:$A$120,0)),"x")))),"Tela sin precio. ","")&amp;IF(AND(H219&lt;&gt;"",NOT(ISNUMBER(IFERROR(INDEX(Precios!$D$5:$D$120,MATCH(H219,Precios!$A$5:$A$120,0)),"x")))),"Tela 2 sin precio. ","")&amp;IF(J219="","Metros impresos. ","")&amp;IF(AND(N(J219)&gt;0,Parametros!$B$27=0),"Impresión sin costo. ","")&amp;IF(K219="","Confección. ",IF(Q219=0,"Confección sin valor. ",""))&amp;IF(NOT(ISNUMBER(E219)),"Precio de venta. ",""))</f>
        <v/>
      </c>
    </row>
    <row r="220" customFormat="false" ht="15" hidden="false" customHeight="false" outlineLevel="0" collapsed="false">
      <c r="A220" s="22"/>
      <c r="B220" s="22"/>
      <c r="C220" s="22"/>
      <c r="D220" s="13"/>
      <c r="E220" s="12"/>
      <c r="F220" s="13"/>
      <c r="G220" s="14"/>
      <c r="H220" s="13"/>
      <c r="I220" s="14"/>
      <c r="J220" s="15"/>
      <c r="K220" s="13"/>
      <c r="L220" s="12"/>
      <c r="M220" s="13"/>
      <c r="O220" s="17" t="str">
        <f aca="false">IF(B220="","",IFERROR(G220*INDEX(Precios!$D$5:$D$120,MATCH(F220,Precios!$A$5:$A$120,0)),0)+IF(H220="",0,IFERROR(I220*INDEX(Precios!$D$5:$D$120,MATCH(H220,Precios!$A$5:$A$120,0)),0)))</f>
        <v/>
      </c>
      <c r="P220" s="17" t="str">
        <f aca="false">IF(B220="","",N(J220)*Parametros!$B$27)</f>
        <v/>
      </c>
      <c r="Q220" s="17" t="str">
        <f aca="false">IF(B220="","",IFERROR(INDEX(Confeccion!$B$5:$B$100,MATCH(K220,Confeccion!$A$5:$A$100,0)),0))</f>
        <v/>
      </c>
      <c r="R220" s="17" t="str">
        <f aca="false">IF(B220="","",N(L220))</f>
        <v/>
      </c>
      <c r="S220" s="18" t="str">
        <f aca="false">IF(B220="","",IF(AND(F220&lt;&gt;"",ISNUMBER(G220),ISNUMBER(IFERROR(INDEX(Precios!$D$5:$D$120,MATCH(F220,Precios!$A$5:$A$120,0)),"x")),OR(H220="",ISNUMBER(IFERROR(INDEX(Precios!$D$5:$D$120,MATCH(H220,Precios!$A$5:$A$120,0)),"x"))),J220&lt;&gt;"",K220&lt;&gt;"",Q220&gt;0),SUM(O220:R220),""))</f>
        <v/>
      </c>
      <c r="T220" s="17" t="str">
        <f aca="false">IF(AND(S220&lt;&gt;"",ISNUMBER(E220)),E220*Parametros!$B$12,"")</f>
        <v/>
      </c>
      <c r="U220" s="17" t="str">
        <f aca="false">IF(AND(S220&lt;&gt;"",ISNUMBER(E220)),E220*Parametros!$B$13,"")</f>
        <v/>
      </c>
      <c r="V220" s="18" t="str">
        <f aca="false">IF(AND(S220&lt;&gt;"",ISNUMBER(E220)),E220-S220-T220-U220,"")</f>
        <v/>
      </c>
      <c r="W220" s="19" t="str">
        <f aca="false">IF(AND(S220&lt;&gt;"",ISNUMBER(E220)),V220/E220,"")</f>
        <v/>
      </c>
      <c r="X220" s="17" t="str">
        <f aca="false">IF(OR(S220="",Parametros!$B$14&gt;=1),"",S220/(1-Parametros!$B$14))</f>
        <v/>
      </c>
      <c r="Y220" s="17" t="str">
        <f aca="false">IF(OR(S220="",Parametros!$B$14+Parametros!$B$18&gt;=1),"",S220/(1-Parametros!$B$14-Parametros!$B$18))</f>
        <v/>
      </c>
      <c r="Z220" s="20" t="str">
        <f aca="false">IF(B220="","",IF(S220="","FALTAN DATOS",IF(NOT(ISNUMBER(E220)),"FALTA PRECIO",IF(V220&lt;0,"PIERDE",IF(W220&lt;Parametros!$B$18,"BAJO META","OK")))))</f>
        <v/>
      </c>
      <c r="AA220" s="21" t="str">
        <f aca="false">IF(B220="","",IF(F220="","Tela. ","")&amp;IF(NOT(ISNUMBER(G220)),"Kg de tela. ","")&amp;IF(AND(F220&lt;&gt;"",NOT(ISNUMBER(IFERROR(INDEX(Precios!$D$5:$D$120,MATCH(F220,Precios!$A$5:$A$120,0)),"x")))),"Tela sin precio. ","")&amp;IF(AND(H220&lt;&gt;"",NOT(ISNUMBER(IFERROR(INDEX(Precios!$D$5:$D$120,MATCH(H220,Precios!$A$5:$A$120,0)),"x")))),"Tela 2 sin precio. ","")&amp;IF(J220="","Metros impresos. ","")&amp;IF(AND(N(J220)&gt;0,Parametros!$B$27=0),"Impresión sin costo. ","")&amp;IF(K220="","Confección. ",IF(Q220=0,"Confección sin valor. ",""))&amp;IF(NOT(ISNUMBER(E220)),"Precio de venta. ",""))</f>
        <v/>
      </c>
    </row>
    <row r="221" customFormat="false" ht="15" hidden="false" customHeight="false" outlineLevel="0" collapsed="false">
      <c r="A221" s="22"/>
      <c r="B221" s="22"/>
      <c r="C221" s="22"/>
      <c r="D221" s="13"/>
      <c r="E221" s="12"/>
      <c r="F221" s="13"/>
      <c r="G221" s="14"/>
      <c r="H221" s="13"/>
      <c r="I221" s="14"/>
      <c r="J221" s="15"/>
      <c r="K221" s="13"/>
      <c r="L221" s="12"/>
      <c r="M221" s="13"/>
      <c r="O221" s="17" t="str">
        <f aca="false">IF(B221="","",IFERROR(G221*INDEX(Precios!$D$5:$D$120,MATCH(F221,Precios!$A$5:$A$120,0)),0)+IF(H221="",0,IFERROR(I221*INDEX(Precios!$D$5:$D$120,MATCH(H221,Precios!$A$5:$A$120,0)),0)))</f>
        <v/>
      </c>
      <c r="P221" s="17" t="str">
        <f aca="false">IF(B221="","",N(J221)*Parametros!$B$27)</f>
        <v/>
      </c>
      <c r="Q221" s="17" t="str">
        <f aca="false">IF(B221="","",IFERROR(INDEX(Confeccion!$B$5:$B$100,MATCH(K221,Confeccion!$A$5:$A$100,0)),0))</f>
        <v/>
      </c>
      <c r="R221" s="17" t="str">
        <f aca="false">IF(B221="","",N(L221))</f>
        <v/>
      </c>
      <c r="S221" s="18" t="str">
        <f aca="false">IF(B221="","",IF(AND(F221&lt;&gt;"",ISNUMBER(G221),ISNUMBER(IFERROR(INDEX(Precios!$D$5:$D$120,MATCH(F221,Precios!$A$5:$A$120,0)),"x")),OR(H221="",ISNUMBER(IFERROR(INDEX(Precios!$D$5:$D$120,MATCH(H221,Precios!$A$5:$A$120,0)),"x"))),J221&lt;&gt;"",K221&lt;&gt;"",Q221&gt;0),SUM(O221:R221),""))</f>
        <v/>
      </c>
      <c r="T221" s="17" t="str">
        <f aca="false">IF(AND(S221&lt;&gt;"",ISNUMBER(E221)),E221*Parametros!$B$12,"")</f>
        <v/>
      </c>
      <c r="U221" s="17" t="str">
        <f aca="false">IF(AND(S221&lt;&gt;"",ISNUMBER(E221)),E221*Parametros!$B$13,"")</f>
        <v/>
      </c>
      <c r="V221" s="18" t="str">
        <f aca="false">IF(AND(S221&lt;&gt;"",ISNUMBER(E221)),E221-S221-T221-U221,"")</f>
        <v/>
      </c>
      <c r="W221" s="19" t="str">
        <f aca="false">IF(AND(S221&lt;&gt;"",ISNUMBER(E221)),V221/E221,"")</f>
        <v/>
      </c>
      <c r="X221" s="17" t="str">
        <f aca="false">IF(OR(S221="",Parametros!$B$14&gt;=1),"",S221/(1-Parametros!$B$14))</f>
        <v/>
      </c>
      <c r="Y221" s="17" t="str">
        <f aca="false">IF(OR(S221="",Parametros!$B$14+Parametros!$B$18&gt;=1),"",S221/(1-Parametros!$B$14-Parametros!$B$18))</f>
        <v/>
      </c>
      <c r="Z221" s="20" t="str">
        <f aca="false">IF(B221="","",IF(S221="","FALTAN DATOS",IF(NOT(ISNUMBER(E221)),"FALTA PRECIO",IF(V221&lt;0,"PIERDE",IF(W221&lt;Parametros!$B$18,"BAJO META","OK")))))</f>
        <v/>
      </c>
      <c r="AA221" s="21" t="str">
        <f aca="false">IF(B221="","",IF(F221="","Tela. ","")&amp;IF(NOT(ISNUMBER(G221)),"Kg de tela. ","")&amp;IF(AND(F221&lt;&gt;"",NOT(ISNUMBER(IFERROR(INDEX(Precios!$D$5:$D$120,MATCH(F221,Precios!$A$5:$A$120,0)),"x")))),"Tela sin precio. ","")&amp;IF(AND(H221&lt;&gt;"",NOT(ISNUMBER(IFERROR(INDEX(Precios!$D$5:$D$120,MATCH(H221,Precios!$A$5:$A$120,0)),"x")))),"Tela 2 sin precio. ","")&amp;IF(J221="","Metros impresos. ","")&amp;IF(AND(N(J221)&gt;0,Parametros!$B$27=0),"Impresión sin costo. ","")&amp;IF(K221="","Confección. ",IF(Q221=0,"Confección sin valor. ",""))&amp;IF(NOT(ISNUMBER(E221)),"Precio de venta. ",""))</f>
        <v/>
      </c>
    </row>
    <row r="222" customFormat="false" ht="15" hidden="false" customHeight="false" outlineLevel="0" collapsed="false">
      <c r="A222" s="22"/>
      <c r="B222" s="22"/>
      <c r="C222" s="22"/>
      <c r="D222" s="13"/>
      <c r="E222" s="12"/>
      <c r="F222" s="13"/>
      <c r="G222" s="14"/>
      <c r="H222" s="13"/>
      <c r="I222" s="14"/>
      <c r="J222" s="15"/>
      <c r="K222" s="13"/>
      <c r="L222" s="12"/>
      <c r="M222" s="13"/>
      <c r="O222" s="17" t="str">
        <f aca="false">IF(B222="","",IFERROR(G222*INDEX(Precios!$D$5:$D$120,MATCH(F222,Precios!$A$5:$A$120,0)),0)+IF(H222="",0,IFERROR(I222*INDEX(Precios!$D$5:$D$120,MATCH(H222,Precios!$A$5:$A$120,0)),0)))</f>
        <v/>
      </c>
      <c r="P222" s="17" t="str">
        <f aca="false">IF(B222="","",N(J222)*Parametros!$B$27)</f>
        <v/>
      </c>
      <c r="Q222" s="17" t="str">
        <f aca="false">IF(B222="","",IFERROR(INDEX(Confeccion!$B$5:$B$100,MATCH(K222,Confeccion!$A$5:$A$100,0)),0))</f>
        <v/>
      </c>
      <c r="R222" s="17" t="str">
        <f aca="false">IF(B222="","",N(L222))</f>
        <v/>
      </c>
      <c r="S222" s="18" t="str">
        <f aca="false">IF(B222="","",IF(AND(F222&lt;&gt;"",ISNUMBER(G222),ISNUMBER(IFERROR(INDEX(Precios!$D$5:$D$120,MATCH(F222,Precios!$A$5:$A$120,0)),"x")),OR(H222="",ISNUMBER(IFERROR(INDEX(Precios!$D$5:$D$120,MATCH(H222,Precios!$A$5:$A$120,0)),"x"))),J222&lt;&gt;"",K222&lt;&gt;"",Q222&gt;0),SUM(O222:R222),""))</f>
        <v/>
      </c>
      <c r="T222" s="17" t="str">
        <f aca="false">IF(AND(S222&lt;&gt;"",ISNUMBER(E222)),E222*Parametros!$B$12,"")</f>
        <v/>
      </c>
      <c r="U222" s="17" t="str">
        <f aca="false">IF(AND(S222&lt;&gt;"",ISNUMBER(E222)),E222*Parametros!$B$13,"")</f>
        <v/>
      </c>
      <c r="V222" s="18" t="str">
        <f aca="false">IF(AND(S222&lt;&gt;"",ISNUMBER(E222)),E222-S222-T222-U222,"")</f>
        <v/>
      </c>
      <c r="W222" s="19" t="str">
        <f aca="false">IF(AND(S222&lt;&gt;"",ISNUMBER(E222)),V222/E222,"")</f>
        <v/>
      </c>
      <c r="X222" s="17" t="str">
        <f aca="false">IF(OR(S222="",Parametros!$B$14&gt;=1),"",S222/(1-Parametros!$B$14))</f>
        <v/>
      </c>
      <c r="Y222" s="17" t="str">
        <f aca="false">IF(OR(S222="",Parametros!$B$14+Parametros!$B$18&gt;=1),"",S222/(1-Parametros!$B$14-Parametros!$B$18))</f>
        <v/>
      </c>
      <c r="Z222" s="20" t="str">
        <f aca="false">IF(B222="","",IF(S222="","FALTAN DATOS",IF(NOT(ISNUMBER(E222)),"FALTA PRECIO",IF(V222&lt;0,"PIERDE",IF(W222&lt;Parametros!$B$18,"BAJO META","OK")))))</f>
        <v/>
      </c>
      <c r="AA222" s="21" t="str">
        <f aca="false">IF(B222="","",IF(F222="","Tela. ","")&amp;IF(NOT(ISNUMBER(G222)),"Kg de tela. ","")&amp;IF(AND(F222&lt;&gt;"",NOT(ISNUMBER(IFERROR(INDEX(Precios!$D$5:$D$120,MATCH(F222,Precios!$A$5:$A$120,0)),"x")))),"Tela sin precio. ","")&amp;IF(AND(H222&lt;&gt;"",NOT(ISNUMBER(IFERROR(INDEX(Precios!$D$5:$D$120,MATCH(H222,Precios!$A$5:$A$120,0)),"x")))),"Tela 2 sin precio. ","")&amp;IF(J222="","Metros impresos. ","")&amp;IF(AND(N(J222)&gt;0,Parametros!$B$27=0),"Impresión sin costo. ","")&amp;IF(K222="","Confección. ",IF(Q222=0,"Confección sin valor. ",""))&amp;IF(NOT(ISNUMBER(E222)),"Precio de venta. ",""))</f>
        <v/>
      </c>
    </row>
    <row r="223" customFormat="false" ht="15" hidden="false" customHeight="false" outlineLevel="0" collapsed="false">
      <c r="A223" s="22"/>
      <c r="B223" s="22"/>
      <c r="C223" s="22"/>
      <c r="D223" s="13"/>
      <c r="E223" s="12"/>
      <c r="F223" s="13"/>
      <c r="G223" s="14"/>
      <c r="H223" s="13"/>
      <c r="I223" s="14"/>
      <c r="J223" s="15"/>
      <c r="K223" s="13"/>
      <c r="L223" s="12"/>
      <c r="M223" s="13"/>
      <c r="O223" s="17" t="str">
        <f aca="false">IF(B223="","",IFERROR(G223*INDEX(Precios!$D$5:$D$120,MATCH(F223,Precios!$A$5:$A$120,0)),0)+IF(H223="",0,IFERROR(I223*INDEX(Precios!$D$5:$D$120,MATCH(H223,Precios!$A$5:$A$120,0)),0)))</f>
        <v/>
      </c>
      <c r="P223" s="17" t="str">
        <f aca="false">IF(B223="","",N(J223)*Parametros!$B$27)</f>
        <v/>
      </c>
      <c r="Q223" s="17" t="str">
        <f aca="false">IF(B223="","",IFERROR(INDEX(Confeccion!$B$5:$B$100,MATCH(K223,Confeccion!$A$5:$A$100,0)),0))</f>
        <v/>
      </c>
      <c r="R223" s="17" t="str">
        <f aca="false">IF(B223="","",N(L223))</f>
        <v/>
      </c>
      <c r="S223" s="18" t="str">
        <f aca="false">IF(B223="","",IF(AND(F223&lt;&gt;"",ISNUMBER(G223),ISNUMBER(IFERROR(INDEX(Precios!$D$5:$D$120,MATCH(F223,Precios!$A$5:$A$120,0)),"x")),OR(H223="",ISNUMBER(IFERROR(INDEX(Precios!$D$5:$D$120,MATCH(H223,Precios!$A$5:$A$120,0)),"x"))),J223&lt;&gt;"",K223&lt;&gt;"",Q223&gt;0),SUM(O223:R223),""))</f>
        <v/>
      </c>
      <c r="T223" s="17" t="str">
        <f aca="false">IF(AND(S223&lt;&gt;"",ISNUMBER(E223)),E223*Parametros!$B$12,"")</f>
        <v/>
      </c>
      <c r="U223" s="17" t="str">
        <f aca="false">IF(AND(S223&lt;&gt;"",ISNUMBER(E223)),E223*Parametros!$B$13,"")</f>
        <v/>
      </c>
      <c r="V223" s="18" t="str">
        <f aca="false">IF(AND(S223&lt;&gt;"",ISNUMBER(E223)),E223-S223-T223-U223,"")</f>
        <v/>
      </c>
      <c r="W223" s="19" t="str">
        <f aca="false">IF(AND(S223&lt;&gt;"",ISNUMBER(E223)),V223/E223,"")</f>
        <v/>
      </c>
      <c r="X223" s="17" t="str">
        <f aca="false">IF(OR(S223="",Parametros!$B$14&gt;=1),"",S223/(1-Parametros!$B$14))</f>
        <v/>
      </c>
      <c r="Y223" s="17" t="str">
        <f aca="false">IF(OR(S223="",Parametros!$B$14+Parametros!$B$18&gt;=1),"",S223/(1-Parametros!$B$14-Parametros!$B$18))</f>
        <v/>
      </c>
      <c r="Z223" s="20" t="str">
        <f aca="false">IF(B223="","",IF(S223="","FALTAN DATOS",IF(NOT(ISNUMBER(E223)),"FALTA PRECIO",IF(V223&lt;0,"PIERDE",IF(W223&lt;Parametros!$B$18,"BAJO META","OK")))))</f>
        <v/>
      </c>
      <c r="AA223" s="21" t="str">
        <f aca="false">IF(B223="","",IF(F223="","Tela. ","")&amp;IF(NOT(ISNUMBER(G223)),"Kg de tela. ","")&amp;IF(AND(F223&lt;&gt;"",NOT(ISNUMBER(IFERROR(INDEX(Precios!$D$5:$D$120,MATCH(F223,Precios!$A$5:$A$120,0)),"x")))),"Tela sin precio. ","")&amp;IF(AND(H223&lt;&gt;"",NOT(ISNUMBER(IFERROR(INDEX(Precios!$D$5:$D$120,MATCH(H223,Precios!$A$5:$A$120,0)),"x")))),"Tela 2 sin precio. ","")&amp;IF(J223="","Metros impresos. ","")&amp;IF(AND(N(J223)&gt;0,Parametros!$B$27=0),"Impresión sin costo. ","")&amp;IF(K223="","Confección. ",IF(Q223=0,"Confección sin valor. ",""))&amp;IF(NOT(ISNUMBER(E223)),"Precio de venta. ",""))</f>
        <v/>
      </c>
    </row>
    <row r="224" customFormat="false" ht="15" hidden="false" customHeight="false" outlineLevel="0" collapsed="false">
      <c r="A224" s="22"/>
      <c r="B224" s="22"/>
      <c r="C224" s="22"/>
      <c r="D224" s="13"/>
      <c r="E224" s="12"/>
      <c r="F224" s="13"/>
      <c r="G224" s="14"/>
      <c r="H224" s="13"/>
      <c r="I224" s="14"/>
      <c r="J224" s="15"/>
      <c r="K224" s="13"/>
      <c r="L224" s="12"/>
      <c r="M224" s="13"/>
      <c r="O224" s="17" t="str">
        <f aca="false">IF(B224="","",IFERROR(G224*INDEX(Precios!$D$5:$D$120,MATCH(F224,Precios!$A$5:$A$120,0)),0)+IF(H224="",0,IFERROR(I224*INDEX(Precios!$D$5:$D$120,MATCH(H224,Precios!$A$5:$A$120,0)),0)))</f>
        <v/>
      </c>
      <c r="P224" s="17" t="str">
        <f aca="false">IF(B224="","",N(J224)*Parametros!$B$27)</f>
        <v/>
      </c>
      <c r="Q224" s="17" t="str">
        <f aca="false">IF(B224="","",IFERROR(INDEX(Confeccion!$B$5:$B$100,MATCH(K224,Confeccion!$A$5:$A$100,0)),0))</f>
        <v/>
      </c>
      <c r="R224" s="17" t="str">
        <f aca="false">IF(B224="","",N(L224))</f>
        <v/>
      </c>
      <c r="S224" s="18" t="str">
        <f aca="false">IF(B224="","",IF(AND(F224&lt;&gt;"",ISNUMBER(G224),ISNUMBER(IFERROR(INDEX(Precios!$D$5:$D$120,MATCH(F224,Precios!$A$5:$A$120,0)),"x")),OR(H224="",ISNUMBER(IFERROR(INDEX(Precios!$D$5:$D$120,MATCH(H224,Precios!$A$5:$A$120,0)),"x"))),J224&lt;&gt;"",K224&lt;&gt;"",Q224&gt;0),SUM(O224:R224),""))</f>
        <v/>
      </c>
      <c r="T224" s="17" t="str">
        <f aca="false">IF(AND(S224&lt;&gt;"",ISNUMBER(E224)),E224*Parametros!$B$12,"")</f>
        <v/>
      </c>
      <c r="U224" s="17" t="str">
        <f aca="false">IF(AND(S224&lt;&gt;"",ISNUMBER(E224)),E224*Parametros!$B$13,"")</f>
        <v/>
      </c>
      <c r="V224" s="18" t="str">
        <f aca="false">IF(AND(S224&lt;&gt;"",ISNUMBER(E224)),E224-S224-T224-U224,"")</f>
        <v/>
      </c>
      <c r="W224" s="19" t="str">
        <f aca="false">IF(AND(S224&lt;&gt;"",ISNUMBER(E224)),V224/E224,"")</f>
        <v/>
      </c>
      <c r="X224" s="17" t="str">
        <f aca="false">IF(OR(S224="",Parametros!$B$14&gt;=1),"",S224/(1-Parametros!$B$14))</f>
        <v/>
      </c>
      <c r="Y224" s="17" t="str">
        <f aca="false">IF(OR(S224="",Parametros!$B$14+Parametros!$B$18&gt;=1),"",S224/(1-Parametros!$B$14-Parametros!$B$18))</f>
        <v/>
      </c>
      <c r="Z224" s="20" t="str">
        <f aca="false">IF(B224="","",IF(S224="","FALTAN DATOS",IF(NOT(ISNUMBER(E224)),"FALTA PRECIO",IF(V224&lt;0,"PIERDE",IF(W224&lt;Parametros!$B$18,"BAJO META","OK")))))</f>
        <v/>
      </c>
      <c r="AA224" s="21" t="str">
        <f aca="false">IF(B224="","",IF(F224="","Tela. ","")&amp;IF(NOT(ISNUMBER(G224)),"Kg de tela. ","")&amp;IF(AND(F224&lt;&gt;"",NOT(ISNUMBER(IFERROR(INDEX(Precios!$D$5:$D$120,MATCH(F224,Precios!$A$5:$A$120,0)),"x")))),"Tela sin precio. ","")&amp;IF(AND(H224&lt;&gt;"",NOT(ISNUMBER(IFERROR(INDEX(Precios!$D$5:$D$120,MATCH(H224,Precios!$A$5:$A$120,0)),"x")))),"Tela 2 sin precio. ","")&amp;IF(J224="","Metros impresos. ","")&amp;IF(AND(N(J224)&gt;0,Parametros!$B$27=0),"Impresión sin costo. ","")&amp;IF(K224="","Confección. ",IF(Q224=0,"Confección sin valor. ",""))&amp;IF(NOT(ISNUMBER(E224)),"Precio de venta. ",""))</f>
        <v/>
      </c>
    </row>
    <row r="225" customFormat="false" ht="15" hidden="false" customHeight="false" outlineLevel="0" collapsed="false">
      <c r="A225" s="22"/>
      <c r="B225" s="22"/>
      <c r="C225" s="22"/>
      <c r="D225" s="13"/>
      <c r="E225" s="12"/>
      <c r="F225" s="13"/>
      <c r="G225" s="14"/>
      <c r="H225" s="13"/>
      <c r="I225" s="14"/>
      <c r="J225" s="15"/>
      <c r="K225" s="13"/>
      <c r="L225" s="12"/>
      <c r="M225" s="13"/>
      <c r="O225" s="17" t="str">
        <f aca="false">IF(B225="","",IFERROR(G225*INDEX(Precios!$D$5:$D$120,MATCH(F225,Precios!$A$5:$A$120,0)),0)+IF(H225="",0,IFERROR(I225*INDEX(Precios!$D$5:$D$120,MATCH(H225,Precios!$A$5:$A$120,0)),0)))</f>
        <v/>
      </c>
      <c r="P225" s="17" t="str">
        <f aca="false">IF(B225="","",N(J225)*Parametros!$B$27)</f>
        <v/>
      </c>
      <c r="Q225" s="17" t="str">
        <f aca="false">IF(B225="","",IFERROR(INDEX(Confeccion!$B$5:$B$100,MATCH(K225,Confeccion!$A$5:$A$100,0)),0))</f>
        <v/>
      </c>
      <c r="R225" s="17" t="str">
        <f aca="false">IF(B225="","",N(L225))</f>
        <v/>
      </c>
      <c r="S225" s="18" t="str">
        <f aca="false">IF(B225="","",IF(AND(F225&lt;&gt;"",ISNUMBER(G225),ISNUMBER(IFERROR(INDEX(Precios!$D$5:$D$120,MATCH(F225,Precios!$A$5:$A$120,0)),"x")),OR(H225="",ISNUMBER(IFERROR(INDEX(Precios!$D$5:$D$120,MATCH(H225,Precios!$A$5:$A$120,0)),"x"))),J225&lt;&gt;"",K225&lt;&gt;"",Q225&gt;0),SUM(O225:R225),""))</f>
        <v/>
      </c>
      <c r="T225" s="17" t="str">
        <f aca="false">IF(AND(S225&lt;&gt;"",ISNUMBER(E225)),E225*Parametros!$B$12,"")</f>
        <v/>
      </c>
      <c r="U225" s="17" t="str">
        <f aca="false">IF(AND(S225&lt;&gt;"",ISNUMBER(E225)),E225*Parametros!$B$13,"")</f>
        <v/>
      </c>
      <c r="V225" s="18" t="str">
        <f aca="false">IF(AND(S225&lt;&gt;"",ISNUMBER(E225)),E225-S225-T225-U225,"")</f>
        <v/>
      </c>
      <c r="W225" s="19" t="str">
        <f aca="false">IF(AND(S225&lt;&gt;"",ISNUMBER(E225)),V225/E225,"")</f>
        <v/>
      </c>
      <c r="X225" s="17" t="str">
        <f aca="false">IF(OR(S225="",Parametros!$B$14&gt;=1),"",S225/(1-Parametros!$B$14))</f>
        <v/>
      </c>
      <c r="Y225" s="17" t="str">
        <f aca="false">IF(OR(S225="",Parametros!$B$14+Parametros!$B$18&gt;=1),"",S225/(1-Parametros!$B$14-Parametros!$B$18))</f>
        <v/>
      </c>
      <c r="Z225" s="20" t="str">
        <f aca="false">IF(B225="","",IF(S225="","FALTAN DATOS",IF(NOT(ISNUMBER(E225)),"FALTA PRECIO",IF(V225&lt;0,"PIERDE",IF(W225&lt;Parametros!$B$18,"BAJO META","OK")))))</f>
        <v/>
      </c>
      <c r="AA225" s="21" t="str">
        <f aca="false">IF(B225="","",IF(F225="","Tela. ","")&amp;IF(NOT(ISNUMBER(G225)),"Kg de tela. ","")&amp;IF(AND(F225&lt;&gt;"",NOT(ISNUMBER(IFERROR(INDEX(Precios!$D$5:$D$120,MATCH(F225,Precios!$A$5:$A$120,0)),"x")))),"Tela sin precio. ","")&amp;IF(AND(H225&lt;&gt;"",NOT(ISNUMBER(IFERROR(INDEX(Precios!$D$5:$D$120,MATCH(H225,Precios!$A$5:$A$120,0)),"x")))),"Tela 2 sin precio. ","")&amp;IF(J225="","Metros impresos. ","")&amp;IF(AND(N(J225)&gt;0,Parametros!$B$27=0),"Impresión sin costo. ","")&amp;IF(K225="","Confección. ",IF(Q225=0,"Confección sin valor. ",""))&amp;IF(NOT(ISNUMBER(E225)),"Precio de venta. ",""))</f>
        <v/>
      </c>
    </row>
    <row r="226" customFormat="false" ht="15" hidden="false" customHeight="false" outlineLevel="0" collapsed="false">
      <c r="A226" s="22"/>
      <c r="B226" s="22"/>
      <c r="C226" s="22"/>
      <c r="D226" s="13"/>
      <c r="E226" s="12"/>
      <c r="F226" s="13"/>
      <c r="G226" s="14"/>
      <c r="H226" s="13"/>
      <c r="I226" s="14"/>
      <c r="J226" s="15"/>
      <c r="K226" s="13"/>
      <c r="L226" s="12"/>
      <c r="M226" s="13"/>
      <c r="O226" s="17" t="str">
        <f aca="false">IF(B226="","",IFERROR(G226*INDEX(Precios!$D$5:$D$120,MATCH(F226,Precios!$A$5:$A$120,0)),0)+IF(H226="",0,IFERROR(I226*INDEX(Precios!$D$5:$D$120,MATCH(H226,Precios!$A$5:$A$120,0)),0)))</f>
        <v/>
      </c>
      <c r="P226" s="17" t="str">
        <f aca="false">IF(B226="","",N(J226)*Parametros!$B$27)</f>
        <v/>
      </c>
      <c r="Q226" s="17" t="str">
        <f aca="false">IF(B226="","",IFERROR(INDEX(Confeccion!$B$5:$B$100,MATCH(K226,Confeccion!$A$5:$A$100,0)),0))</f>
        <v/>
      </c>
      <c r="R226" s="17" t="str">
        <f aca="false">IF(B226="","",N(L226))</f>
        <v/>
      </c>
      <c r="S226" s="18" t="str">
        <f aca="false">IF(B226="","",IF(AND(F226&lt;&gt;"",ISNUMBER(G226),ISNUMBER(IFERROR(INDEX(Precios!$D$5:$D$120,MATCH(F226,Precios!$A$5:$A$120,0)),"x")),OR(H226="",ISNUMBER(IFERROR(INDEX(Precios!$D$5:$D$120,MATCH(H226,Precios!$A$5:$A$120,0)),"x"))),J226&lt;&gt;"",K226&lt;&gt;"",Q226&gt;0),SUM(O226:R226),""))</f>
        <v/>
      </c>
      <c r="T226" s="17" t="str">
        <f aca="false">IF(AND(S226&lt;&gt;"",ISNUMBER(E226)),E226*Parametros!$B$12,"")</f>
        <v/>
      </c>
      <c r="U226" s="17" t="str">
        <f aca="false">IF(AND(S226&lt;&gt;"",ISNUMBER(E226)),E226*Parametros!$B$13,"")</f>
        <v/>
      </c>
      <c r="V226" s="18" t="str">
        <f aca="false">IF(AND(S226&lt;&gt;"",ISNUMBER(E226)),E226-S226-T226-U226,"")</f>
        <v/>
      </c>
      <c r="W226" s="19" t="str">
        <f aca="false">IF(AND(S226&lt;&gt;"",ISNUMBER(E226)),V226/E226,"")</f>
        <v/>
      </c>
      <c r="X226" s="17" t="str">
        <f aca="false">IF(OR(S226="",Parametros!$B$14&gt;=1),"",S226/(1-Parametros!$B$14))</f>
        <v/>
      </c>
      <c r="Y226" s="17" t="str">
        <f aca="false">IF(OR(S226="",Parametros!$B$14+Parametros!$B$18&gt;=1),"",S226/(1-Parametros!$B$14-Parametros!$B$18))</f>
        <v/>
      </c>
      <c r="Z226" s="20" t="str">
        <f aca="false">IF(B226="","",IF(S226="","FALTAN DATOS",IF(NOT(ISNUMBER(E226)),"FALTA PRECIO",IF(V226&lt;0,"PIERDE",IF(W226&lt;Parametros!$B$18,"BAJO META","OK")))))</f>
        <v/>
      </c>
      <c r="AA226" s="21" t="str">
        <f aca="false">IF(B226="","",IF(F226="","Tela. ","")&amp;IF(NOT(ISNUMBER(G226)),"Kg de tela. ","")&amp;IF(AND(F226&lt;&gt;"",NOT(ISNUMBER(IFERROR(INDEX(Precios!$D$5:$D$120,MATCH(F226,Precios!$A$5:$A$120,0)),"x")))),"Tela sin precio. ","")&amp;IF(AND(H226&lt;&gt;"",NOT(ISNUMBER(IFERROR(INDEX(Precios!$D$5:$D$120,MATCH(H226,Precios!$A$5:$A$120,0)),"x")))),"Tela 2 sin precio. ","")&amp;IF(J226="","Metros impresos. ","")&amp;IF(AND(N(J226)&gt;0,Parametros!$B$27=0),"Impresión sin costo. ","")&amp;IF(K226="","Confección. ",IF(Q226=0,"Confección sin valor. ",""))&amp;IF(NOT(ISNUMBER(E226)),"Precio de venta. ",""))</f>
        <v/>
      </c>
    </row>
    <row r="227" customFormat="false" ht="15" hidden="false" customHeight="false" outlineLevel="0" collapsed="false">
      <c r="A227" s="22"/>
      <c r="B227" s="22"/>
      <c r="C227" s="22"/>
      <c r="D227" s="13"/>
      <c r="E227" s="12"/>
      <c r="F227" s="13"/>
      <c r="G227" s="14"/>
      <c r="H227" s="13"/>
      <c r="I227" s="14"/>
      <c r="J227" s="15"/>
      <c r="K227" s="13"/>
      <c r="L227" s="12"/>
      <c r="M227" s="13"/>
      <c r="O227" s="17" t="str">
        <f aca="false">IF(B227="","",IFERROR(G227*INDEX(Precios!$D$5:$D$120,MATCH(F227,Precios!$A$5:$A$120,0)),0)+IF(H227="",0,IFERROR(I227*INDEX(Precios!$D$5:$D$120,MATCH(H227,Precios!$A$5:$A$120,0)),0)))</f>
        <v/>
      </c>
      <c r="P227" s="17" t="str">
        <f aca="false">IF(B227="","",N(J227)*Parametros!$B$27)</f>
        <v/>
      </c>
      <c r="Q227" s="17" t="str">
        <f aca="false">IF(B227="","",IFERROR(INDEX(Confeccion!$B$5:$B$100,MATCH(K227,Confeccion!$A$5:$A$100,0)),0))</f>
        <v/>
      </c>
      <c r="R227" s="17" t="str">
        <f aca="false">IF(B227="","",N(L227))</f>
        <v/>
      </c>
      <c r="S227" s="18" t="str">
        <f aca="false">IF(B227="","",IF(AND(F227&lt;&gt;"",ISNUMBER(G227),ISNUMBER(IFERROR(INDEX(Precios!$D$5:$D$120,MATCH(F227,Precios!$A$5:$A$120,0)),"x")),OR(H227="",ISNUMBER(IFERROR(INDEX(Precios!$D$5:$D$120,MATCH(H227,Precios!$A$5:$A$120,0)),"x"))),J227&lt;&gt;"",K227&lt;&gt;"",Q227&gt;0),SUM(O227:R227),""))</f>
        <v/>
      </c>
      <c r="T227" s="17" t="str">
        <f aca="false">IF(AND(S227&lt;&gt;"",ISNUMBER(E227)),E227*Parametros!$B$12,"")</f>
        <v/>
      </c>
      <c r="U227" s="17" t="str">
        <f aca="false">IF(AND(S227&lt;&gt;"",ISNUMBER(E227)),E227*Parametros!$B$13,"")</f>
        <v/>
      </c>
      <c r="V227" s="18" t="str">
        <f aca="false">IF(AND(S227&lt;&gt;"",ISNUMBER(E227)),E227-S227-T227-U227,"")</f>
        <v/>
      </c>
      <c r="W227" s="19" t="str">
        <f aca="false">IF(AND(S227&lt;&gt;"",ISNUMBER(E227)),V227/E227,"")</f>
        <v/>
      </c>
      <c r="X227" s="17" t="str">
        <f aca="false">IF(OR(S227="",Parametros!$B$14&gt;=1),"",S227/(1-Parametros!$B$14))</f>
        <v/>
      </c>
      <c r="Y227" s="17" t="str">
        <f aca="false">IF(OR(S227="",Parametros!$B$14+Parametros!$B$18&gt;=1),"",S227/(1-Parametros!$B$14-Parametros!$B$18))</f>
        <v/>
      </c>
      <c r="Z227" s="20" t="str">
        <f aca="false">IF(B227="","",IF(S227="","FALTAN DATOS",IF(NOT(ISNUMBER(E227)),"FALTA PRECIO",IF(V227&lt;0,"PIERDE",IF(W227&lt;Parametros!$B$18,"BAJO META","OK")))))</f>
        <v/>
      </c>
      <c r="AA227" s="21" t="str">
        <f aca="false">IF(B227="","",IF(F227="","Tela. ","")&amp;IF(NOT(ISNUMBER(G227)),"Kg de tela. ","")&amp;IF(AND(F227&lt;&gt;"",NOT(ISNUMBER(IFERROR(INDEX(Precios!$D$5:$D$120,MATCH(F227,Precios!$A$5:$A$120,0)),"x")))),"Tela sin precio. ","")&amp;IF(AND(H227&lt;&gt;"",NOT(ISNUMBER(IFERROR(INDEX(Precios!$D$5:$D$120,MATCH(H227,Precios!$A$5:$A$120,0)),"x")))),"Tela 2 sin precio. ","")&amp;IF(J227="","Metros impresos. ","")&amp;IF(AND(N(J227)&gt;0,Parametros!$B$27=0),"Impresión sin costo. ","")&amp;IF(K227="","Confección. ",IF(Q227=0,"Confección sin valor. ",""))&amp;IF(NOT(ISNUMBER(E227)),"Precio de venta. ",""))</f>
        <v/>
      </c>
    </row>
    <row r="228" customFormat="false" ht="15" hidden="false" customHeight="false" outlineLevel="0" collapsed="false">
      <c r="A228" s="22"/>
      <c r="B228" s="22"/>
      <c r="C228" s="22"/>
      <c r="D228" s="13"/>
      <c r="E228" s="12"/>
      <c r="F228" s="13"/>
      <c r="G228" s="14"/>
      <c r="H228" s="13"/>
      <c r="I228" s="14"/>
      <c r="J228" s="15"/>
      <c r="K228" s="13"/>
      <c r="L228" s="12"/>
      <c r="M228" s="13"/>
      <c r="O228" s="17" t="str">
        <f aca="false">IF(B228="","",IFERROR(G228*INDEX(Precios!$D$5:$D$120,MATCH(F228,Precios!$A$5:$A$120,0)),0)+IF(H228="",0,IFERROR(I228*INDEX(Precios!$D$5:$D$120,MATCH(H228,Precios!$A$5:$A$120,0)),0)))</f>
        <v/>
      </c>
      <c r="P228" s="17" t="str">
        <f aca="false">IF(B228="","",N(J228)*Parametros!$B$27)</f>
        <v/>
      </c>
      <c r="Q228" s="17" t="str">
        <f aca="false">IF(B228="","",IFERROR(INDEX(Confeccion!$B$5:$B$100,MATCH(K228,Confeccion!$A$5:$A$100,0)),0))</f>
        <v/>
      </c>
      <c r="R228" s="17" t="str">
        <f aca="false">IF(B228="","",N(L228))</f>
        <v/>
      </c>
      <c r="S228" s="18" t="str">
        <f aca="false">IF(B228="","",IF(AND(F228&lt;&gt;"",ISNUMBER(G228),ISNUMBER(IFERROR(INDEX(Precios!$D$5:$D$120,MATCH(F228,Precios!$A$5:$A$120,0)),"x")),OR(H228="",ISNUMBER(IFERROR(INDEX(Precios!$D$5:$D$120,MATCH(H228,Precios!$A$5:$A$120,0)),"x"))),J228&lt;&gt;"",K228&lt;&gt;"",Q228&gt;0),SUM(O228:R228),""))</f>
        <v/>
      </c>
      <c r="T228" s="17" t="str">
        <f aca="false">IF(AND(S228&lt;&gt;"",ISNUMBER(E228)),E228*Parametros!$B$12,"")</f>
        <v/>
      </c>
      <c r="U228" s="17" t="str">
        <f aca="false">IF(AND(S228&lt;&gt;"",ISNUMBER(E228)),E228*Parametros!$B$13,"")</f>
        <v/>
      </c>
      <c r="V228" s="18" t="str">
        <f aca="false">IF(AND(S228&lt;&gt;"",ISNUMBER(E228)),E228-S228-T228-U228,"")</f>
        <v/>
      </c>
      <c r="W228" s="19" t="str">
        <f aca="false">IF(AND(S228&lt;&gt;"",ISNUMBER(E228)),V228/E228,"")</f>
        <v/>
      </c>
      <c r="X228" s="17" t="str">
        <f aca="false">IF(OR(S228="",Parametros!$B$14&gt;=1),"",S228/(1-Parametros!$B$14))</f>
        <v/>
      </c>
      <c r="Y228" s="17" t="str">
        <f aca="false">IF(OR(S228="",Parametros!$B$14+Parametros!$B$18&gt;=1),"",S228/(1-Parametros!$B$14-Parametros!$B$18))</f>
        <v/>
      </c>
      <c r="Z228" s="20" t="str">
        <f aca="false">IF(B228="","",IF(S228="","FALTAN DATOS",IF(NOT(ISNUMBER(E228)),"FALTA PRECIO",IF(V228&lt;0,"PIERDE",IF(W228&lt;Parametros!$B$18,"BAJO META","OK")))))</f>
        <v/>
      </c>
      <c r="AA228" s="21" t="str">
        <f aca="false">IF(B228="","",IF(F228="","Tela. ","")&amp;IF(NOT(ISNUMBER(G228)),"Kg de tela. ","")&amp;IF(AND(F228&lt;&gt;"",NOT(ISNUMBER(IFERROR(INDEX(Precios!$D$5:$D$120,MATCH(F228,Precios!$A$5:$A$120,0)),"x")))),"Tela sin precio. ","")&amp;IF(AND(H228&lt;&gt;"",NOT(ISNUMBER(IFERROR(INDEX(Precios!$D$5:$D$120,MATCH(H228,Precios!$A$5:$A$120,0)),"x")))),"Tela 2 sin precio. ","")&amp;IF(J228="","Metros impresos. ","")&amp;IF(AND(N(J228)&gt;0,Parametros!$B$27=0),"Impresión sin costo. ","")&amp;IF(K228="","Confección. ",IF(Q228=0,"Confección sin valor. ",""))&amp;IF(NOT(ISNUMBER(E228)),"Precio de venta. ",""))</f>
        <v/>
      </c>
    </row>
    <row r="229" customFormat="false" ht="15" hidden="false" customHeight="false" outlineLevel="0" collapsed="false">
      <c r="A229" s="22"/>
      <c r="B229" s="22"/>
      <c r="C229" s="22"/>
      <c r="D229" s="13"/>
      <c r="E229" s="12"/>
      <c r="F229" s="13"/>
      <c r="G229" s="14"/>
      <c r="H229" s="13"/>
      <c r="I229" s="14"/>
      <c r="J229" s="15"/>
      <c r="K229" s="13"/>
      <c r="L229" s="12"/>
      <c r="M229" s="13"/>
      <c r="O229" s="17" t="str">
        <f aca="false">IF(B229="","",IFERROR(G229*INDEX(Precios!$D$5:$D$120,MATCH(F229,Precios!$A$5:$A$120,0)),0)+IF(H229="",0,IFERROR(I229*INDEX(Precios!$D$5:$D$120,MATCH(H229,Precios!$A$5:$A$120,0)),0)))</f>
        <v/>
      </c>
      <c r="P229" s="17" t="str">
        <f aca="false">IF(B229="","",N(J229)*Parametros!$B$27)</f>
        <v/>
      </c>
      <c r="Q229" s="17" t="str">
        <f aca="false">IF(B229="","",IFERROR(INDEX(Confeccion!$B$5:$B$100,MATCH(K229,Confeccion!$A$5:$A$100,0)),0))</f>
        <v/>
      </c>
      <c r="R229" s="17" t="str">
        <f aca="false">IF(B229="","",N(L229))</f>
        <v/>
      </c>
      <c r="S229" s="18" t="str">
        <f aca="false">IF(B229="","",IF(AND(F229&lt;&gt;"",ISNUMBER(G229),ISNUMBER(IFERROR(INDEX(Precios!$D$5:$D$120,MATCH(F229,Precios!$A$5:$A$120,0)),"x")),OR(H229="",ISNUMBER(IFERROR(INDEX(Precios!$D$5:$D$120,MATCH(H229,Precios!$A$5:$A$120,0)),"x"))),J229&lt;&gt;"",K229&lt;&gt;"",Q229&gt;0),SUM(O229:R229),""))</f>
        <v/>
      </c>
      <c r="T229" s="17" t="str">
        <f aca="false">IF(AND(S229&lt;&gt;"",ISNUMBER(E229)),E229*Parametros!$B$12,"")</f>
        <v/>
      </c>
      <c r="U229" s="17" t="str">
        <f aca="false">IF(AND(S229&lt;&gt;"",ISNUMBER(E229)),E229*Parametros!$B$13,"")</f>
        <v/>
      </c>
      <c r="V229" s="18" t="str">
        <f aca="false">IF(AND(S229&lt;&gt;"",ISNUMBER(E229)),E229-S229-T229-U229,"")</f>
        <v/>
      </c>
      <c r="W229" s="19" t="str">
        <f aca="false">IF(AND(S229&lt;&gt;"",ISNUMBER(E229)),V229/E229,"")</f>
        <v/>
      </c>
      <c r="X229" s="17" t="str">
        <f aca="false">IF(OR(S229="",Parametros!$B$14&gt;=1),"",S229/(1-Parametros!$B$14))</f>
        <v/>
      </c>
      <c r="Y229" s="17" t="str">
        <f aca="false">IF(OR(S229="",Parametros!$B$14+Parametros!$B$18&gt;=1),"",S229/(1-Parametros!$B$14-Parametros!$B$18))</f>
        <v/>
      </c>
      <c r="Z229" s="20" t="str">
        <f aca="false">IF(B229="","",IF(S229="","FALTAN DATOS",IF(NOT(ISNUMBER(E229)),"FALTA PRECIO",IF(V229&lt;0,"PIERDE",IF(W229&lt;Parametros!$B$18,"BAJO META","OK")))))</f>
        <v/>
      </c>
      <c r="AA229" s="21" t="str">
        <f aca="false">IF(B229="","",IF(F229="","Tela. ","")&amp;IF(NOT(ISNUMBER(G229)),"Kg de tela. ","")&amp;IF(AND(F229&lt;&gt;"",NOT(ISNUMBER(IFERROR(INDEX(Precios!$D$5:$D$120,MATCH(F229,Precios!$A$5:$A$120,0)),"x")))),"Tela sin precio. ","")&amp;IF(AND(H229&lt;&gt;"",NOT(ISNUMBER(IFERROR(INDEX(Precios!$D$5:$D$120,MATCH(H229,Precios!$A$5:$A$120,0)),"x")))),"Tela 2 sin precio. ","")&amp;IF(J229="","Metros impresos. ","")&amp;IF(AND(N(J229)&gt;0,Parametros!$B$27=0),"Impresión sin costo. ","")&amp;IF(K229="","Confección. ",IF(Q229=0,"Confección sin valor. ",""))&amp;IF(NOT(ISNUMBER(E229)),"Precio de venta. ",""))</f>
        <v/>
      </c>
    </row>
    <row r="230" customFormat="false" ht="15" hidden="false" customHeight="false" outlineLevel="0" collapsed="false">
      <c r="A230" s="22"/>
      <c r="B230" s="22"/>
      <c r="C230" s="22"/>
      <c r="D230" s="13"/>
      <c r="E230" s="12"/>
      <c r="F230" s="13"/>
      <c r="G230" s="14"/>
      <c r="H230" s="13"/>
      <c r="I230" s="14"/>
      <c r="J230" s="15"/>
      <c r="K230" s="13"/>
      <c r="L230" s="12"/>
      <c r="M230" s="13"/>
      <c r="O230" s="17" t="str">
        <f aca="false">IF(B230="","",IFERROR(G230*INDEX(Precios!$D$5:$D$120,MATCH(F230,Precios!$A$5:$A$120,0)),0)+IF(H230="",0,IFERROR(I230*INDEX(Precios!$D$5:$D$120,MATCH(H230,Precios!$A$5:$A$120,0)),0)))</f>
        <v/>
      </c>
      <c r="P230" s="17" t="str">
        <f aca="false">IF(B230="","",N(J230)*Parametros!$B$27)</f>
        <v/>
      </c>
      <c r="Q230" s="17" t="str">
        <f aca="false">IF(B230="","",IFERROR(INDEX(Confeccion!$B$5:$B$100,MATCH(K230,Confeccion!$A$5:$A$100,0)),0))</f>
        <v/>
      </c>
      <c r="R230" s="17" t="str">
        <f aca="false">IF(B230="","",N(L230))</f>
        <v/>
      </c>
      <c r="S230" s="18" t="str">
        <f aca="false">IF(B230="","",IF(AND(F230&lt;&gt;"",ISNUMBER(G230),ISNUMBER(IFERROR(INDEX(Precios!$D$5:$D$120,MATCH(F230,Precios!$A$5:$A$120,0)),"x")),OR(H230="",ISNUMBER(IFERROR(INDEX(Precios!$D$5:$D$120,MATCH(H230,Precios!$A$5:$A$120,0)),"x"))),J230&lt;&gt;"",K230&lt;&gt;"",Q230&gt;0),SUM(O230:R230),""))</f>
        <v/>
      </c>
      <c r="T230" s="17" t="str">
        <f aca="false">IF(AND(S230&lt;&gt;"",ISNUMBER(E230)),E230*Parametros!$B$12,"")</f>
        <v/>
      </c>
      <c r="U230" s="17" t="str">
        <f aca="false">IF(AND(S230&lt;&gt;"",ISNUMBER(E230)),E230*Parametros!$B$13,"")</f>
        <v/>
      </c>
      <c r="V230" s="18" t="str">
        <f aca="false">IF(AND(S230&lt;&gt;"",ISNUMBER(E230)),E230-S230-T230-U230,"")</f>
        <v/>
      </c>
      <c r="W230" s="19" t="str">
        <f aca="false">IF(AND(S230&lt;&gt;"",ISNUMBER(E230)),V230/E230,"")</f>
        <v/>
      </c>
      <c r="X230" s="17" t="str">
        <f aca="false">IF(OR(S230="",Parametros!$B$14&gt;=1),"",S230/(1-Parametros!$B$14))</f>
        <v/>
      </c>
      <c r="Y230" s="17" t="str">
        <f aca="false">IF(OR(S230="",Parametros!$B$14+Parametros!$B$18&gt;=1),"",S230/(1-Parametros!$B$14-Parametros!$B$18))</f>
        <v/>
      </c>
      <c r="Z230" s="20" t="str">
        <f aca="false">IF(B230="","",IF(S230="","FALTAN DATOS",IF(NOT(ISNUMBER(E230)),"FALTA PRECIO",IF(V230&lt;0,"PIERDE",IF(W230&lt;Parametros!$B$18,"BAJO META","OK")))))</f>
        <v/>
      </c>
      <c r="AA230" s="21" t="str">
        <f aca="false">IF(B230="","",IF(F230="","Tela. ","")&amp;IF(NOT(ISNUMBER(G230)),"Kg de tela. ","")&amp;IF(AND(F230&lt;&gt;"",NOT(ISNUMBER(IFERROR(INDEX(Precios!$D$5:$D$120,MATCH(F230,Precios!$A$5:$A$120,0)),"x")))),"Tela sin precio. ","")&amp;IF(AND(H230&lt;&gt;"",NOT(ISNUMBER(IFERROR(INDEX(Precios!$D$5:$D$120,MATCH(H230,Precios!$A$5:$A$120,0)),"x")))),"Tela 2 sin precio. ","")&amp;IF(J230="","Metros impresos. ","")&amp;IF(AND(N(J230)&gt;0,Parametros!$B$27=0),"Impresión sin costo. ","")&amp;IF(K230="","Confección. ",IF(Q230=0,"Confección sin valor. ",""))&amp;IF(NOT(ISNUMBER(E230)),"Precio de venta. ",""))</f>
        <v/>
      </c>
    </row>
    <row r="231" customFormat="false" ht="15" hidden="false" customHeight="false" outlineLevel="0" collapsed="false">
      <c r="A231" s="22"/>
      <c r="B231" s="22"/>
      <c r="C231" s="22"/>
      <c r="D231" s="13"/>
      <c r="E231" s="12"/>
      <c r="F231" s="13"/>
      <c r="G231" s="14"/>
      <c r="H231" s="13"/>
      <c r="I231" s="14"/>
      <c r="J231" s="15"/>
      <c r="K231" s="13"/>
      <c r="L231" s="12"/>
      <c r="M231" s="13"/>
      <c r="O231" s="17" t="str">
        <f aca="false">IF(B231="","",IFERROR(G231*INDEX(Precios!$D$5:$D$120,MATCH(F231,Precios!$A$5:$A$120,0)),0)+IF(H231="",0,IFERROR(I231*INDEX(Precios!$D$5:$D$120,MATCH(H231,Precios!$A$5:$A$120,0)),0)))</f>
        <v/>
      </c>
      <c r="P231" s="17" t="str">
        <f aca="false">IF(B231="","",N(J231)*Parametros!$B$27)</f>
        <v/>
      </c>
      <c r="Q231" s="17" t="str">
        <f aca="false">IF(B231="","",IFERROR(INDEX(Confeccion!$B$5:$B$100,MATCH(K231,Confeccion!$A$5:$A$100,0)),0))</f>
        <v/>
      </c>
      <c r="R231" s="17" t="str">
        <f aca="false">IF(B231="","",N(L231))</f>
        <v/>
      </c>
      <c r="S231" s="18" t="str">
        <f aca="false">IF(B231="","",IF(AND(F231&lt;&gt;"",ISNUMBER(G231),ISNUMBER(IFERROR(INDEX(Precios!$D$5:$D$120,MATCH(F231,Precios!$A$5:$A$120,0)),"x")),OR(H231="",ISNUMBER(IFERROR(INDEX(Precios!$D$5:$D$120,MATCH(H231,Precios!$A$5:$A$120,0)),"x"))),J231&lt;&gt;"",K231&lt;&gt;"",Q231&gt;0),SUM(O231:R231),""))</f>
        <v/>
      </c>
      <c r="T231" s="17" t="str">
        <f aca="false">IF(AND(S231&lt;&gt;"",ISNUMBER(E231)),E231*Parametros!$B$12,"")</f>
        <v/>
      </c>
      <c r="U231" s="17" t="str">
        <f aca="false">IF(AND(S231&lt;&gt;"",ISNUMBER(E231)),E231*Parametros!$B$13,"")</f>
        <v/>
      </c>
      <c r="V231" s="18" t="str">
        <f aca="false">IF(AND(S231&lt;&gt;"",ISNUMBER(E231)),E231-S231-T231-U231,"")</f>
        <v/>
      </c>
      <c r="W231" s="19" t="str">
        <f aca="false">IF(AND(S231&lt;&gt;"",ISNUMBER(E231)),V231/E231,"")</f>
        <v/>
      </c>
      <c r="X231" s="17" t="str">
        <f aca="false">IF(OR(S231="",Parametros!$B$14&gt;=1),"",S231/(1-Parametros!$B$14))</f>
        <v/>
      </c>
      <c r="Y231" s="17" t="str">
        <f aca="false">IF(OR(S231="",Parametros!$B$14+Parametros!$B$18&gt;=1),"",S231/(1-Parametros!$B$14-Parametros!$B$18))</f>
        <v/>
      </c>
      <c r="Z231" s="20" t="str">
        <f aca="false">IF(B231="","",IF(S231="","FALTAN DATOS",IF(NOT(ISNUMBER(E231)),"FALTA PRECIO",IF(V231&lt;0,"PIERDE",IF(W231&lt;Parametros!$B$18,"BAJO META","OK")))))</f>
        <v/>
      </c>
      <c r="AA231" s="21" t="str">
        <f aca="false">IF(B231="","",IF(F231="","Tela. ","")&amp;IF(NOT(ISNUMBER(G231)),"Kg de tela. ","")&amp;IF(AND(F231&lt;&gt;"",NOT(ISNUMBER(IFERROR(INDEX(Precios!$D$5:$D$120,MATCH(F231,Precios!$A$5:$A$120,0)),"x")))),"Tela sin precio. ","")&amp;IF(AND(H231&lt;&gt;"",NOT(ISNUMBER(IFERROR(INDEX(Precios!$D$5:$D$120,MATCH(H231,Precios!$A$5:$A$120,0)),"x")))),"Tela 2 sin precio. ","")&amp;IF(J231="","Metros impresos. ","")&amp;IF(AND(N(J231)&gt;0,Parametros!$B$27=0),"Impresión sin costo. ","")&amp;IF(K231="","Confección. ",IF(Q231=0,"Confección sin valor. ",""))&amp;IF(NOT(ISNUMBER(E231)),"Precio de venta. ",""))</f>
        <v/>
      </c>
    </row>
    <row r="232" customFormat="false" ht="15" hidden="false" customHeight="false" outlineLevel="0" collapsed="false">
      <c r="A232" s="22"/>
      <c r="B232" s="22"/>
      <c r="C232" s="22"/>
      <c r="D232" s="13"/>
      <c r="E232" s="12"/>
      <c r="F232" s="13"/>
      <c r="G232" s="14"/>
      <c r="H232" s="13"/>
      <c r="I232" s="14"/>
      <c r="J232" s="15"/>
      <c r="K232" s="13"/>
      <c r="L232" s="12"/>
      <c r="M232" s="13"/>
      <c r="O232" s="17" t="str">
        <f aca="false">IF(B232="","",IFERROR(G232*INDEX(Precios!$D$5:$D$120,MATCH(F232,Precios!$A$5:$A$120,0)),0)+IF(H232="",0,IFERROR(I232*INDEX(Precios!$D$5:$D$120,MATCH(H232,Precios!$A$5:$A$120,0)),0)))</f>
        <v/>
      </c>
      <c r="P232" s="17" t="str">
        <f aca="false">IF(B232="","",N(J232)*Parametros!$B$27)</f>
        <v/>
      </c>
      <c r="Q232" s="17" t="str">
        <f aca="false">IF(B232="","",IFERROR(INDEX(Confeccion!$B$5:$B$100,MATCH(K232,Confeccion!$A$5:$A$100,0)),0))</f>
        <v/>
      </c>
      <c r="R232" s="17" t="str">
        <f aca="false">IF(B232="","",N(L232))</f>
        <v/>
      </c>
      <c r="S232" s="18" t="str">
        <f aca="false">IF(B232="","",IF(AND(F232&lt;&gt;"",ISNUMBER(G232),ISNUMBER(IFERROR(INDEX(Precios!$D$5:$D$120,MATCH(F232,Precios!$A$5:$A$120,0)),"x")),OR(H232="",ISNUMBER(IFERROR(INDEX(Precios!$D$5:$D$120,MATCH(H232,Precios!$A$5:$A$120,0)),"x"))),J232&lt;&gt;"",K232&lt;&gt;"",Q232&gt;0),SUM(O232:R232),""))</f>
        <v/>
      </c>
      <c r="T232" s="17" t="str">
        <f aca="false">IF(AND(S232&lt;&gt;"",ISNUMBER(E232)),E232*Parametros!$B$12,"")</f>
        <v/>
      </c>
      <c r="U232" s="17" t="str">
        <f aca="false">IF(AND(S232&lt;&gt;"",ISNUMBER(E232)),E232*Parametros!$B$13,"")</f>
        <v/>
      </c>
      <c r="V232" s="18" t="str">
        <f aca="false">IF(AND(S232&lt;&gt;"",ISNUMBER(E232)),E232-S232-T232-U232,"")</f>
        <v/>
      </c>
      <c r="W232" s="19" t="str">
        <f aca="false">IF(AND(S232&lt;&gt;"",ISNUMBER(E232)),V232/E232,"")</f>
        <v/>
      </c>
      <c r="X232" s="17" t="str">
        <f aca="false">IF(OR(S232="",Parametros!$B$14&gt;=1),"",S232/(1-Parametros!$B$14))</f>
        <v/>
      </c>
      <c r="Y232" s="17" t="str">
        <f aca="false">IF(OR(S232="",Parametros!$B$14+Parametros!$B$18&gt;=1),"",S232/(1-Parametros!$B$14-Parametros!$B$18))</f>
        <v/>
      </c>
      <c r="Z232" s="20" t="str">
        <f aca="false">IF(B232="","",IF(S232="","FALTAN DATOS",IF(NOT(ISNUMBER(E232)),"FALTA PRECIO",IF(V232&lt;0,"PIERDE",IF(W232&lt;Parametros!$B$18,"BAJO META","OK")))))</f>
        <v/>
      </c>
      <c r="AA232" s="21" t="str">
        <f aca="false">IF(B232="","",IF(F232="","Tela. ","")&amp;IF(NOT(ISNUMBER(G232)),"Kg de tela. ","")&amp;IF(AND(F232&lt;&gt;"",NOT(ISNUMBER(IFERROR(INDEX(Precios!$D$5:$D$120,MATCH(F232,Precios!$A$5:$A$120,0)),"x")))),"Tela sin precio. ","")&amp;IF(AND(H232&lt;&gt;"",NOT(ISNUMBER(IFERROR(INDEX(Precios!$D$5:$D$120,MATCH(H232,Precios!$A$5:$A$120,0)),"x")))),"Tela 2 sin precio. ","")&amp;IF(J232="","Metros impresos. ","")&amp;IF(AND(N(J232)&gt;0,Parametros!$B$27=0),"Impresión sin costo. ","")&amp;IF(K232="","Confección. ",IF(Q232=0,"Confección sin valor. ",""))&amp;IF(NOT(ISNUMBER(E232)),"Precio de venta. ",""))</f>
        <v/>
      </c>
    </row>
    <row r="233" customFormat="false" ht="15" hidden="false" customHeight="false" outlineLevel="0" collapsed="false">
      <c r="A233" s="22"/>
      <c r="B233" s="22"/>
      <c r="C233" s="22"/>
      <c r="D233" s="13"/>
      <c r="E233" s="12"/>
      <c r="F233" s="13"/>
      <c r="G233" s="14"/>
      <c r="H233" s="13"/>
      <c r="I233" s="14"/>
      <c r="J233" s="15"/>
      <c r="K233" s="13"/>
      <c r="L233" s="12"/>
      <c r="M233" s="13"/>
      <c r="O233" s="17" t="str">
        <f aca="false">IF(B233="","",IFERROR(G233*INDEX(Precios!$D$5:$D$120,MATCH(F233,Precios!$A$5:$A$120,0)),0)+IF(H233="",0,IFERROR(I233*INDEX(Precios!$D$5:$D$120,MATCH(H233,Precios!$A$5:$A$120,0)),0)))</f>
        <v/>
      </c>
      <c r="P233" s="17" t="str">
        <f aca="false">IF(B233="","",N(J233)*Parametros!$B$27)</f>
        <v/>
      </c>
      <c r="Q233" s="17" t="str">
        <f aca="false">IF(B233="","",IFERROR(INDEX(Confeccion!$B$5:$B$100,MATCH(K233,Confeccion!$A$5:$A$100,0)),0))</f>
        <v/>
      </c>
      <c r="R233" s="17" t="str">
        <f aca="false">IF(B233="","",N(L233))</f>
        <v/>
      </c>
      <c r="S233" s="18" t="str">
        <f aca="false">IF(B233="","",IF(AND(F233&lt;&gt;"",ISNUMBER(G233),ISNUMBER(IFERROR(INDEX(Precios!$D$5:$D$120,MATCH(F233,Precios!$A$5:$A$120,0)),"x")),OR(H233="",ISNUMBER(IFERROR(INDEX(Precios!$D$5:$D$120,MATCH(H233,Precios!$A$5:$A$120,0)),"x"))),J233&lt;&gt;"",K233&lt;&gt;"",Q233&gt;0),SUM(O233:R233),""))</f>
        <v/>
      </c>
      <c r="T233" s="17" t="str">
        <f aca="false">IF(AND(S233&lt;&gt;"",ISNUMBER(E233)),E233*Parametros!$B$12,"")</f>
        <v/>
      </c>
      <c r="U233" s="17" t="str">
        <f aca="false">IF(AND(S233&lt;&gt;"",ISNUMBER(E233)),E233*Parametros!$B$13,"")</f>
        <v/>
      </c>
      <c r="V233" s="18" t="str">
        <f aca="false">IF(AND(S233&lt;&gt;"",ISNUMBER(E233)),E233-S233-T233-U233,"")</f>
        <v/>
      </c>
      <c r="W233" s="19" t="str">
        <f aca="false">IF(AND(S233&lt;&gt;"",ISNUMBER(E233)),V233/E233,"")</f>
        <v/>
      </c>
      <c r="X233" s="17" t="str">
        <f aca="false">IF(OR(S233="",Parametros!$B$14&gt;=1),"",S233/(1-Parametros!$B$14))</f>
        <v/>
      </c>
      <c r="Y233" s="17" t="str">
        <f aca="false">IF(OR(S233="",Parametros!$B$14+Parametros!$B$18&gt;=1),"",S233/(1-Parametros!$B$14-Parametros!$B$18))</f>
        <v/>
      </c>
      <c r="Z233" s="20" t="str">
        <f aca="false">IF(B233="","",IF(S233="","FALTAN DATOS",IF(NOT(ISNUMBER(E233)),"FALTA PRECIO",IF(V233&lt;0,"PIERDE",IF(W233&lt;Parametros!$B$18,"BAJO META","OK")))))</f>
        <v/>
      </c>
      <c r="AA233" s="21" t="str">
        <f aca="false">IF(B233="","",IF(F233="","Tela. ","")&amp;IF(NOT(ISNUMBER(G233)),"Kg de tela. ","")&amp;IF(AND(F233&lt;&gt;"",NOT(ISNUMBER(IFERROR(INDEX(Precios!$D$5:$D$120,MATCH(F233,Precios!$A$5:$A$120,0)),"x")))),"Tela sin precio. ","")&amp;IF(AND(H233&lt;&gt;"",NOT(ISNUMBER(IFERROR(INDEX(Precios!$D$5:$D$120,MATCH(H233,Precios!$A$5:$A$120,0)),"x")))),"Tela 2 sin precio. ","")&amp;IF(J233="","Metros impresos. ","")&amp;IF(AND(N(J233)&gt;0,Parametros!$B$27=0),"Impresión sin costo. ","")&amp;IF(K233="","Confección. ",IF(Q233=0,"Confección sin valor. ",""))&amp;IF(NOT(ISNUMBER(E233)),"Precio de venta. ",""))</f>
        <v/>
      </c>
    </row>
    <row r="234" customFormat="false" ht="15" hidden="false" customHeight="false" outlineLevel="0" collapsed="false">
      <c r="A234" s="22"/>
      <c r="B234" s="22"/>
      <c r="C234" s="22"/>
      <c r="D234" s="13"/>
      <c r="E234" s="12"/>
      <c r="F234" s="13"/>
      <c r="G234" s="14"/>
      <c r="H234" s="13"/>
      <c r="I234" s="14"/>
      <c r="J234" s="15"/>
      <c r="K234" s="13"/>
      <c r="L234" s="12"/>
      <c r="M234" s="13"/>
      <c r="O234" s="17" t="str">
        <f aca="false">IF(B234="","",IFERROR(G234*INDEX(Precios!$D$5:$D$120,MATCH(F234,Precios!$A$5:$A$120,0)),0)+IF(H234="",0,IFERROR(I234*INDEX(Precios!$D$5:$D$120,MATCH(H234,Precios!$A$5:$A$120,0)),0)))</f>
        <v/>
      </c>
      <c r="P234" s="17" t="str">
        <f aca="false">IF(B234="","",N(J234)*Parametros!$B$27)</f>
        <v/>
      </c>
      <c r="Q234" s="17" t="str">
        <f aca="false">IF(B234="","",IFERROR(INDEX(Confeccion!$B$5:$B$100,MATCH(K234,Confeccion!$A$5:$A$100,0)),0))</f>
        <v/>
      </c>
      <c r="R234" s="17" t="str">
        <f aca="false">IF(B234="","",N(L234))</f>
        <v/>
      </c>
      <c r="S234" s="18" t="str">
        <f aca="false">IF(B234="","",IF(AND(F234&lt;&gt;"",ISNUMBER(G234),ISNUMBER(IFERROR(INDEX(Precios!$D$5:$D$120,MATCH(F234,Precios!$A$5:$A$120,0)),"x")),OR(H234="",ISNUMBER(IFERROR(INDEX(Precios!$D$5:$D$120,MATCH(H234,Precios!$A$5:$A$120,0)),"x"))),J234&lt;&gt;"",K234&lt;&gt;"",Q234&gt;0),SUM(O234:R234),""))</f>
        <v/>
      </c>
      <c r="T234" s="17" t="str">
        <f aca="false">IF(AND(S234&lt;&gt;"",ISNUMBER(E234)),E234*Parametros!$B$12,"")</f>
        <v/>
      </c>
      <c r="U234" s="17" t="str">
        <f aca="false">IF(AND(S234&lt;&gt;"",ISNUMBER(E234)),E234*Parametros!$B$13,"")</f>
        <v/>
      </c>
      <c r="V234" s="18" t="str">
        <f aca="false">IF(AND(S234&lt;&gt;"",ISNUMBER(E234)),E234-S234-T234-U234,"")</f>
        <v/>
      </c>
      <c r="W234" s="19" t="str">
        <f aca="false">IF(AND(S234&lt;&gt;"",ISNUMBER(E234)),V234/E234,"")</f>
        <v/>
      </c>
      <c r="X234" s="17" t="str">
        <f aca="false">IF(OR(S234="",Parametros!$B$14&gt;=1),"",S234/(1-Parametros!$B$14))</f>
        <v/>
      </c>
      <c r="Y234" s="17" t="str">
        <f aca="false">IF(OR(S234="",Parametros!$B$14+Parametros!$B$18&gt;=1),"",S234/(1-Parametros!$B$14-Parametros!$B$18))</f>
        <v/>
      </c>
      <c r="Z234" s="20" t="str">
        <f aca="false">IF(B234="","",IF(S234="","FALTAN DATOS",IF(NOT(ISNUMBER(E234)),"FALTA PRECIO",IF(V234&lt;0,"PIERDE",IF(W234&lt;Parametros!$B$18,"BAJO META","OK")))))</f>
        <v/>
      </c>
      <c r="AA234" s="21" t="str">
        <f aca="false">IF(B234="","",IF(F234="","Tela. ","")&amp;IF(NOT(ISNUMBER(G234)),"Kg de tela. ","")&amp;IF(AND(F234&lt;&gt;"",NOT(ISNUMBER(IFERROR(INDEX(Precios!$D$5:$D$120,MATCH(F234,Precios!$A$5:$A$120,0)),"x")))),"Tela sin precio. ","")&amp;IF(AND(H234&lt;&gt;"",NOT(ISNUMBER(IFERROR(INDEX(Precios!$D$5:$D$120,MATCH(H234,Precios!$A$5:$A$120,0)),"x")))),"Tela 2 sin precio. ","")&amp;IF(J234="","Metros impresos. ","")&amp;IF(AND(N(J234)&gt;0,Parametros!$B$27=0),"Impresión sin costo. ","")&amp;IF(K234="","Confección. ",IF(Q234=0,"Confección sin valor. ",""))&amp;IF(NOT(ISNUMBER(E234)),"Precio de venta. ",""))</f>
        <v/>
      </c>
    </row>
    <row r="235" customFormat="false" ht="15" hidden="false" customHeight="false" outlineLevel="0" collapsed="false">
      <c r="A235" s="22"/>
      <c r="B235" s="22"/>
      <c r="C235" s="22"/>
      <c r="D235" s="13"/>
      <c r="E235" s="12"/>
      <c r="F235" s="13"/>
      <c r="G235" s="14"/>
      <c r="H235" s="13"/>
      <c r="I235" s="14"/>
      <c r="J235" s="15"/>
      <c r="K235" s="13"/>
      <c r="L235" s="12"/>
      <c r="M235" s="13"/>
      <c r="O235" s="17" t="str">
        <f aca="false">IF(B235="","",IFERROR(G235*INDEX(Precios!$D$5:$D$120,MATCH(F235,Precios!$A$5:$A$120,0)),0)+IF(H235="",0,IFERROR(I235*INDEX(Precios!$D$5:$D$120,MATCH(H235,Precios!$A$5:$A$120,0)),0)))</f>
        <v/>
      </c>
      <c r="P235" s="17" t="str">
        <f aca="false">IF(B235="","",N(J235)*Parametros!$B$27)</f>
        <v/>
      </c>
      <c r="Q235" s="17" t="str">
        <f aca="false">IF(B235="","",IFERROR(INDEX(Confeccion!$B$5:$B$100,MATCH(K235,Confeccion!$A$5:$A$100,0)),0))</f>
        <v/>
      </c>
      <c r="R235" s="17" t="str">
        <f aca="false">IF(B235="","",N(L235))</f>
        <v/>
      </c>
      <c r="S235" s="18" t="str">
        <f aca="false">IF(B235="","",IF(AND(F235&lt;&gt;"",ISNUMBER(G235),ISNUMBER(IFERROR(INDEX(Precios!$D$5:$D$120,MATCH(F235,Precios!$A$5:$A$120,0)),"x")),OR(H235="",ISNUMBER(IFERROR(INDEX(Precios!$D$5:$D$120,MATCH(H235,Precios!$A$5:$A$120,0)),"x"))),J235&lt;&gt;"",K235&lt;&gt;"",Q235&gt;0),SUM(O235:R235),""))</f>
        <v/>
      </c>
      <c r="T235" s="17" t="str">
        <f aca="false">IF(AND(S235&lt;&gt;"",ISNUMBER(E235)),E235*Parametros!$B$12,"")</f>
        <v/>
      </c>
      <c r="U235" s="17" t="str">
        <f aca="false">IF(AND(S235&lt;&gt;"",ISNUMBER(E235)),E235*Parametros!$B$13,"")</f>
        <v/>
      </c>
      <c r="V235" s="18" t="str">
        <f aca="false">IF(AND(S235&lt;&gt;"",ISNUMBER(E235)),E235-S235-T235-U235,"")</f>
        <v/>
      </c>
      <c r="W235" s="19" t="str">
        <f aca="false">IF(AND(S235&lt;&gt;"",ISNUMBER(E235)),V235/E235,"")</f>
        <v/>
      </c>
      <c r="X235" s="17" t="str">
        <f aca="false">IF(OR(S235="",Parametros!$B$14&gt;=1),"",S235/(1-Parametros!$B$14))</f>
        <v/>
      </c>
      <c r="Y235" s="17" t="str">
        <f aca="false">IF(OR(S235="",Parametros!$B$14+Parametros!$B$18&gt;=1),"",S235/(1-Parametros!$B$14-Parametros!$B$18))</f>
        <v/>
      </c>
      <c r="Z235" s="20" t="str">
        <f aca="false">IF(B235="","",IF(S235="","FALTAN DATOS",IF(NOT(ISNUMBER(E235)),"FALTA PRECIO",IF(V235&lt;0,"PIERDE",IF(W235&lt;Parametros!$B$18,"BAJO META","OK")))))</f>
        <v/>
      </c>
      <c r="AA235" s="21" t="str">
        <f aca="false">IF(B235="","",IF(F235="","Tela. ","")&amp;IF(NOT(ISNUMBER(G235)),"Kg de tela. ","")&amp;IF(AND(F235&lt;&gt;"",NOT(ISNUMBER(IFERROR(INDEX(Precios!$D$5:$D$120,MATCH(F235,Precios!$A$5:$A$120,0)),"x")))),"Tela sin precio. ","")&amp;IF(AND(H235&lt;&gt;"",NOT(ISNUMBER(IFERROR(INDEX(Precios!$D$5:$D$120,MATCH(H235,Precios!$A$5:$A$120,0)),"x")))),"Tela 2 sin precio. ","")&amp;IF(J235="","Metros impresos. ","")&amp;IF(AND(N(J235)&gt;0,Parametros!$B$27=0),"Impresión sin costo. ","")&amp;IF(K235="","Confección. ",IF(Q235=0,"Confección sin valor. ",""))&amp;IF(NOT(ISNUMBER(E235)),"Precio de venta. ",""))</f>
        <v/>
      </c>
    </row>
    <row r="236" customFormat="false" ht="15" hidden="false" customHeight="false" outlineLevel="0" collapsed="false">
      <c r="A236" s="22"/>
      <c r="B236" s="22"/>
      <c r="C236" s="22"/>
      <c r="D236" s="13"/>
      <c r="E236" s="12"/>
      <c r="F236" s="13"/>
      <c r="G236" s="14"/>
      <c r="H236" s="13"/>
      <c r="I236" s="14"/>
      <c r="J236" s="15"/>
      <c r="K236" s="13"/>
      <c r="L236" s="12"/>
      <c r="M236" s="13"/>
      <c r="O236" s="17" t="str">
        <f aca="false">IF(B236="","",IFERROR(G236*INDEX(Precios!$D$5:$D$120,MATCH(F236,Precios!$A$5:$A$120,0)),0)+IF(H236="",0,IFERROR(I236*INDEX(Precios!$D$5:$D$120,MATCH(H236,Precios!$A$5:$A$120,0)),0)))</f>
        <v/>
      </c>
      <c r="P236" s="17" t="str">
        <f aca="false">IF(B236="","",N(J236)*Parametros!$B$27)</f>
        <v/>
      </c>
      <c r="Q236" s="17" t="str">
        <f aca="false">IF(B236="","",IFERROR(INDEX(Confeccion!$B$5:$B$100,MATCH(K236,Confeccion!$A$5:$A$100,0)),0))</f>
        <v/>
      </c>
      <c r="R236" s="17" t="str">
        <f aca="false">IF(B236="","",N(L236))</f>
        <v/>
      </c>
      <c r="S236" s="18" t="str">
        <f aca="false">IF(B236="","",IF(AND(F236&lt;&gt;"",ISNUMBER(G236),ISNUMBER(IFERROR(INDEX(Precios!$D$5:$D$120,MATCH(F236,Precios!$A$5:$A$120,0)),"x")),OR(H236="",ISNUMBER(IFERROR(INDEX(Precios!$D$5:$D$120,MATCH(H236,Precios!$A$5:$A$120,0)),"x"))),J236&lt;&gt;"",K236&lt;&gt;"",Q236&gt;0),SUM(O236:R236),""))</f>
        <v/>
      </c>
      <c r="T236" s="17" t="str">
        <f aca="false">IF(AND(S236&lt;&gt;"",ISNUMBER(E236)),E236*Parametros!$B$12,"")</f>
        <v/>
      </c>
      <c r="U236" s="17" t="str">
        <f aca="false">IF(AND(S236&lt;&gt;"",ISNUMBER(E236)),E236*Parametros!$B$13,"")</f>
        <v/>
      </c>
      <c r="V236" s="18" t="str">
        <f aca="false">IF(AND(S236&lt;&gt;"",ISNUMBER(E236)),E236-S236-T236-U236,"")</f>
        <v/>
      </c>
      <c r="W236" s="19" t="str">
        <f aca="false">IF(AND(S236&lt;&gt;"",ISNUMBER(E236)),V236/E236,"")</f>
        <v/>
      </c>
      <c r="X236" s="17" t="str">
        <f aca="false">IF(OR(S236="",Parametros!$B$14&gt;=1),"",S236/(1-Parametros!$B$14))</f>
        <v/>
      </c>
      <c r="Y236" s="17" t="str">
        <f aca="false">IF(OR(S236="",Parametros!$B$14+Parametros!$B$18&gt;=1),"",S236/(1-Parametros!$B$14-Parametros!$B$18))</f>
        <v/>
      </c>
      <c r="Z236" s="20" t="str">
        <f aca="false">IF(B236="","",IF(S236="","FALTAN DATOS",IF(NOT(ISNUMBER(E236)),"FALTA PRECIO",IF(V236&lt;0,"PIERDE",IF(W236&lt;Parametros!$B$18,"BAJO META","OK")))))</f>
        <v/>
      </c>
      <c r="AA236" s="21" t="str">
        <f aca="false">IF(B236="","",IF(F236="","Tela. ","")&amp;IF(NOT(ISNUMBER(G236)),"Kg de tela. ","")&amp;IF(AND(F236&lt;&gt;"",NOT(ISNUMBER(IFERROR(INDEX(Precios!$D$5:$D$120,MATCH(F236,Precios!$A$5:$A$120,0)),"x")))),"Tela sin precio. ","")&amp;IF(AND(H236&lt;&gt;"",NOT(ISNUMBER(IFERROR(INDEX(Precios!$D$5:$D$120,MATCH(H236,Precios!$A$5:$A$120,0)),"x")))),"Tela 2 sin precio. ","")&amp;IF(J236="","Metros impresos. ","")&amp;IF(AND(N(J236)&gt;0,Parametros!$B$27=0),"Impresión sin costo. ","")&amp;IF(K236="","Confección. ",IF(Q236=0,"Confección sin valor. ",""))&amp;IF(NOT(ISNUMBER(E236)),"Precio de venta. ",""))</f>
        <v/>
      </c>
    </row>
    <row r="237" customFormat="false" ht="15" hidden="false" customHeight="false" outlineLevel="0" collapsed="false">
      <c r="A237" s="22"/>
      <c r="B237" s="22"/>
      <c r="C237" s="22"/>
      <c r="D237" s="13"/>
      <c r="E237" s="12"/>
      <c r="F237" s="13"/>
      <c r="G237" s="14"/>
      <c r="H237" s="13"/>
      <c r="I237" s="14"/>
      <c r="J237" s="15"/>
      <c r="K237" s="13"/>
      <c r="L237" s="12"/>
      <c r="M237" s="13"/>
      <c r="O237" s="17" t="str">
        <f aca="false">IF(B237="","",IFERROR(G237*INDEX(Precios!$D$5:$D$120,MATCH(F237,Precios!$A$5:$A$120,0)),0)+IF(H237="",0,IFERROR(I237*INDEX(Precios!$D$5:$D$120,MATCH(H237,Precios!$A$5:$A$120,0)),0)))</f>
        <v/>
      </c>
      <c r="P237" s="17" t="str">
        <f aca="false">IF(B237="","",N(J237)*Parametros!$B$27)</f>
        <v/>
      </c>
      <c r="Q237" s="17" t="str">
        <f aca="false">IF(B237="","",IFERROR(INDEX(Confeccion!$B$5:$B$100,MATCH(K237,Confeccion!$A$5:$A$100,0)),0))</f>
        <v/>
      </c>
      <c r="R237" s="17" t="str">
        <f aca="false">IF(B237="","",N(L237))</f>
        <v/>
      </c>
      <c r="S237" s="18" t="str">
        <f aca="false">IF(B237="","",IF(AND(F237&lt;&gt;"",ISNUMBER(G237),ISNUMBER(IFERROR(INDEX(Precios!$D$5:$D$120,MATCH(F237,Precios!$A$5:$A$120,0)),"x")),OR(H237="",ISNUMBER(IFERROR(INDEX(Precios!$D$5:$D$120,MATCH(H237,Precios!$A$5:$A$120,0)),"x"))),J237&lt;&gt;"",K237&lt;&gt;"",Q237&gt;0),SUM(O237:R237),""))</f>
        <v/>
      </c>
      <c r="T237" s="17" t="str">
        <f aca="false">IF(AND(S237&lt;&gt;"",ISNUMBER(E237)),E237*Parametros!$B$12,"")</f>
        <v/>
      </c>
      <c r="U237" s="17" t="str">
        <f aca="false">IF(AND(S237&lt;&gt;"",ISNUMBER(E237)),E237*Parametros!$B$13,"")</f>
        <v/>
      </c>
      <c r="V237" s="18" t="str">
        <f aca="false">IF(AND(S237&lt;&gt;"",ISNUMBER(E237)),E237-S237-T237-U237,"")</f>
        <v/>
      </c>
      <c r="W237" s="19" t="str">
        <f aca="false">IF(AND(S237&lt;&gt;"",ISNUMBER(E237)),V237/E237,"")</f>
        <v/>
      </c>
      <c r="X237" s="17" t="str">
        <f aca="false">IF(OR(S237="",Parametros!$B$14&gt;=1),"",S237/(1-Parametros!$B$14))</f>
        <v/>
      </c>
      <c r="Y237" s="17" t="str">
        <f aca="false">IF(OR(S237="",Parametros!$B$14+Parametros!$B$18&gt;=1),"",S237/(1-Parametros!$B$14-Parametros!$B$18))</f>
        <v/>
      </c>
      <c r="Z237" s="20" t="str">
        <f aca="false">IF(B237="","",IF(S237="","FALTAN DATOS",IF(NOT(ISNUMBER(E237)),"FALTA PRECIO",IF(V237&lt;0,"PIERDE",IF(W237&lt;Parametros!$B$18,"BAJO META","OK")))))</f>
        <v/>
      </c>
      <c r="AA237" s="21" t="str">
        <f aca="false">IF(B237="","",IF(F237="","Tela. ","")&amp;IF(NOT(ISNUMBER(G237)),"Kg de tela. ","")&amp;IF(AND(F237&lt;&gt;"",NOT(ISNUMBER(IFERROR(INDEX(Precios!$D$5:$D$120,MATCH(F237,Precios!$A$5:$A$120,0)),"x")))),"Tela sin precio. ","")&amp;IF(AND(H237&lt;&gt;"",NOT(ISNUMBER(IFERROR(INDEX(Precios!$D$5:$D$120,MATCH(H237,Precios!$A$5:$A$120,0)),"x")))),"Tela 2 sin precio. ","")&amp;IF(J237="","Metros impresos. ","")&amp;IF(AND(N(J237)&gt;0,Parametros!$B$27=0),"Impresión sin costo. ","")&amp;IF(K237="","Confección. ",IF(Q237=0,"Confección sin valor. ",""))&amp;IF(NOT(ISNUMBER(E237)),"Precio de venta. ",""))</f>
        <v/>
      </c>
    </row>
    <row r="238" customFormat="false" ht="15" hidden="false" customHeight="false" outlineLevel="0" collapsed="false">
      <c r="A238" s="22"/>
      <c r="B238" s="22"/>
      <c r="C238" s="22"/>
      <c r="D238" s="13"/>
      <c r="E238" s="12"/>
      <c r="F238" s="13"/>
      <c r="G238" s="14"/>
      <c r="H238" s="13"/>
      <c r="I238" s="14"/>
      <c r="J238" s="15"/>
      <c r="K238" s="13"/>
      <c r="L238" s="12"/>
      <c r="M238" s="13"/>
      <c r="O238" s="17" t="str">
        <f aca="false">IF(B238="","",IFERROR(G238*INDEX(Precios!$D$5:$D$120,MATCH(F238,Precios!$A$5:$A$120,0)),0)+IF(H238="",0,IFERROR(I238*INDEX(Precios!$D$5:$D$120,MATCH(H238,Precios!$A$5:$A$120,0)),0)))</f>
        <v/>
      </c>
      <c r="P238" s="17" t="str">
        <f aca="false">IF(B238="","",N(J238)*Parametros!$B$27)</f>
        <v/>
      </c>
      <c r="Q238" s="17" t="str">
        <f aca="false">IF(B238="","",IFERROR(INDEX(Confeccion!$B$5:$B$100,MATCH(K238,Confeccion!$A$5:$A$100,0)),0))</f>
        <v/>
      </c>
      <c r="R238" s="17" t="str">
        <f aca="false">IF(B238="","",N(L238))</f>
        <v/>
      </c>
      <c r="S238" s="18" t="str">
        <f aca="false">IF(B238="","",IF(AND(F238&lt;&gt;"",ISNUMBER(G238),ISNUMBER(IFERROR(INDEX(Precios!$D$5:$D$120,MATCH(F238,Precios!$A$5:$A$120,0)),"x")),OR(H238="",ISNUMBER(IFERROR(INDEX(Precios!$D$5:$D$120,MATCH(H238,Precios!$A$5:$A$120,0)),"x"))),J238&lt;&gt;"",K238&lt;&gt;"",Q238&gt;0),SUM(O238:R238),""))</f>
        <v/>
      </c>
      <c r="T238" s="17" t="str">
        <f aca="false">IF(AND(S238&lt;&gt;"",ISNUMBER(E238)),E238*Parametros!$B$12,"")</f>
        <v/>
      </c>
      <c r="U238" s="17" t="str">
        <f aca="false">IF(AND(S238&lt;&gt;"",ISNUMBER(E238)),E238*Parametros!$B$13,"")</f>
        <v/>
      </c>
      <c r="V238" s="18" t="str">
        <f aca="false">IF(AND(S238&lt;&gt;"",ISNUMBER(E238)),E238-S238-T238-U238,"")</f>
        <v/>
      </c>
      <c r="W238" s="19" t="str">
        <f aca="false">IF(AND(S238&lt;&gt;"",ISNUMBER(E238)),V238/E238,"")</f>
        <v/>
      </c>
      <c r="X238" s="17" t="str">
        <f aca="false">IF(OR(S238="",Parametros!$B$14&gt;=1),"",S238/(1-Parametros!$B$14))</f>
        <v/>
      </c>
      <c r="Y238" s="17" t="str">
        <f aca="false">IF(OR(S238="",Parametros!$B$14+Parametros!$B$18&gt;=1),"",S238/(1-Parametros!$B$14-Parametros!$B$18))</f>
        <v/>
      </c>
      <c r="Z238" s="20" t="str">
        <f aca="false">IF(B238="","",IF(S238="","FALTAN DATOS",IF(NOT(ISNUMBER(E238)),"FALTA PRECIO",IF(V238&lt;0,"PIERDE",IF(W238&lt;Parametros!$B$18,"BAJO META","OK")))))</f>
        <v/>
      </c>
      <c r="AA238" s="21" t="str">
        <f aca="false">IF(B238="","",IF(F238="","Tela. ","")&amp;IF(NOT(ISNUMBER(G238)),"Kg de tela. ","")&amp;IF(AND(F238&lt;&gt;"",NOT(ISNUMBER(IFERROR(INDEX(Precios!$D$5:$D$120,MATCH(F238,Precios!$A$5:$A$120,0)),"x")))),"Tela sin precio. ","")&amp;IF(AND(H238&lt;&gt;"",NOT(ISNUMBER(IFERROR(INDEX(Precios!$D$5:$D$120,MATCH(H238,Precios!$A$5:$A$120,0)),"x")))),"Tela 2 sin precio. ","")&amp;IF(J238="","Metros impresos. ","")&amp;IF(AND(N(J238)&gt;0,Parametros!$B$27=0),"Impresión sin costo. ","")&amp;IF(K238="","Confección. ",IF(Q238=0,"Confección sin valor. ",""))&amp;IF(NOT(ISNUMBER(E238)),"Precio de venta. ",""))</f>
        <v/>
      </c>
    </row>
    <row r="239" customFormat="false" ht="15" hidden="false" customHeight="false" outlineLevel="0" collapsed="false">
      <c r="A239" s="22"/>
      <c r="B239" s="22"/>
      <c r="C239" s="22"/>
      <c r="D239" s="13"/>
      <c r="E239" s="12"/>
      <c r="F239" s="13"/>
      <c r="G239" s="14"/>
      <c r="H239" s="13"/>
      <c r="I239" s="14"/>
      <c r="J239" s="15"/>
      <c r="K239" s="13"/>
      <c r="L239" s="12"/>
      <c r="M239" s="13"/>
      <c r="O239" s="17" t="str">
        <f aca="false">IF(B239="","",IFERROR(G239*INDEX(Precios!$D$5:$D$120,MATCH(F239,Precios!$A$5:$A$120,0)),0)+IF(H239="",0,IFERROR(I239*INDEX(Precios!$D$5:$D$120,MATCH(H239,Precios!$A$5:$A$120,0)),0)))</f>
        <v/>
      </c>
      <c r="P239" s="17" t="str">
        <f aca="false">IF(B239="","",N(J239)*Parametros!$B$27)</f>
        <v/>
      </c>
      <c r="Q239" s="17" t="str">
        <f aca="false">IF(B239="","",IFERROR(INDEX(Confeccion!$B$5:$B$100,MATCH(K239,Confeccion!$A$5:$A$100,0)),0))</f>
        <v/>
      </c>
      <c r="R239" s="17" t="str">
        <f aca="false">IF(B239="","",N(L239))</f>
        <v/>
      </c>
      <c r="S239" s="18" t="str">
        <f aca="false">IF(B239="","",IF(AND(F239&lt;&gt;"",ISNUMBER(G239),ISNUMBER(IFERROR(INDEX(Precios!$D$5:$D$120,MATCH(F239,Precios!$A$5:$A$120,0)),"x")),OR(H239="",ISNUMBER(IFERROR(INDEX(Precios!$D$5:$D$120,MATCH(H239,Precios!$A$5:$A$120,0)),"x"))),J239&lt;&gt;"",K239&lt;&gt;"",Q239&gt;0),SUM(O239:R239),""))</f>
        <v/>
      </c>
      <c r="T239" s="17" t="str">
        <f aca="false">IF(AND(S239&lt;&gt;"",ISNUMBER(E239)),E239*Parametros!$B$12,"")</f>
        <v/>
      </c>
      <c r="U239" s="17" t="str">
        <f aca="false">IF(AND(S239&lt;&gt;"",ISNUMBER(E239)),E239*Parametros!$B$13,"")</f>
        <v/>
      </c>
      <c r="V239" s="18" t="str">
        <f aca="false">IF(AND(S239&lt;&gt;"",ISNUMBER(E239)),E239-S239-T239-U239,"")</f>
        <v/>
      </c>
      <c r="W239" s="19" t="str">
        <f aca="false">IF(AND(S239&lt;&gt;"",ISNUMBER(E239)),V239/E239,"")</f>
        <v/>
      </c>
      <c r="X239" s="17" t="str">
        <f aca="false">IF(OR(S239="",Parametros!$B$14&gt;=1),"",S239/(1-Parametros!$B$14))</f>
        <v/>
      </c>
      <c r="Y239" s="17" t="str">
        <f aca="false">IF(OR(S239="",Parametros!$B$14+Parametros!$B$18&gt;=1),"",S239/(1-Parametros!$B$14-Parametros!$B$18))</f>
        <v/>
      </c>
      <c r="Z239" s="20" t="str">
        <f aca="false">IF(B239="","",IF(S239="","FALTAN DATOS",IF(NOT(ISNUMBER(E239)),"FALTA PRECIO",IF(V239&lt;0,"PIERDE",IF(W239&lt;Parametros!$B$18,"BAJO META","OK")))))</f>
        <v/>
      </c>
      <c r="AA239" s="21" t="str">
        <f aca="false">IF(B239="","",IF(F239="","Tela. ","")&amp;IF(NOT(ISNUMBER(G239)),"Kg de tela. ","")&amp;IF(AND(F239&lt;&gt;"",NOT(ISNUMBER(IFERROR(INDEX(Precios!$D$5:$D$120,MATCH(F239,Precios!$A$5:$A$120,0)),"x")))),"Tela sin precio. ","")&amp;IF(AND(H239&lt;&gt;"",NOT(ISNUMBER(IFERROR(INDEX(Precios!$D$5:$D$120,MATCH(H239,Precios!$A$5:$A$120,0)),"x")))),"Tela 2 sin precio. ","")&amp;IF(J239="","Metros impresos. ","")&amp;IF(AND(N(J239)&gt;0,Parametros!$B$27=0),"Impresión sin costo. ","")&amp;IF(K239="","Confección. ",IF(Q239=0,"Confección sin valor. ",""))&amp;IF(NOT(ISNUMBER(E239)),"Precio de venta. ",""))</f>
        <v/>
      </c>
    </row>
    <row r="240" customFormat="false" ht="15" hidden="false" customHeight="false" outlineLevel="0" collapsed="false">
      <c r="A240" s="22"/>
      <c r="B240" s="22"/>
      <c r="C240" s="22"/>
      <c r="D240" s="13"/>
      <c r="E240" s="12"/>
      <c r="F240" s="13"/>
      <c r="G240" s="14"/>
      <c r="H240" s="13"/>
      <c r="I240" s="14"/>
      <c r="J240" s="15"/>
      <c r="K240" s="13"/>
      <c r="L240" s="12"/>
      <c r="M240" s="13"/>
      <c r="O240" s="17" t="str">
        <f aca="false">IF(B240="","",IFERROR(G240*INDEX(Precios!$D$5:$D$120,MATCH(F240,Precios!$A$5:$A$120,0)),0)+IF(H240="",0,IFERROR(I240*INDEX(Precios!$D$5:$D$120,MATCH(H240,Precios!$A$5:$A$120,0)),0)))</f>
        <v/>
      </c>
      <c r="P240" s="17" t="str">
        <f aca="false">IF(B240="","",N(J240)*Parametros!$B$27)</f>
        <v/>
      </c>
      <c r="Q240" s="17" t="str">
        <f aca="false">IF(B240="","",IFERROR(INDEX(Confeccion!$B$5:$B$100,MATCH(K240,Confeccion!$A$5:$A$100,0)),0))</f>
        <v/>
      </c>
      <c r="R240" s="17" t="str">
        <f aca="false">IF(B240="","",N(L240))</f>
        <v/>
      </c>
      <c r="S240" s="18" t="str">
        <f aca="false">IF(B240="","",IF(AND(F240&lt;&gt;"",ISNUMBER(G240),ISNUMBER(IFERROR(INDEX(Precios!$D$5:$D$120,MATCH(F240,Precios!$A$5:$A$120,0)),"x")),OR(H240="",ISNUMBER(IFERROR(INDEX(Precios!$D$5:$D$120,MATCH(H240,Precios!$A$5:$A$120,0)),"x"))),J240&lt;&gt;"",K240&lt;&gt;"",Q240&gt;0),SUM(O240:R240),""))</f>
        <v/>
      </c>
      <c r="T240" s="17" t="str">
        <f aca="false">IF(AND(S240&lt;&gt;"",ISNUMBER(E240)),E240*Parametros!$B$12,"")</f>
        <v/>
      </c>
      <c r="U240" s="17" t="str">
        <f aca="false">IF(AND(S240&lt;&gt;"",ISNUMBER(E240)),E240*Parametros!$B$13,"")</f>
        <v/>
      </c>
      <c r="V240" s="18" t="str">
        <f aca="false">IF(AND(S240&lt;&gt;"",ISNUMBER(E240)),E240-S240-T240-U240,"")</f>
        <v/>
      </c>
      <c r="W240" s="19" t="str">
        <f aca="false">IF(AND(S240&lt;&gt;"",ISNUMBER(E240)),V240/E240,"")</f>
        <v/>
      </c>
      <c r="X240" s="17" t="str">
        <f aca="false">IF(OR(S240="",Parametros!$B$14&gt;=1),"",S240/(1-Parametros!$B$14))</f>
        <v/>
      </c>
      <c r="Y240" s="17" t="str">
        <f aca="false">IF(OR(S240="",Parametros!$B$14+Parametros!$B$18&gt;=1),"",S240/(1-Parametros!$B$14-Parametros!$B$18))</f>
        <v/>
      </c>
      <c r="Z240" s="20" t="str">
        <f aca="false">IF(B240="","",IF(S240="","FALTAN DATOS",IF(NOT(ISNUMBER(E240)),"FALTA PRECIO",IF(V240&lt;0,"PIERDE",IF(W240&lt;Parametros!$B$18,"BAJO META","OK")))))</f>
        <v/>
      </c>
      <c r="AA240" s="21" t="str">
        <f aca="false">IF(B240="","",IF(F240="","Tela. ","")&amp;IF(NOT(ISNUMBER(G240)),"Kg de tela. ","")&amp;IF(AND(F240&lt;&gt;"",NOT(ISNUMBER(IFERROR(INDEX(Precios!$D$5:$D$120,MATCH(F240,Precios!$A$5:$A$120,0)),"x")))),"Tela sin precio. ","")&amp;IF(AND(H240&lt;&gt;"",NOT(ISNUMBER(IFERROR(INDEX(Precios!$D$5:$D$120,MATCH(H240,Precios!$A$5:$A$120,0)),"x")))),"Tela 2 sin precio. ","")&amp;IF(J240="","Metros impresos. ","")&amp;IF(AND(N(J240)&gt;0,Parametros!$B$27=0),"Impresión sin costo. ","")&amp;IF(K240="","Confección. ",IF(Q240=0,"Confección sin valor. ",""))&amp;IF(NOT(ISNUMBER(E240)),"Precio de venta. ",""))</f>
        <v/>
      </c>
    </row>
    <row r="241" customFormat="false" ht="15" hidden="false" customHeight="false" outlineLevel="0" collapsed="false">
      <c r="A241" s="22"/>
      <c r="B241" s="22"/>
      <c r="C241" s="22"/>
      <c r="D241" s="13"/>
      <c r="E241" s="12"/>
      <c r="F241" s="13"/>
      <c r="G241" s="14"/>
      <c r="H241" s="13"/>
      <c r="I241" s="14"/>
      <c r="J241" s="15"/>
      <c r="K241" s="13"/>
      <c r="L241" s="12"/>
      <c r="M241" s="13"/>
      <c r="O241" s="17" t="str">
        <f aca="false">IF(B241="","",IFERROR(G241*INDEX(Precios!$D$5:$D$120,MATCH(F241,Precios!$A$5:$A$120,0)),0)+IF(H241="",0,IFERROR(I241*INDEX(Precios!$D$5:$D$120,MATCH(H241,Precios!$A$5:$A$120,0)),0)))</f>
        <v/>
      </c>
      <c r="P241" s="17" t="str">
        <f aca="false">IF(B241="","",N(J241)*Parametros!$B$27)</f>
        <v/>
      </c>
      <c r="Q241" s="17" t="str">
        <f aca="false">IF(B241="","",IFERROR(INDEX(Confeccion!$B$5:$B$100,MATCH(K241,Confeccion!$A$5:$A$100,0)),0))</f>
        <v/>
      </c>
      <c r="R241" s="17" t="str">
        <f aca="false">IF(B241="","",N(L241))</f>
        <v/>
      </c>
      <c r="S241" s="18" t="str">
        <f aca="false">IF(B241="","",IF(AND(F241&lt;&gt;"",ISNUMBER(G241),ISNUMBER(IFERROR(INDEX(Precios!$D$5:$D$120,MATCH(F241,Precios!$A$5:$A$120,0)),"x")),OR(H241="",ISNUMBER(IFERROR(INDEX(Precios!$D$5:$D$120,MATCH(H241,Precios!$A$5:$A$120,0)),"x"))),J241&lt;&gt;"",K241&lt;&gt;"",Q241&gt;0),SUM(O241:R241),""))</f>
        <v/>
      </c>
      <c r="T241" s="17" t="str">
        <f aca="false">IF(AND(S241&lt;&gt;"",ISNUMBER(E241)),E241*Parametros!$B$12,"")</f>
        <v/>
      </c>
      <c r="U241" s="17" t="str">
        <f aca="false">IF(AND(S241&lt;&gt;"",ISNUMBER(E241)),E241*Parametros!$B$13,"")</f>
        <v/>
      </c>
      <c r="V241" s="18" t="str">
        <f aca="false">IF(AND(S241&lt;&gt;"",ISNUMBER(E241)),E241-S241-T241-U241,"")</f>
        <v/>
      </c>
      <c r="W241" s="19" t="str">
        <f aca="false">IF(AND(S241&lt;&gt;"",ISNUMBER(E241)),V241/E241,"")</f>
        <v/>
      </c>
      <c r="X241" s="17" t="str">
        <f aca="false">IF(OR(S241="",Parametros!$B$14&gt;=1),"",S241/(1-Parametros!$B$14))</f>
        <v/>
      </c>
      <c r="Y241" s="17" t="str">
        <f aca="false">IF(OR(S241="",Parametros!$B$14+Parametros!$B$18&gt;=1),"",S241/(1-Parametros!$B$14-Parametros!$B$18))</f>
        <v/>
      </c>
      <c r="Z241" s="20" t="str">
        <f aca="false">IF(B241="","",IF(S241="","FALTAN DATOS",IF(NOT(ISNUMBER(E241)),"FALTA PRECIO",IF(V241&lt;0,"PIERDE",IF(W241&lt;Parametros!$B$18,"BAJO META","OK")))))</f>
        <v/>
      </c>
      <c r="AA241" s="21" t="str">
        <f aca="false">IF(B241="","",IF(F241="","Tela. ","")&amp;IF(NOT(ISNUMBER(G241)),"Kg de tela. ","")&amp;IF(AND(F241&lt;&gt;"",NOT(ISNUMBER(IFERROR(INDEX(Precios!$D$5:$D$120,MATCH(F241,Precios!$A$5:$A$120,0)),"x")))),"Tela sin precio. ","")&amp;IF(AND(H241&lt;&gt;"",NOT(ISNUMBER(IFERROR(INDEX(Precios!$D$5:$D$120,MATCH(H241,Precios!$A$5:$A$120,0)),"x")))),"Tela 2 sin precio. ","")&amp;IF(J241="","Metros impresos. ","")&amp;IF(AND(N(J241)&gt;0,Parametros!$B$27=0),"Impresión sin costo. ","")&amp;IF(K241="","Confección. ",IF(Q241=0,"Confección sin valor. ",""))&amp;IF(NOT(ISNUMBER(E241)),"Precio de venta. ",""))</f>
        <v/>
      </c>
    </row>
    <row r="242" customFormat="false" ht="15" hidden="false" customHeight="false" outlineLevel="0" collapsed="false">
      <c r="A242" s="22"/>
      <c r="B242" s="22"/>
      <c r="C242" s="22"/>
      <c r="D242" s="13"/>
      <c r="E242" s="12"/>
      <c r="F242" s="13"/>
      <c r="G242" s="14"/>
      <c r="H242" s="13"/>
      <c r="I242" s="14"/>
      <c r="J242" s="15"/>
      <c r="K242" s="13"/>
      <c r="L242" s="12"/>
      <c r="M242" s="13"/>
      <c r="O242" s="17" t="str">
        <f aca="false">IF(B242="","",IFERROR(G242*INDEX(Precios!$D$5:$D$120,MATCH(F242,Precios!$A$5:$A$120,0)),0)+IF(H242="",0,IFERROR(I242*INDEX(Precios!$D$5:$D$120,MATCH(H242,Precios!$A$5:$A$120,0)),0)))</f>
        <v/>
      </c>
      <c r="P242" s="17" t="str">
        <f aca="false">IF(B242="","",N(J242)*Parametros!$B$27)</f>
        <v/>
      </c>
      <c r="Q242" s="17" t="str">
        <f aca="false">IF(B242="","",IFERROR(INDEX(Confeccion!$B$5:$B$100,MATCH(K242,Confeccion!$A$5:$A$100,0)),0))</f>
        <v/>
      </c>
      <c r="R242" s="17" t="str">
        <f aca="false">IF(B242="","",N(L242))</f>
        <v/>
      </c>
      <c r="S242" s="18" t="str">
        <f aca="false">IF(B242="","",IF(AND(F242&lt;&gt;"",ISNUMBER(G242),ISNUMBER(IFERROR(INDEX(Precios!$D$5:$D$120,MATCH(F242,Precios!$A$5:$A$120,0)),"x")),OR(H242="",ISNUMBER(IFERROR(INDEX(Precios!$D$5:$D$120,MATCH(H242,Precios!$A$5:$A$120,0)),"x"))),J242&lt;&gt;"",K242&lt;&gt;"",Q242&gt;0),SUM(O242:R242),""))</f>
        <v/>
      </c>
      <c r="T242" s="17" t="str">
        <f aca="false">IF(AND(S242&lt;&gt;"",ISNUMBER(E242)),E242*Parametros!$B$12,"")</f>
        <v/>
      </c>
      <c r="U242" s="17" t="str">
        <f aca="false">IF(AND(S242&lt;&gt;"",ISNUMBER(E242)),E242*Parametros!$B$13,"")</f>
        <v/>
      </c>
      <c r="V242" s="18" t="str">
        <f aca="false">IF(AND(S242&lt;&gt;"",ISNUMBER(E242)),E242-S242-T242-U242,"")</f>
        <v/>
      </c>
      <c r="W242" s="19" t="str">
        <f aca="false">IF(AND(S242&lt;&gt;"",ISNUMBER(E242)),V242/E242,"")</f>
        <v/>
      </c>
      <c r="X242" s="17" t="str">
        <f aca="false">IF(OR(S242="",Parametros!$B$14&gt;=1),"",S242/(1-Parametros!$B$14))</f>
        <v/>
      </c>
      <c r="Y242" s="17" t="str">
        <f aca="false">IF(OR(S242="",Parametros!$B$14+Parametros!$B$18&gt;=1),"",S242/(1-Parametros!$B$14-Parametros!$B$18))</f>
        <v/>
      </c>
      <c r="Z242" s="20" t="str">
        <f aca="false">IF(B242="","",IF(S242="","FALTAN DATOS",IF(NOT(ISNUMBER(E242)),"FALTA PRECIO",IF(V242&lt;0,"PIERDE",IF(W242&lt;Parametros!$B$18,"BAJO META","OK")))))</f>
        <v/>
      </c>
      <c r="AA242" s="21" t="str">
        <f aca="false">IF(B242="","",IF(F242="","Tela. ","")&amp;IF(NOT(ISNUMBER(G242)),"Kg de tela. ","")&amp;IF(AND(F242&lt;&gt;"",NOT(ISNUMBER(IFERROR(INDEX(Precios!$D$5:$D$120,MATCH(F242,Precios!$A$5:$A$120,0)),"x")))),"Tela sin precio. ","")&amp;IF(AND(H242&lt;&gt;"",NOT(ISNUMBER(IFERROR(INDEX(Precios!$D$5:$D$120,MATCH(H242,Precios!$A$5:$A$120,0)),"x")))),"Tela 2 sin precio. ","")&amp;IF(J242="","Metros impresos. ","")&amp;IF(AND(N(J242)&gt;0,Parametros!$B$27=0),"Impresión sin costo. ","")&amp;IF(K242="","Confección. ",IF(Q242=0,"Confección sin valor. ",""))&amp;IF(NOT(ISNUMBER(E242)),"Precio de venta. ",""))</f>
        <v/>
      </c>
    </row>
    <row r="243" customFormat="false" ht="15" hidden="false" customHeight="false" outlineLevel="0" collapsed="false">
      <c r="A243" s="22"/>
      <c r="B243" s="22"/>
      <c r="C243" s="22"/>
      <c r="D243" s="13"/>
      <c r="E243" s="12"/>
      <c r="F243" s="13"/>
      <c r="G243" s="14"/>
      <c r="H243" s="13"/>
      <c r="I243" s="14"/>
      <c r="J243" s="15"/>
      <c r="K243" s="13"/>
      <c r="L243" s="12"/>
      <c r="M243" s="13"/>
      <c r="O243" s="17" t="str">
        <f aca="false">IF(B243="","",IFERROR(G243*INDEX(Precios!$D$5:$D$120,MATCH(F243,Precios!$A$5:$A$120,0)),0)+IF(H243="",0,IFERROR(I243*INDEX(Precios!$D$5:$D$120,MATCH(H243,Precios!$A$5:$A$120,0)),0)))</f>
        <v/>
      </c>
      <c r="P243" s="17" t="str">
        <f aca="false">IF(B243="","",N(J243)*Parametros!$B$27)</f>
        <v/>
      </c>
      <c r="Q243" s="17" t="str">
        <f aca="false">IF(B243="","",IFERROR(INDEX(Confeccion!$B$5:$B$100,MATCH(K243,Confeccion!$A$5:$A$100,0)),0))</f>
        <v/>
      </c>
      <c r="R243" s="17" t="str">
        <f aca="false">IF(B243="","",N(L243))</f>
        <v/>
      </c>
      <c r="S243" s="18" t="str">
        <f aca="false">IF(B243="","",IF(AND(F243&lt;&gt;"",ISNUMBER(G243),ISNUMBER(IFERROR(INDEX(Precios!$D$5:$D$120,MATCH(F243,Precios!$A$5:$A$120,0)),"x")),OR(H243="",ISNUMBER(IFERROR(INDEX(Precios!$D$5:$D$120,MATCH(H243,Precios!$A$5:$A$120,0)),"x"))),J243&lt;&gt;"",K243&lt;&gt;"",Q243&gt;0),SUM(O243:R243),""))</f>
        <v/>
      </c>
      <c r="T243" s="17" t="str">
        <f aca="false">IF(AND(S243&lt;&gt;"",ISNUMBER(E243)),E243*Parametros!$B$12,"")</f>
        <v/>
      </c>
      <c r="U243" s="17" t="str">
        <f aca="false">IF(AND(S243&lt;&gt;"",ISNUMBER(E243)),E243*Parametros!$B$13,"")</f>
        <v/>
      </c>
      <c r="V243" s="18" t="str">
        <f aca="false">IF(AND(S243&lt;&gt;"",ISNUMBER(E243)),E243-S243-T243-U243,"")</f>
        <v/>
      </c>
      <c r="W243" s="19" t="str">
        <f aca="false">IF(AND(S243&lt;&gt;"",ISNUMBER(E243)),V243/E243,"")</f>
        <v/>
      </c>
      <c r="X243" s="17" t="str">
        <f aca="false">IF(OR(S243="",Parametros!$B$14&gt;=1),"",S243/(1-Parametros!$B$14))</f>
        <v/>
      </c>
      <c r="Y243" s="17" t="str">
        <f aca="false">IF(OR(S243="",Parametros!$B$14+Parametros!$B$18&gt;=1),"",S243/(1-Parametros!$B$14-Parametros!$B$18))</f>
        <v/>
      </c>
      <c r="Z243" s="20" t="str">
        <f aca="false">IF(B243="","",IF(S243="","FALTAN DATOS",IF(NOT(ISNUMBER(E243)),"FALTA PRECIO",IF(V243&lt;0,"PIERDE",IF(W243&lt;Parametros!$B$18,"BAJO META","OK")))))</f>
        <v/>
      </c>
      <c r="AA243" s="21" t="str">
        <f aca="false">IF(B243="","",IF(F243="","Tela. ","")&amp;IF(NOT(ISNUMBER(G243)),"Kg de tela. ","")&amp;IF(AND(F243&lt;&gt;"",NOT(ISNUMBER(IFERROR(INDEX(Precios!$D$5:$D$120,MATCH(F243,Precios!$A$5:$A$120,0)),"x")))),"Tela sin precio. ","")&amp;IF(AND(H243&lt;&gt;"",NOT(ISNUMBER(IFERROR(INDEX(Precios!$D$5:$D$120,MATCH(H243,Precios!$A$5:$A$120,0)),"x")))),"Tela 2 sin precio. ","")&amp;IF(J243="","Metros impresos. ","")&amp;IF(AND(N(J243)&gt;0,Parametros!$B$27=0),"Impresión sin costo. ","")&amp;IF(K243="","Confección. ",IF(Q243=0,"Confección sin valor. ",""))&amp;IF(NOT(ISNUMBER(E243)),"Precio de venta. ",""))</f>
        <v/>
      </c>
    </row>
    <row r="244" customFormat="false" ht="15" hidden="false" customHeight="false" outlineLevel="0" collapsed="false">
      <c r="A244" s="22"/>
      <c r="B244" s="22"/>
      <c r="C244" s="22"/>
      <c r="D244" s="13"/>
      <c r="E244" s="12"/>
      <c r="F244" s="13"/>
      <c r="G244" s="14"/>
      <c r="H244" s="13"/>
      <c r="I244" s="14"/>
      <c r="J244" s="15"/>
      <c r="K244" s="13"/>
      <c r="L244" s="12"/>
      <c r="M244" s="13"/>
      <c r="O244" s="17" t="str">
        <f aca="false">IF(B244="","",IFERROR(G244*INDEX(Precios!$D$5:$D$120,MATCH(F244,Precios!$A$5:$A$120,0)),0)+IF(H244="",0,IFERROR(I244*INDEX(Precios!$D$5:$D$120,MATCH(H244,Precios!$A$5:$A$120,0)),0)))</f>
        <v/>
      </c>
      <c r="P244" s="17" t="str">
        <f aca="false">IF(B244="","",N(J244)*Parametros!$B$27)</f>
        <v/>
      </c>
      <c r="Q244" s="17" t="str">
        <f aca="false">IF(B244="","",IFERROR(INDEX(Confeccion!$B$5:$B$100,MATCH(K244,Confeccion!$A$5:$A$100,0)),0))</f>
        <v/>
      </c>
      <c r="R244" s="17" t="str">
        <f aca="false">IF(B244="","",N(L244))</f>
        <v/>
      </c>
      <c r="S244" s="18" t="str">
        <f aca="false">IF(B244="","",IF(AND(F244&lt;&gt;"",ISNUMBER(G244),ISNUMBER(IFERROR(INDEX(Precios!$D$5:$D$120,MATCH(F244,Precios!$A$5:$A$120,0)),"x")),OR(H244="",ISNUMBER(IFERROR(INDEX(Precios!$D$5:$D$120,MATCH(H244,Precios!$A$5:$A$120,0)),"x"))),J244&lt;&gt;"",K244&lt;&gt;"",Q244&gt;0),SUM(O244:R244),""))</f>
        <v/>
      </c>
      <c r="T244" s="17" t="str">
        <f aca="false">IF(AND(S244&lt;&gt;"",ISNUMBER(E244)),E244*Parametros!$B$12,"")</f>
        <v/>
      </c>
      <c r="U244" s="17" t="str">
        <f aca="false">IF(AND(S244&lt;&gt;"",ISNUMBER(E244)),E244*Parametros!$B$13,"")</f>
        <v/>
      </c>
      <c r="V244" s="18" t="str">
        <f aca="false">IF(AND(S244&lt;&gt;"",ISNUMBER(E244)),E244-S244-T244-U244,"")</f>
        <v/>
      </c>
      <c r="W244" s="19" t="str">
        <f aca="false">IF(AND(S244&lt;&gt;"",ISNUMBER(E244)),V244/E244,"")</f>
        <v/>
      </c>
      <c r="X244" s="17" t="str">
        <f aca="false">IF(OR(S244="",Parametros!$B$14&gt;=1),"",S244/(1-Parametros!$B$14))</f>
        <v/>
      </c>
      <c r="Y244" s="17" t="str">
        <f aca="false">IF(OR(S244="",Parametros!$B$14+Parametros!$B$18&gt;=1),"",S244/(1-Parametros!$B$14-Parametros!$B$18))</f>
        <v/>
      </c>
      <c r="Z244" s="20" t="str">
        <f aca="false">IF(B244="","",IF(S244="","FALTAN DATOS",IF(NOT(ISNUMBER(E244)),"FALTA PRECIO",IF(V244&lt;0,"PIERDE",IF(W244&lt;Parametros!$B$18,"BAJO META","OK")))))</f>
        <v/>
      </c>
      <c r="AA244" s="21" t="str">
        <f aca="false">IF(B244="","",IF(F244="","Tela. ","")&amp;IF(NOT(ISNUMBER(G244)),"Kg de tela. ","")&amp;IF(AND(F244&lt;&gt;"",NOT(ISNUMBER(IFERROR(INDEX(Precios!$D$5:$D$120,MATCH(F244,Precios!$A$5:$A$120,0)),"x")))),"Tela sin precio. ","")&amp;IF(AND(H244&lt;&gt;"",NOT(ISNUMBER(IFERROR(INDEX(Precios!$D$5:$D$120,MATCH(H244,Precios!$A$5:$A$120,0)),"x")))),"Tela 2 sin precio. ","")&amp;IF(J244="","Metros impresos. ","")&amp;IF(AND(N(J244)&gt;0,Parametros!$B$27=0),"Impresión sin costo. ","")&amp;IF(K244="","Confección. ",IF(Q244=0,"Confección sin valor. ",""))&amp;IF(NOT(ISNUMBER(E244)),"Precio de venta. ",""))</f>
        <v/>
      </c>
    </row>
    <row r="245" customFormat="false" ht="15" hidden="false" customHeight="false" outlineLevel="0" collapsed="false">
      <c r="A245" s="22"/>
      <c r="B245" s="22"/>
      <c r="C245" s="22"/>
      <c r="D245" s="13"/>
      <c r="E245" s="12"/>
      <c r="F245" s="13"/>
      <c r="G245" s="14"/>
      <c r="H245" s="13"/>
      <c r="I245" s="14"/>
      <c r="J245" s="15"/>
      <c r="K245" s="13"/>
      <c r="L245" s="12"/>
      <c r="M245" s="13"/>
      <c r="O245" s="17" t="str">
        <f aca="false">IF(B245="","",IFERROR(G245*INDEX(Precios!$D$5:$D$120,MATCH(F245,Precios!$A$5:$A$120,0)),0)+IF(H245="",0,IFERROR(I245*INDEX(Precios!$D$5:$D$120,MATCH(H245,Precios!$A$5:$A$120,0)),0)))</f>
        <v/>
      </c>
      <c r="P245" s="17" t="str">
        <f aca="false">IF(B245="","",N(J245)*Parametros!$B$27)</f>
        <v/>
      </c>
      <c r="Q245" s="17" t="str">
        <f aca="false">IF(B245="","",IFERROR(INDEX(Confeccion!$B$5:$B$100,MATCH(K245,Confeccion!$A$5:$A$100,0)),0))</f>
        <v/>
      </c>
      <c r="R245" s="17" t="str">
        <f aca="false">IF(B245="","",N(L245))</f>
        <v/>
      </c>
      <c r="S245" s="18" t="str">
        <f aca="false">IF(B245="","",IF(AND(F245&lt;&gt;"",ISNUMBER(G245),ISNUMBER(IFERROR(INDEX(Precios!$D$5:$D$120,MATCH(F245,Precios!$A$5:$A$120,0)),"x")),OR(H245="",ISNUMBER(IFERROR(INDEX(Precios!$D$5:$D$120,MATCH(H245,Precios!$A$5:$A$120,0)),"x"))),J245&lt;&gt;"",K245&lt;&gt;"",Q245&gt;0),SUM(O245:R245),""))</f>
        <v/>
      </c>
      <c r="T245" s="17" t="str">
        <f aca="false">IF(AND(S245&lt;&gt;"",ISNUMBER(E245)),E245*Parametros!$B$12,"")</f>
        <v/>
      </c>
      <c r="U245" s="17" t="str">
        <f aca="false">IF(AND(S245&lt;&gt;"",ISNUMBER(E245)),E245*Parametros!$B$13,"")</f>
        <v/>
      </c>
      <c r="V245" s="18" t="str">
        <f aca="false">IF(AND(S245&lt;&gt;"",ISNUMBER(E245)),E245-S245-T245-U245,"")</f>
        <v/>
      </c>
      <c r="W245" s="19" t="str">
        <f aca="false">IF(AND(S245&lt;&gt;"",ISNUMBER(E245)),V245/E245,"")</f>
        <v/>
      </c>
      <c r="X245" s="17" t="str">
        <f aca="false">IF(OR(S245="",Parametros!$B$14&gt;=1),"",S245/(1-Parametros!$B$14))</f>
        <v/>
      </c>
      <c r="Y245" s="17" t="str">
        <f aca="false">IF(OR(S245="",Parametros!$B$14+Parametros!$B$18&gt;=1),"",S245/(1-Parametros!$B$14-Parametros!$B$18))</f>
        <v/>
      </c>
      <c r="Z245" s="20" t="str">
        <f aca="false">IF(B245="","",IF(S245="","FALTAN DATOS",IF(NOT(ISNUMBER(E245)),"FALTA PRECIO",IF(V245&lt;0,"PIERDE",IF(W245&lt;Parametros!$B$18,"BAJO META","OK")))))</f>
        <v/>
      </c>
      <c r="AA245" s="21" t="str">
        <f aca="false">IF(B245="","",IF(F245="","Tela. ","")&amp;IF(NOT(ISNUMBER(G245)),"Kg de tela. ","")&amp;IF(AND(F245&lt;&gt;"",NOT(ISNUMBER(IFERROR(INDEX(Precios!$D$5:$D$120,MATCH(F245,Precios!$A$5:$A$120,0)),"x")))),"Tela sin precio. ","")&amp;IF(AND(H245&lt;&gt;"",NOT(ISNUMBER(IFERROR(INDEX(Precios!$D$5:$D$120,MATCH(H245,Precios!$A$5:$A$120,0)),"x")))),"Tela 2 sin precio. ","")&amp;IF(J245="","Metros impresos. ","")&amp;IF(AND(N(J245)&gt;0,Parametros!$B$27=0),"Impresión sin costo. ","")&amp;IF(K245="","Confección. ",IF(Q245=0,"Confección sin valor. ",""))&amp;IF(NOT(ISNUMBER(E245)),"Precio de venta. ",""))</f>
        <v/>
      </c>
    </row>
    <row r="246" customFormat="false" ht="15" hidden="false" customHeight="false" outlineLevel="0" collapsed="false">
      <c r="A246" s="22"/>
      <c r="B246" s="22"/>
      <c r="C246" s="22"/>
      <c r="D246" s="13"/>
      <c r="E246" s="12"/>
      <c r="F246" s="13"/>
      <c r="G246" s="14"/>
      <c r="H246" s="13"/>
      <c r="I246" s="14"/>
      <c r="J246" s="15"/>
      <c r="K246" s="13"/>
      <c r="L246" s="12"/>
      <c r="M246" s="13"/>
      <c r="O246" s="17" t="str">
        <f aca="false">IF(B246="","",IFERROR(G246*INDEX(Precios!$D$5:$D$120,MATCH(F246,Precios!$A$5:$A$120,0)),0)+IF(H246="",0,IFERROR(I246*INDEX(Precios!$D$5:$D$120,MATCH(H246,Precios!$A$5:$A$120,0)),0)))</f>
        <v/>
      </c>
      <c r="P246" s="17" t="str">
        <f aca="false">IF(B246="","",N(J246)*Parametros!$B$27)</f>
        <v/>
      </c>
      <c r="Q246" s="17" t="str">
        <f aca="false">IF(B246="","",IFERROR(INDEX(Confeccion!$B$5:$B$100,MATCH(K246,Confeccion!$A$5:$A$100,0)),0))</f>
        <v/>
      </c>
      <c r="R246" s="17" t="str">
        <f aca="false">IF(B246="","",N(L246))</f>
        <v/>
      </c>
      <c r="S246" s="18" t="str">
        <f aca="false">IF(B246="","",IF(AND(F246&lt;&gt;"",ISNUMBER(G246),ISNUMBER(IFERROR(INDEX(Precios!$D$5:$D$120,MATCH(F246,Precios!$A$5:$A$120,0)),"x")),OR(H246="",ISNUMBER(IFERROR(INDEX(Precios!$D$5:$D$120,MATCH(H246,Precios!$A$5:$A$120,0)),"x"))),J246&lt;&gt;"",K246&lt;&gt;"",Q246&gt;0),SUM(O246:R246),""))</f>
        <v/>
      </c>
      <c r="T246" s="17" t="str">
        <f aca="false">IF(AND(S246&lt;&gt;"",ISNUMBER(E246)),E246*Parametros!$B$12,"")</f>
        <v/>
      </c>
      <c r="U246" s="17" t="str">
        <f aca="false">IF(AND(S246&lt;&gt;"",ISNUMBER(E246)),E246*Parametros!$B$13,"")</f>
        <v/>
      </c>
      <c r="V246" s="18" t="str">
        <f aca="false">IF(AND(S246&lt;&gt;"",ISNUMBER(E246)),E246-S246-T246-U246,"")</f>
        <v/>
      </c>
      <c r="W246" s="19" t="str">
        <f aca="false">IF(AND(S246&lt;&gt;"",ISNUMBER(E246)),V246/E246,"")</f>
        <v/>
      </c>
      <c r="X246" s="17" t="str">
        <f aca="false">IF(OR(S246="",Parametros!$B$14&gt;=1),"",S246/(1-Parametros!$B$14))</f>
        <v/>
      </c>
      <c r="Y246" s="17" t="str">
        <f aca="false">IF(OR(S246="",Parametros!$B$14+Parametros!$B$18&gt;=1),"",S246/(1-Parametros!$B$14-Parametros!$B$18))</f>
        <v/>
      </c>
      <c r="Z246" s="20" t="str">
        <f aca="false">IF(B246="","",IF(S246="","FALTAN DATOS",IF(NOT(ISNUMBER(E246)),"FALTA PRECIO",IF(V246&lt;0,"PIERDE",IF(W246&lt;Parametros!$B$18,"BAJO META","OK")))))</f>
        <v/>
      </c>
      <c r="AA246" s="21" t="str">
        <f aca="false">IF(B246="","",IF(F246="","Tela. ","")&amp;IF(NOT(ISNUMBER(G246)),"Kg de tela. ","")&amp;IF(AND(F246&lt;&gt;"",NOT(ISNUMBER(IFERROR(INDEX(Precios!$D$5:$D$120,MATCH(F246,Precios!$A$5:$A$120,0)),"x")))),"Tela sin precio. ","")&amp;IF(AND(H246&lt;&gt;"",NOT(ISNUMBER(IFERROR(INDEX(Precios!$D$5:$D$120,MATCH(H246,Precios!$A$5:$A$120,0)),"x")))),"Tela 2 sin precio. ","")&amp;IF(J246="","Metros impresos. ","")&amp;IF(AND(N(J246)&gt;0,Parametros!$B$27=0),"Impresión sin costo. ","")&amp;IF(K246="","Confección. ",IF(Q246=0,"Confección sin valor. ",""))&amp;IF(NOT(ISNUMBER(E246)),"Precio de venta. ",""))</f>
        <v/>
      </c>
    </row>
    <row r="247" customFormat="false" ht="15" hidden="false" customHeight="false" outlineLevel="0" collapsed="false">
      <c r="A247" s="22"/>
      <c r="B247" s="22"/>
      <c r="C247" s="22"/>
      <c r="D247" s="13"/>
      <c r="E247" s="12"/>
      <c r="F247" s="13"/>
      <c r="G247" s="14"/>
      <c r="H247" s="13"/>
      <c r="I247" s="14"/>
      <c r="J247" s="15"/>
      <c r="K247" s="13"/>
      <c r="L247" s="12"/>
      <c r="M247" s="13"/>
      <c r="O247" s="17" t="str">
        <f aca="false">IF(B247="","",IFERROR(G247*INDEX(Precios!$D$5:$D$120,MATCH(F247,Precios!$A$5:$A$120,0)),0)+IF(H247="",0,IFERROR(I247*INDEX(Precios!$D$5:$D$120,MATCH(H247,Precios!$A$5:$A$120,0)),0)))</f>
        <v/>
      </c>
      <c r="P247" s="17" t="str">
        <f aca="false">IF(B247="","",N(J247)*Parametros!$B$27)</f>
        <v/>
      </c>
      <c r="Q247" s="17" t="str">
        <f aca="false">IF(B247="","",IFERROR(INDEX(Confeccion!$B$5:$B$100,MATCH(K247,Confeccion!$A$5:$A$100,0)),0))</f>
        <v/>
      </c>
      <c r="R247" s="17" t="str">
        <f aca="false">IF(B247="","",N(L247))</f>
        <v/>
      </c>
      <c r="S247" s="18" t="str">
        <f aca="false">IF(B247="","",IF(AND(F247&lt;&gt;"",ISNUMBER(G247),ISNUMBER(IFERROR(INDEX(Precios!$D$5:$D$120,MATCH(F247,Precios!$A$5:$A$120,0)),"x")),OR(H247="",ISNUMBER(IFERROR(INDEX(Precios!$D$5:$D$120,MATCH(H247,Precios!$A$5:$A$120,0)),"x"))),J247&lt;&gt;"",K247&lt;&gt;"",Q247&gt;0),SUM(O247:R247),""))</f>
        <v/>
      </c>
      <c r="T247" s="17" t="str">
        <f aca="false">IF(AND(S247&lt;&gt;"",ISNUMBER(E247)),E247*Parametros!$B$12,"")</f>
        <v/>
      </c>
      <c r="U247" s="17" t="str">
        <f aca="false">IF(AND(S247&lt;&gt;"",ISNUMBER(E247)),E247*Parametros!$B$13,"")</f>
        <v/>
      </c>
      <c r="V247" s="18" t="str">
        <f aca="false">IF(AND(S247&lt;&gt;"",ISNUMBER(E247)),E247-S247-T247-U247,"")</f>
        <v/>
      </c>
      <c r="W247" s="19" t="str">
        <f aca="false">IF(AND(S247&lt;&gt;"",ISNUMBER(E247)),V247/E247,"")</f>
        <v/>
      </c>
      <c r="X247" s="17" t="str">
        <f aca="false">IF(OR(S247="",Parametros!$B$14&gt;=1),"",S247/(1-Parametros!$B$14))</f>
        <v/>
      </c>
      <c r="Y247" s="17" t="str">
        <f aca="false">IF(OR(S247="",Parametros!$B$14+Parametros!$B$18&gt;=1),"",S247/(1-Parametros!$B$14-Parametros!$B$18))</f>
        <v/>
      </c>
      <c r="Z247" s="20" t="str">
        <f aca="false">IF(B247="","",IF(S247="","FALTAN DATOS",IF(NOT(ISNUMBER(E247)),"FALTA PRECIO",IF(V247&lt;0,"PIERDE",IF(W247&lt;Parametros!$B$18,"BAJO META","OK")))))</f>
        <v/>
      </c>
      <c r="AA247" s="21" t="str">
        <f aca="false">IF(B247="","",IF(F247="","Tela. ","")&amp;IF(NOT(ISNUMBER(G247)),"Kg de tela. ","")&amp;IF(AND(F247&lt;&gt;"",NOT(ISNUMBER(IFERROR(INDEX(Precios!$D$5:$D$120,MATCH(F247,Precios!$A$5:$A$120,0)),"x")))),"Tela sin precio. ","")&amp;IF(AND(H247&lt;&gt;"",NOT(ISNUMBER(IFERROR(INDEX(Precios!$D$5:$D$120,MATCH(H247,Precios!$A$5:$A$120,0)),"x")))),"Tela 2 sin precio. ","")&amp;IF(J247="","Metros impresos. ","")&amp;IF(AND(N(J247)&gt;0,Parametros!$B$27=0),"Impresión sin costo. ","")&amp;IF(K247="","Confección. ",IF(Q247=0,"Confección sin valor. ",""))&amp;IF(NOT(ISNUMBER(E247)),"Precio de venta. ",""))</f>
        <v/>
      </c>
    </row>
    <row r="248" customFormat="false" ht="15" hidden="false" customHeight="false" outlineLevel="0" collapsed="false">
      <c r="A248" s="22"/>
      <c r="B248" s="22"/>
      <c r="C248" s="22"/>
      <c r="D248" s="13"/>
      <c r="E248" s="12"/>
      <c r="F248" s="13"/>
      <c r="G248" s="14"/>
      <c r="H248" s="13"/>
      <c r="I248" s="14"/>
      <c r="J248" s="15"/>
      <c r="K248" s="13"/>
      <c r="L248" s="12"/>
      <c r="M248" s="13"/>
      <c r="O248" s="17" t="str">
        <f aca="false">IF(B248="","",IFERROR(G248*INDEX(Precios!$D$5:$D$120,MATCH(F248,Precios!$A$5:$A$120,0)),0)+IF(H248="",0,IFERROR(I248*INDEX(Precios!$D$5:$D$120,MATCH(H248,Precios!$A$5:$A$120,0)),0)))</f>
        <v/>
      </c>
      <c r="P248" s="17" t="str">
        <f aca="false">IF(B248="","",N(J248)*Parametros!$B$27)</f>
        <v/>
      </c>
      <c r="Q248" s="17" t="str">
        <f aca="false">IF(B248="","",IFERROR(INDEX(Confeccion!$B$5:$B$100,MATCH(K248,Confeccion!$A$5:$A$100,0)),0))</f>
        <v/>
      </c>
      <c r="R248" s="17" t="str">
        <f aca="false">IF(B248="","",N(L248))</f>
        <v/>
      </c>
      <c r="S248" s="18" t="str">
        <f aca="false">IF(B248="","",IF(AND(F248&lt;&gt;"",ISNUMBER(G248),ISNUMBER(IFERROR(INDEX(Precios!$D$5:$D$120,MATCH(F248,Precios!$A$5:$A$120,0)),"x")),OR(H248="",ISNUMBER(IFERROR(INDEX(Precios!$D$5:$D$120,MATCH(H248,Precios!$A$5:$A$120,0)),"x"))),J248&lt;&gt;"",K248&lt;&gt;"",Q248&gt;0),SUM(O248:R248),""))</f>
        <v/>
      </c>
      <c r="T248" s="17" t="str">
        <f aca="false">IF(AND(S248&lt;&gt;"",ISNUMBER(E248)),E248*Parametros!$B$12,"")</f>
        <v/>
      </c>
      <c r="U248" s="17" t="str">
        <f aca="false">IF(AND(S248&lt;&gt;"",ISNUMBER(E248)),E248*Parametros!$B$13,"")</f>
        <v/>
      </c>
      <c r="V248" s="18" t="str">
        <f aca="false">IF(AND(S248&lt;&gt;"",ISNUMBER(E248)),E248-S248-T248-U248,"")</f>
        <v/>
      </c>
      <c r="W248" s="19" t="str">
        <f aca="false">IF(AND(S248&lt;&gt;"",ISNUMBER(E248)),V248/E248,"")</f>
        <v/>
      </c>
      <c r="X248" s="17" t="str">
        <f aca="false">IF(OR(S248="",Parametros!$B$14&gt;=1),"",S248/(1-Parametros!$B$14))</f>
        <v/>
      </c>
      <c r="Y248" s="17" t="str">
        <f aca="false">IF(OR(S248="",Parametros!$B$14+Parametros!$B$18&gt;=1),"",S248/(1-Parametros!$B$14-Parametros!$B$18))</f>
        <v/>
      </c>
      <c r="Z248" s="20" t="str">
        <f aca="false">IF(B248="","",IF(S248="","FALTAN DATOS",IF(NOT(ISNUMBER(E248)),"FALTA PRECIO",IF(V248&lt;0,"PIERDE",IF(W248&lt;Parametros!$B$18,"BAJO META","OK")))))</f>
        <v/>
      </c>
      <c r="AA248" s="21" t="str">
        <f aca="false">IF(B248="","",IF(F248="","Tela. ","")&amp;IF(NOT(ISNUMBER(G248)),"Kg de tela. ","")&amp;IF(AND(F248&lt;&gt;"",NOT(ISNUMBER(IFERROR(INDEX(Precios!$D$5:$D$120,MATCH(F248,Precios!$A$5:$A$120,0)),"x")))),"Tela sin precio. ","")&amp;IF(AND(H248&lt;&gt;"",NOT(ISNUMBER(IFERROR(INDEX(Precios!$D$5:$D$120,MATCH(H248,Precios!$A$5:$A$120,0)),"x")))),"Tela 2 sin precio. ","")&amp;IF(J248="","Metros impresos. ","")&amp;IF(AND(N(J248)&gt;0,Parametros!$B$27=0),"Impresión sin costo. ","")&amp;IF(K248="","Confección. ",IF(Q248=0,"Confección sin valor. ",""))&amp;IF(NOT(ISNUMBER(E248)),"Precio de venta. ",""))</f>
        <v/>
      </c>
    </row>
    <row r="249" customFormat="false" ht="15" hidden="false" customHeight="false" outlineLevel="0" collapsed="false">
      <c r="A249" s="22"/>
      <c r="B249" s="22"/>
      <c r="C249" s="22"/>
      <c r="D249" s="13"/>
      <c r="E249" s="12"/>
      <c r="F249" s="13"/>
      <c r="G249" s="14"/>
      <c r="H249" s="13"/>
      <c r="I249" s="14"/>
      <c r="J249" s="15"/>
      <c r="K249" s="13"/>
      <c r="L249" s="12"/>
      <c r="M249" s="13"/>
      <c r="O249" s="17" t="str">
        <f aca="false">IF(B249="","",IFERROR(G249*INDEX(Precios!$D$5:$D$120,MATCH(F249,Precios!$A$5:$A$120,0)),0)+IF(H249="",0,IFERROR(I249*INDEX(Precios!$D$5:$D$120,MATCH(H249,Precios!$A$5:$A$120,0)),0)))</f>
        <v/>
      </c>
      <c r="P249" s="17" t="str">
        <f aca="false">IF(B249="","",N(J249)*Parametros!$B$27)</f>
        <v/>
      </c>
      <c r="Q249" s="17" t="str">
        <f aca="false">IF(B249="","",IFERROR(INDEX(Confeccion!$B$5:$B$100,MATCH(K249,Confeccion!$A$5:$A$100,0)),0))</f>
        <v/>
      </c>
      <c r="R249" s="17" t="str">
        <f aca="false">IF(B249="","",N(L249))</f>
        <v/>
      </c>
      <c r="S249" s="18" t="str">
        <f aca="false">IF(B249="","",IF(AND(F249&lt;&gt;"",ISNUMBER(G249),ISNUMBER(IFERROR(INDEX(Precios!$D$5:$D$120,MATCH(F249,Precios!$A$5:$A$120,0)),"x")),OR(H249="",ISNUMBER(IFERROR(INDEX(Precios!$D$5:$D$120,MATCH(H249,Precios!$A$5:$A$120,0)),"x"))),J249&lt;&gt;"",K249&lt;&gt;"",Q249&gt;0),SUM(O249:R249),""))</f>
        <v/>
      </c>
      <c r="T249" s="17" t="str">
        <f aca="false">IF(AND(S249&lt;&gt;"",ISNUMBER(E249)),E249*Parametros!$B$12,"")</f>
        <v/>
      </c>
      <c r="U249" s="17" t="str">
        <f aca="false">IF(AND(S249&lt;&gt;"",ISNUMBER(E249)),E249*Parametros!$B$13,"")</f>
        <v/>
      </c>
      <c r="V249" s="18" t="str">
        <f aca="false">IF(AND(S249&lt;&gt;"",ISNUMBER(E249)),E249-S249-T249-U249,"")</f>
        <v/>
      </c>
      <c r="W249" s="19" t="str">
        <f aca="false">IF(AND(S249&lt;&gt;"",ISNUMBER(E249)),V249/E249,"")</f>
        <v/>
      </c>
      <c r="X249" s="17" t="str">
        <f aca="false">IF(OR(S249="",Parametros!$B$14&gt;=1),"",S249/(1-Parametros!$B$14))</f>
        <v/>
      </c>
      <c r="Y249" s="17" t="str">
        <f aca="false">IF(OR(S249="",Parametros!$B$14+Parametros!$B$18&gt;=1),"",S249/(1-Parametros!$B$14-Parametros!$B$18))</f>
        <v/>
      </c>
      <c r="Z249" s="20" t="str">
        <f aca="false">IF(B249="","",IF(S249="","FALTAN DATOS",IF(NOT(ISNUMBER(E249)),"FALTA PRECIO",IF(V249&lt;0,"PIERDE",IF(W249&lt;Parametros!$B$18,"BAJO META","OK")))))</f>
        <v/>
      </c>
      <c r="AA249" s="21" t="str">
        <f aca="false">IF(B249="","",IF(F249="","Tela. ","")&amp;IF(NOT(ISNUMBER(G249)),"Kg de tela. ","")&amp;IF(AND(F249&lt;&gt;"",NOT(ISNUMBER(IFERROR(INDEX(Precios!$D$5:$D$120,MATCH(F249,Precios!$A$5:$A$120,0)),"x")))),"Tela sin precio. ","")&amp;IF(AND(H249&lt;&gt;"",NOT(ISNUMBER(IFERROR(INDEX(Precios!$D$5:$D$120,MATCH(H249,Precios!$A$5:$A$120,0)),"x")))),"Tela 2 sin precio. ","")&amp;IF(J249="","Metros impresos. ","")&amp;IF(AND(N(J249)&gt;0,Parametros!$B$27=0),"Impresión sin costo. ","")&amp;IF(K249="","Confección. ",IF(Q249=0,"Confección sin valor. ",""))&amp;IF(NOT(ISNUMBER(E249)),"Precio de venta. ",""))</f>
        <v/>
      </c>
    </row>
    <row r="250" customFormat="false" ht="15" hidden="false" customHeight="false" outlineLevel="0" collapsed="false">
      <c r="A250" s="22"/>
      <c r="B250" s="22"/>
      <c r="C250" s="22"/>
      <c r="D250" s="13"/>
      <c r="E250" s="12"/>
      <c r="F250" s="13"/>
      <c r="G250" s="14"/>
      <c r="H250" s="13"/>
      <c r="I250" s="14"/>
      <c r="J250" s="15"/>
      <c r="K250" s="13"/>
      <c r="L250" s="12"/>
      <c r="M250" s="13"/>
      <c r="O250" s="17" t="str">
        <f aca="false">IF(B250="","",IFERROR(G250*INDEX(Precios!$D$5:$D$120,MATCH(F250,Precios!$A$5:$A$120,0)),0)+IF(H250="",0,IFERROR(I250*INDEX(Precios!$D$5:$D$120,MATCH(H250,Precios!$A$5:$A$120,0)),0)))</f>
        <v/>
      </c>
      <c r="P250" s="17" t="str">
        <f aca="false">IF(B250="","",N(J250)*Parametros!$B$27)</f>
        <v/>
      </c>
      <c r="Q250" s="17" t="str">
        <f aca="false">IF(B250="","",IFERROR(INDEX(Confeccion!$B$5:$B$100,MATCH(K250,Confeccion!$A$5:$A$100,0)),0))</f>
        <v/>
      </c>
      <c r="R250" s="17" t="str">
        <f aca="false">IF(B250="","",N(L250))</f>
        <v/>
      </c>
      <c r="S250" s="18" t="str">
        <f aca="false">IF(B250="","",IF(AND(F250&lt;&gt;"",ISNUMBER(G250),ISNUMBER(IFERROR(INDEX(Precios!$D$5:$D$120,MATCH(F250,Precios!$A$5:$A$120,0)),"x")),OR(H250="",ISNUMBER(IFERROR(INDEX(Precios!$D$5:$D$120,MATCH(H250,Precios!$A$5:$A$120,0)),"x"))),J250&lt;&gt;"",K250&lt;&gt;"",Q250&gt;0),SUM(O250:R250),""))</f>
        <v/>
      </c>
      <c r="T250" s="17" t="str">
        <f aca="false">IF(AND(S250&lt;&gt;"",ISNUMBER(E250)),E250*Parametros!$B$12,"")</f>
        <v/>
      </c>
      <c r="U250" s="17" t="str">
        <f aca="false">IF(AND(S250&lt;&gt;"",ISNUMBER(E250)),E250*Parametros!$B$13,"")</f>
        <v/>
      </c>
      <c r="V250" s="18" t="str">
        <f aca="false">IF(AND(S250&lt;&gt;"",ISNUMBER(E250)),E250-S250-T250-U250,"")</f>
        <v/>
      </c>
      <c r="W250" s="19" t="str">
        <f aca="false">IF(AND(S250&lt;&gt;"",ISNUMBER(E250)),V250/E250,"")</f>
        <v/>
      </c>
      <c r="X250" s="17" t="str">
        <f aca="false">IF(OR(S250="",Parametros!$B$14&gt;=1),"",S250/(1-Parametros!$B$14))</f>
        <v/>
      </c>
      <c r="Y250" s="17" t="str">
        <f aca="false">IF(OR(S250="",Parametros!$B$14+Parametros!$B$18&gt;=1),"",S250/(1-Parametros!$B$14-Parametros!$B$18))</f>
        <v/>
      </c>
      <c r="Z250" s="20" t="str">
        <f aca="false">IF(B250="","",IF(S250="","FALTAN DATOS",IF(NOT(ISNUMBER(E250)),"FALTA PRECIO",IF(V250&lt;0,"PIERDE",IF(W250&lt;Parametros!$B$18,"BAJO META","OK")))))</f>
        <v/>
      </c>
      <c r="AA250" s="21" t="str">
        <f aca="false">IF(B250="","",IF(F250="","Tela. ","")&amp;IF(NOT(ISNUMBER(G250)),"Kg de tela. ","")&amp;IF(AND(F250&lt;&gt;"",NOT(ISNUMBER(IFERROR(INDEX(Precios!$D$5:$D$120,MATCH(F250,Precios!$A$5:$A$120,0)),"x")))),"Tela sin precio. ","")&amp;IF(AND(H250&lt;&gt;"",NOT(ISNUMBER(IFERROR(INDEX(Precios!$D$5:$D$120,MATCH(H250,Precios!$A$5:$A$120,0)),"x")))),"Tela 2 sin precio. ","")&amp;IF(J250="","Metros impresos. ","")&amp;IF(AND(N(J250)&gt;0,Parametros!$B$27=0),"Impresión sin costo. ","")&amp;IF(K250="","Confección. ",IF(Q250=0,"Confección sin valor. ",""))&amp;IF(NOT(ISNUMBER(E250)),"Precio de venta. ",""))</f>
        <v/>
      </c>
    </row>
  </sheetData>
  <autoFilter ref="A5:AA250"/>
  <mergeCells count="4">
    <mergeCell ref="A4:D4"/>
    <mergeCell ref="E4:N4"/>
    <mergeCell ref="O4:S4"/>
    <mergeCell ref="T4:AA4"/>
  </mergeCells>
  <conditionalFormatting sqref="Z6:Z250">
    <cfRule type="cellIs" priority="2" operator="equal" aboveAverage="0" equalAverage="0" bottom="0" percent="0" rank="0" text="" dxfId="11">
      <formula>"PIERDE"</formula>
    </cfRule>
    <cfRule type="cellIs" priority="3" operator="equal" aboveAverage="0" equalAverage="0" bottom="0" percent="0" rank="0" text="" dxfId="12">
      <formula>"BAJO META"</formula>
    </cfRule>
    <cfRule type="cellIs" priority="4" operator="equal" aboveAverage="0" equalAverage="0" bottom="0" percent="0" rank="0" text="" dxfId="13">
      <formula>"OK"</formula>
    </cfRule>
    <cfRule type="cellIs" priority="5" operator="equal" aboveAverage="0" equalAverage="0" bottom="0" percent="0" rank="0" text="" dxfId="14">
      <formula>"FALTAN DATOS"</formula>
    </cfRule>
    <cfRule type="cellIs" priority="6" operator="equal" aboveAverage="0" equalAverage="0" bottom="0" percent="0" rank="0" text="" dxfId="14">
      <formula>"FALTA PRECIO"</formula>
    </cfRule>
  </conditionalFormatting>
  <conditionalFormatting sqref="V6:V250">
    <cfRule type="cellIs" priority="7" operator="lessThan" aboveAverage="0" equalAverage="0" bottom="0" percent="0" rank="0" text="" dxfId="15">
      <formula>0</formula>
    </cfRule>
  </conditionalFormatting>
  <dataValidations count="4">
    <dataValidation allowBlank="true" errorStyle="stop" operator="between" showDropDown="false" showErrorMessage="false" showInputMessage="false" sqref="F6:F250" type="list">
      <formula1>Precios!$A$5:$A$120</formula1>
      <formula2>0</formula2>
    </dataValidation>
    <dataValidation allowBlank="true" errorStyle="stop" operator="between" showDropDown="false" showErrorMessage="false" showInputMessage="false" sqref="H6:H250" type="list">
      <formula1>Precios!$A$5:$A$120</formula1>
      <formula2>0</formula2>
    </dataValidation>
    <dataValidation allowBlank="true" errorStyle="stop" operator="between" showDropDown="false" showErrorMessage="false" showInputMessage="false" sqref="K6:K250" type="list">
      <formula1>Confeccion!$A$5:$A$100</formula1>
      <formula2>0</formula2>
    </dataValidation>
    <dataValidation allowBlank="true" errorStyle="stop" operator="between" showDropDown="false" showErrorMessage="false" showInputMessage="false" sqref="M6:M250" type="list">
      <formula1>"Por confirmar,Confirmado"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8"/>
    <col collapsed="false" customWidth="true" hidden="false" outlineLevel="0" max="2" min="2" style="0" width="16"/>
    <col collapsed="false" customWidth="true" hidden="false" outlineLevel="0" max="3" min="3" style="0" width="70"/>
  </cols>
  <sheetData>
    <row r="1" customFormat="false" ht="17.35" hidden="false" customHeight="false" outlineLevel="0" collapsed="false">
      <c r="A1" s="1" t="s">
        <v>252</v>
      </c>
    </row>
    <row r="2" customFormat="false" ht="15" hidden="false" customHeight="false" outlineLevel="0" collapsed="false">
      <c r="A2" s="2" t="s">
        <v>253</v>
      </c>
    </row>
    <row r="4" customFormat="false" ht="15" hidden="false" customHeight="false" outlineLevel="0" collapsed="false">
      <c r="A4" s="23" t="s">
        <v>254</v>
      </c>
      <c r="B4" s="24"/>
      <c r="C4" s="24"/>
    </row>
    <row r="5" customFormat="false" ht="15" hidden="false" customHeight="false" outlineLevel="0" collapsed="false">
      <c r="A5" s="11" t="s">
        <v>255</v>
      </c>
      <c r="B5" s="17" t="n">
        <f aca="false">Gastos_Ventas!F41</f>
        <v>12421897</v>
      </c>
      <c r="C5" s="16" t="s">
        <v>256</v>
      </c>
    </row>
    <row r="6" customFormat="false" ht="15" hidden="false" customHeight="false" outlineLevel="0" collapsed="false">
      <c r="A6" s="11" t="s">
        <v>257</v>
      </c>
      <c r="B6" s="17" t="n">
        <f aca="false">Gastos_Ventas!F42</f>
        <v>4459061</v>
      </c>
      <c r="C6" s="16" t="s">
        <v>256</v>
      </c>
    </row>
    <row r="7" customFormat="false" ht="15" hidden="false" customHeight="false" outlineLevel="0" collapsed="false">
      <c r="A7" s="11" t="s">
        <v>258</v>
      </c>
      <c r="B7" s="17" t="n">
        <f aca="false">Gastos_Ventas!F45</f>
        <v>35194839.6666667</v>
      </c>
      <c r="C7" s="16" t="s">
        <v>256</v>
      </c>
    </row>
    <row r="8" customFormat="false" ht="15" hidden="false" customHeight="false" outlineLevel="0" collapsed="false">
      <c r="A8" s="11" t="s">
        <v>259</v>
      </c>
      <c r="B8" s="25" t="n">
        <f aca="false">IFERROR(B5/B7,0)</f>
        <v>0.352946543233294</v>
      </c>
      <c r="C8" s="16" t="s">
        <v>260</v>
      </c>
    </row>
    <row r="9" customFormat="false" ht="15" hidden="false" customHeight="false" outlineLevel="0" collapsed="false">
      <c r="A9" s="11" t="s">
        <v>261</v>
      </c>
      <c r="B9" s="25" t="n">
        <f aca="false">IFERROR(B6/B7,0)</f>
        <v>0.126696443064726</v>
      </c>
      <c r="C9" s="16" t="s">
        <v>262</v>
      </c>
    </row>
    <row r="10" customFormat="false" ht="15" hidden="false" customHeight="false" outlineLevel="0" collapsed="false">
      <c r="A10" s="11" t="s">
        <v>263</v>
      </c>
      <c r="B10" s="26"/>
      <c r="C10" s="16" t="s">
        <v>264</v>
      </c>
    </row>
    <row r="11" customFormat="false" ht="15" hidden="false" customHeight="false" outlineLevel="0" collapsed="false">
      <c r="A11" s="11" t="s">
        <v>265</v>
      </c>
      <c r="B11" s="26"/>
      <c r="C11" s="16" t="s">
        <v>266</v>
      </c>
    </row>
    <row r="12" customFormat="false" ht="15" hidden="false" customHeight="false" outlineLevel="0" collapsed="false">
      <c r="A12" s="27" t="s">
        <v>267</v>
      </c>
      <c r="B12" s="19" t="n">
        <f aca="false">IF(ISNUMBER(B10),B10,B8)</f>
        <v>0.352946543233294</v>
      </c>
      <c r="C12" s="16" t="s">
        <v>268</v>
      </c>
    </row>
    <row r="13" customFormat="false" ht="15" hidden="false" customHeight="false" outlineLevel="0" collapsed="false">
      <c r="A13" s="27" t="s">
        <v>269</v>
      </c>
      <c r="B13" s="19" t="n">
        <f aca="false">IF(ISNUMBER(B11),B11,B9)</f>
        <v>0.126696443064726</v>
      </c>
      <c r="C13" s="16" t="s">
        <v>268</v>
      </c>
    </row>
    <row r="14" customFormat="false" ht="15" hidden="false" customHeight="false" outlineLevel="0" collapsed="false">
      <c r="A14" s="28" t="s">
        <v>270</v>
      </c>
      <c r="B14" s="29" t="n">
        <f aca="false">B12+B13</f>
        <v>0.47964298629802</v>
      </c>
      <c r="C14" s="16" t="s">
        <v>271</v>
      </c>
    </row>
    <row r="15" customFormat="false" ht="15" hidden="false" customHeight="false" outlineLevel="0" collapsed="false">
      <c r="A15" s="11" t="s">
        <v>272</v>
      </c>
      <c r="B15" s="13" t="s">
        <v>273</v>
      </c>
      <c r="C15" s="16" t="s">
        <v>274</v>
      </c>
    </row>
    <row r="17" customFormat="false" ht="15" hidden="false" customHeight="false" outlineLevel="0" collapsed="false">
      <c r="A17" s="23" t="s">
        <v>275</v>
      </c>
      <c r="B17" s="24"/>
      <c r="C17" s="24"/>
    </row>
    <row r="18" customFormat="false" ht="15" hidden="false" customHeight="false" outlineLevel="0" collapsed="false">
      <c r="A18" s="11" t="s">
        <v>276</v>
      </c>
      <c r="B18" s="26" t="n">
        <v>0.1</v>
      </c>
      <c r="C18" s="16" t="s">
        <v>277</v>
      </c>
    </row>
    <row r="20" customFormat="false" ht="15" hidden="false" customHeight="false" outlineLevel="0" collapsed="false">
      <c r="A20" s="23" t="s">
        <v>278</v>
      </c>
      <c r="B20" s="24"/>
      <c r="C20" s="24"/>
    </row>
    <row r="21" customFormat="false" ht="15" hidden="false" customHeight="false" outlineLevel="0" collapsed="false">
      <c r="A21" s="11" t="s">
        <v>279</v>
      </c>
      <c r="B21" s="12" t="n">
        <v>50420</v>
      </c>
      <c r="C21" s="16" t="s">
        <v>280</v>
      </c>
    </row>
    <row r="22" customFormat="false" ht="15" hidden="false" customHeight="false" outlineLevel="0" collapsed="false">
      <c r="A22" s="11" t="s">
        <v>281</v>
      </c>
      <c r="B22" s="30"/>
      <c r="C22" s="16" t="s">
        <v>282</v>
      </c>
    </row>
    <row r="23" customFormat="false" ht="15" hidden="false" customHeight="false" outlineLevel="0" collapsed="false">
      <c r="A23" s="11" t="s">
        <v>283</v>
      </c>
      <c r="B23" s="12" t="n">
        <v>72119</v>
      </c>
      <c r="C23" s="16" t="s">
        <v>284</v>
      </c>
    </row>
    <row r="24" customFormat="false" ht="15" hidden="false" customHeight="false" outlineLevel="0" collapsed="false">
      <c r="A24" s="11" t="s">
        <v>285</v>
      </c>
      <c r="B24" s="31"/>
      <c r="C24" s="16" t="s">
        <v>286</v>
      </c>
    </row>
    <row r="25" customFormat="false" ht="15" hidden="false" customHeight="false" outlineLevel="0" collapsed="false">
      <c r="A25" s="11" t="s">
        <v>287</v>
      </c>
      <c r="B25" s="17" t="n">
        <f aca="false">IFERROR(B21/B22,0)</f>
        <v>0</v>
      </c>
      <c r="C25" s="16" t="s">
        <v>288</v>
      </c>
    </row>
    <row r="26" customFormat="false" ht="15" hidden="false" customHeight="false" outlineLevel="0" collapsed="false">
      <c r="A26" s="11" t="s">
        <v>289</v>
      </c>
      <c r="B26" s="17" t="n">
        <f aca="false">B24*B23/1000</f>
        <v>0</v>
      </c>
      <c r="C26" s="16" t="s">
        <v>288</v>
      </c>
    </row>
    <row r="27" customFormat="false" ht="15" hidden="false" customHeight="false" outlineLevel="0" collapsed="false">
      <c r="A27" s="28" t="s">
        <v>290</v>
      </c>
      <c r="B27" s="32" t="n">
        <f aca="false">B25+B26</f>
        <v>0</v>
      </c>
      <c r="C27" s="16" t="s">
        <v>291</v>
      </c>
    </row>
    <row r="29" customFormat="false" ht="15" hidden="false" customHeight="false" outlineLevel="0" collapsed="false">
      <c r="A29" s="23" t="s">
        <v>292</v>
      </c>
      <c r="B29" s="24"/>
      <c r="C29" s="24"/>
    </row>
    <row r="30" customFormat="false" ht="54.75" hidden="false" customHeight="true" outlineLevel="0" collapsed="false">
      <c r="A30" s="33" t="s">
        <v>293</v>
      </c>
      <c r="B30" s="33"/>
      <c r="C30" s="33"/>
    </row>
  </sheetData>
  <mergeCells count="1">
    <mergeCell ref="A30:C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2"/>
    <col collapsed="false" customWidth="true" hidden="false" outlineLevel="0" max="5" min="3" style="0" width="14"/>
    <col collapsed="false" customWidth="true" hidden="false" outlineLevel="0" max="6" min="6" style="0" width="17"/>
    <col collapsed="false" customWidth="true" hidden="false" outlineLevel="0" max="7" min="7" style="0" width="55"/>
  </cols>
  <sheetData>
    <row r="1" customFormat="false" ht="17.35" hidden="false" customHeight="false" outlineLevel="0" collapsed="false">
      <c r="A1" s="1" t="s">
        <v>294</v>
      </c>
    </row>
    <row r="2" customFormat="false" ht="15" hidden="false" customHeight="false" outlineLevel="0" collapsed="false">
      <c r="A2" s="2" t="s">
        <v>295</v>
      </c>
    </row>
    <row r="4" customFormat="false" ht="15" hidden="false" customHeight="false" outlineLevel="0" collapsed="false">
      <c r="A4" s="10" t="s">
        <v>296</v>
      </c>
      <c r="B4" s="10" t="s">
        <v>297</v>
      </c>
      <c r="C4" s="34" t="s">
        <v>298</v>
      </c>
      <c r="D4" s="34" t="s">
        <v>299</v>
      </c>
      <c r="E4" s="34" t="s">
        <v>300</v>
      </c>
      <c r="F4" s="10" t="s">
        <v>301</v>
      </c>
      <c r="G4" s="10" t="s">
        <v>302</v>
      </c>
    </row>
    <row r="5" customFormat="false" ht="15" hidden="false" customHeight="false" outlineLevel="0" collapsed="false">
      <c r="A5" s="11" t="s">
        <v>303</v>
      </c>
      <c r="B5" s="13" t="s">
        <v>304</v>
      </c>
      <c r="C5" s="12" t="n">
        <v>2400000</v>
      </c>
      <c r="D5" s="12" t="n">
        <v>2400000</v>
      </c>
      <c r="E5" s="12" t="n">
        <v>2400000</v>
      </c>
      <c r="F5" s="17" t="n">
        <f aca="false">AVERAGE(C5:E5)</f>
        <v>2400000</v>
      </c>
      <c r="G5" s="16" t="s">
        <v>305</v>
      </c>
    </row>
    <row r="6" customFormat="false" ht="15" hidden="false" customHeight="false" outlineLevel="0" collapsed="false">
      <c r="A6" s="11" t="s">
        <v>306</v>
      </c>
      <c r="B6" s="13" t="s">
        <v>304</v>
      </c>
      <c r="C6" s="12" t="n">
        <v>833000</v>
      </c>
      <c r="D6" s="12" t="n">
        <v>833000</v>
      </c>
      <c r="E6" s="12" t="n">
        <v>833000</v>
      </c>
      <c r="F6" s="17" t="n">
        <f aca="false">AVERAGE(C6:E6)</f>
        <v>833000</v>
      </c>
      <c r="G6" s="16" t="s">
        <v>305</v>
      </c>
    </row>
    <row r="7" customFormat="false" ht="15" hidden="false" customHeight="false" outlineLevel="0" collapsed="false">
      <c r="A7" s="11" t="s">
        <v>307</v>
      </c>
      <c r="B7" s="13" t="s">
        <v>304</v>
      </c>
      <c r="C7" s="12" t="n">
        <v>1666000</v>
      </c>
      <c r="D7" s="12" t="n">
        <v>1666000</v>
      </c>
      <c r="E7" s="12" t="n">
        <v>1666000</v>
      </c>
      <c r="F7" s="17" t="n">
        <f aca="false">AVERAGE(C7:E7)</f>
        <v>1666000</v>
      </c>
      <c r="G7" s="16" t="s">
        <v>305</v>
      </c>
    </row>
    <row r="8" customFormat="false" ht="15" hidden="false" customHeight="false" outlineLevel="0" collapsed="false">
      <c r="A8" s="11" t="s">
        <v>308</v>
      </c>
      <c r="B8" s="13" t="s">
        <v>304</v>
      </c>
      <c r="C8" s="12" t="n">
        <v>1105374</v>
      </c>
      <c r="D8" s="12" t="n">
        <v>1105374</v>
      </c>
      <c r="E8" s="12" t="n">
        <v>1105374</v>
      </c>
      <c r="F8" s="17" t="n">
        <f aca="false">AVERAGE(C8:E8)</f>
        <v>1105374</v>
      </c>
      <c r="G8" s="16" t="s">
        <v>305</v>
      </c>
    </row>
    <row r="9" customFormat="false" ht="15" hidden="false" customHeight="false" outlineLevel="0" collapsed="false">
      <c r="A9" s="11" t="s">
        <v>309</v>
      </c>
      <c r="B9" s="13" t="s">
        <v>304</v>
      </c>
      <c r="C9" s="12" t="n">
        <v>720000</v>
      </c>
      <c r="D9" s="12" t="n">
        <v>720000</v>
      </c>
      <c r="E9" s="12" t="n">
        <v>720000</v>
      </c>
      <c r="F9" s="17" t="n">
        <f aca="false">AVERAGE(C9:E9)</f>
        <v>720000</v>
      </c>
      <c r="G9" s="16" t="s">
        <v>305</v>
      </c>
    </row>
    <row r="10" customFormat="false" ht="15" hidden="false" customHeight="false" outlineLevel="0" collapsed="false">
      <c r="A10" s="11" t="s">
        <v>310</v>
      </c>
      <c r="B10" s="13" t="s">
        <v>304</v>
      </c>
      <c r="C10" s="12" t="n">
        <v>638049</v>
      </c>
      <c r="D10" s="12" t="n">
        <v>638049</v>
      </c>
      <c r="E10" s="12" t="n">
        <v>638049</v>
      </c>
      <c r="F10" s="17" t="n">
        <f aca="false">AVERAGE(C10:E10)</f>
        <v>638049</v>
      </c>
      <c r="G10" s="16"/>
    </row>
    <row r="11" customFormat="false" ht="15" hidden="false" customHeight="false" outlineLevel="0" collapsed="false">
      <c r="A11" s="11" t="s">
        <v>311</v>
      </c>
      <c r="B11" s="13" t="s">
        <v>304</v>
      </c>
      <c r="C11" s="12" t="n">
        <v>10630</v>
      </c>
      <c r="D11" s="12" t="n">
        <v>10630</v>
      </c>
      <c r="E11" s="12" t="n">
        <v>10630</v>
      </c>
      <c r="F11" s="17" t="n">
        <f aca="false">AVERAGE(C11:E11)</f>
        <v>10630</v>
      </c>
      <c r="G11" s="16"/>
    </row>
    <row r="12" customFormat="false" ht="15" hidden="false" customHeight="false" outlineLevel="0" collapsed="false">
      <c r="A12" s="11" t="s">
        <v>312</v>
      </c>
      <c r="B12" s="13" t="s">
        <v>304</v>
      </c>
      <c r="C12" s="12" t="n">
        <v>95000</v>
      </c>
      <c r="D12" s="12" t="n">
        <v>95000</v>
      </c>
      <c r="E12" s="12" t="n">
        <v>95000</v>
      </c>
      <c r="F12" s="17" t="n">
        <f aca="false">AVERAGE(C12:E12)</f>
        <v>95000</v>
      </c>
      <c r="G12" s="16"/>
    </row>
    <row r="13" customFormat="false" ht="15" hidden="false" customHeight="false" outlineLevel="0" collapsed="false">
      <c r="A13" s="11" t="s">
        <v>313</v>
      </c>
      <c r="B13" s="13" t="s">
        <v>304</v>
      </c>
      <c r="C13" s="12" t="n">
        <v>2163844</v>
      </c>
      <c r="D13" s="12" t="n">
        <v>2163844</v>
      </c>
      <c r="E13" s="12" t="n">
        <v>2163844</v>
      </c>
      <c r="F13" s="17" t="n">
        <f aca="false">AVERAGE(C13:E13)</f>
        <v>2163844</v>
      </c>
      <c r="G13" s="16"/>
    </row>
    <row r="14" customFormat="false" ht="15" hidden="false" customHeight="false" outlineLevel="0" collapsed="false">
      <c r="A14" s="11" t="s">
        <v>314</v>
      </c>
      <c r="B14" s="13" t="s">
        <v>304</v>
      </c>
      <c r="C14" s="12" t="n">
        <v>49000</v>
      </c>
      <c r="D14" s="12" t="n">
        <v>49000</v>
      </c>
      <c r="E14" s="12" t="n">
        <v>49000</v>
      </c>
      <c r="F14" s="17" t="n">
        <f aca="false">AVERAGE(C14:E14)</f>
        <v>49000</v>
      </c>
      <c r="G14" s="16"/>
    </row>
    <row r="15" customFormat="false" ht="15" hidden="false" customHeight="false" outlineLevel="0" collapsed="false">
      <c r="A15" s="11" t="s">
        <v>315</v>
      </c>
      <c r="B15" s="13" t="s">
        <v>304</v>
      </c>
      <c r="C15" s="12" t="n">
        <v>300000</v>
      </c>
      <c r="D15" s="12" t="n">
        <v>300000</v>
      </c>
      <c r="E15" s="12" t="n">
        <v>300000</v>
      </c>
      <c r="F15" s="17" t="n">
        <f aca="false">AVERAGE(C15:E15)</f>
        <v>300000</v>
      </c>
      <c r="G15" s="16"/>
    </row>
    <row r="16" customFormat="false" ht="15" hidden="false" customHeight="false" outlineLevel="0" collapsed="false">
      <c r="A16" s="11" t="s">
        <v>316</v>
      </c>
      <c r="B16" s="13" t="s">
        <v>304</v>
      </c>
      <c r="C16" s="12" t="n">
        <v>50000</v>
      </c>
      <c r="D16" s="12" t="n">
        <v>50000</v>
      </c>
      <c r="E16" s="12" t="n">
        <v>50000</v>
      </c>
      <c r="F16" s="17" t="n">
        <f aca="false">AVERAGE(C16:E16)</f>
        <v>50000</v>
      </c>
      <c r="G16" s="16"/>
    </row>
    <row r="17" customFormat="false" ht="15" hidden="false" customHeight="false" outlineLevel="0" collapsed="false">
      <c r="A17" s="11" t="s">
        <v>317</v>
      </c>
      <c r="B17" s="13" t="s">
        <v>304</v>
      </c>
      <c r="C17" s="12" t="n">
        <v>100000</v>
      </c>
      <c r="D17" s="12" t="n">
        <v>100000</v>
      </c>
      <c r="E17" s="12" t="n">
        <v>100000</v>
      </c>
      <c r="F17" s="17" t="n">
        <f aca="false">AVERAGE(C17:E17)</f>
        <v>100000</v>
      </c>
      <c r="G17" s="16"/>
    </row>
    <row r="18" customFormat="false" ht="15" hidden="false" customHeight="false" outlineLevel="0" collapsed="false">
      <c r="A18" s="11" t="s">
        <v>318</v>
      </c>
      <c r="B18" s="13" t="s">
        <v>304</v>
      </c>
      <c r="C18" s="12" t="n">
        <v>100000</v>
      </c>
      <c r="D18" s="12" t="n">
        <v>100000</v>
      </c>
      <c r="E18" s="12" t="n">
        <v>100000</v>
      </c>
      <c r="F18" s="17" t="n">
        <f aca="false">AVERAGE(C18:E18)</f>
        <v>100000</v>
      </c>
      <c r="G18" s="16"/>
    </row>
    <row r="19" customFormat="false" ht="15" hidden="false" customHeight="false" outlineLevel="0" collapsed="false">
      <c r="A19" s="11" t="s">
        <v>319</v>
      </c>
      <c r="B19" s="13" t="s">
        <v>304</v>
      </c>
      <c r="C19" s="12" t="n">
        <v>300000</v>
      </c>
      <c r="D19" s="12" t="n">
        <v>300000</v>
      </c>
      <c r="E19" s="12" t="n">
        <v>300000</v>
      </c>
      <c r="F19" s="17" t="n">
        <f aca="false">AVERAGE(C19:E19)</f>
        <v>300000</v>
      </c>
      <c r="G19" s="16"/>
    </row>
    <row r="20" customFormat="false" ht="15" hidden="false" customHeight="false" outlineLevel="0" collapsed="false">
      <c r="A20" s="11" t="s">
        <v>320</v>
      </c>
      <c r="B20" s="13" t="s">
        <v>304</v>
      </c>
      <c r="C20" s="12" t="n">
        <v>1071000</v>
      </c>
      <c r="D20" s="12" t="n">
        <v>1071000</v>
      </c>
      <c r="E20" s="12" t="n">
        <v>1071000</v>
      </c>
      <c r="F20" s="17" t="n">
        <f aca="false">AVERAGE(C20:E20)</f>
        <v>1071000</v>
      </c>
      <c r="G20" s="16" t="s">
        <v>305</v>
      </c>
    </row>
    <row r="21" customFormat="false" ht="15" hidden="false" customHeight="false" outlineLevel="0" collapsed="false">
      <c r="A21" s="11" t="s">
        <v>321</v>
      </c>
      <c r="B21" s="13" t="s">
        <v>304</v>
      </c>
      <c r="C21" s="12" t="n">
        <v>400000</v>
      </c>
      <c r="D21" s="12" t="n">
        <v>400000</v>
      </c>
      <c r="E21" s="12" t="n">
        <v>400000</v>
      </c>
      <c r="F21" s="17" t="n">
        <f aca="false">AVERAGE(C21:E21)</f>
        <v>400000</v>
      </c>
      <c r="G21" s="16" t="s">
        <v>305</v>
      </c>
    </row>
    <row r="22" customFormat="false" ht="15" hidden="false" customHeight="false" outlineLevel="0" collapsed="false">
      <c r="A22" s="11" t="s">
        <v>322</v>
      </c>
      <c r="B22" s="13" t="s">
        <v>304</v>
      </c>
      <c r="C22" s="12" t="n">
        <v>120000</v>
      </c>
      <c r="D22" s="12" t="n">
        <v>120000</v>
      </c>
      <c r="E22" s="12" t="n">
        <v>120000</v>
      </c>
      <c r="F22" s="17" t="n">
        <f aca="false">AVERAGE(C22:E22)</f>
        <v>120000</v>
      </c>
      <c r="G22" s="16" t="s">
        <v>305</v>
      </c>
    </row>
    <row r="23" customFormat="false" ht="15" hidden="false" customHeight="false" outlineLevel="0" collapsed="false">
      <c r="A23" s="11" t="s">
        <v>323</v>
      </c>
      <c r="B23" s="13" t="s">
        <v>304</v>
      </c>
      <c r="C23" s="12" t="n">
        <v>300000</v>
      </c>
      <c r="D23" s="12" t="n">
        <v>300000</v>
      </c>
      <c r="E23" s="12" t="n">
        <v>300000</v>
      </c>
      <c r="F23" s="17" t="n">
        <f aca="false">AVERAGE(C23:E23)</f>
        <v>300000</v>
      </c>
      <c r="G23" s="16" t="s">
        <v>305</v>
      </c>
    </row>
    <row r="24" customFormat="false" ht="15" hidden="false" customHeight="false" outlineLevel="0" collapsed="false">
      <c r="A24" s="11" t="s">
        <v>324</v>
      </c>
      <c r="B24" s="13" t="s">
        <v>325</v>
      </c>
      <c r="C24" s="12" t="n">
        <v>0</v>
      </c>
      <c r="D24" s="12" t="n">
        <v>0</v>
      </c>
      <c r="E24" s="12" t="n">
        <v>0</v>
      </c>
      <c r="F24" s="17" t="n">
        <f aca="false">AVERAGE(C24:E24)</f>
        <v>0</v>
      </c>
      <c r="G24" s="16" t="s">
        <v>305</v>
      </c>
    </row>
    <row r="25" customFormat="false" ht="15" hidden="false" customHeight="false" outlineLevel="0" collapsed="false">
      <c r="A25" s="11" t="s">
        <v>326</v>
      </c>
      <c r="B25" s="13" t="s">
        <v>325</v>
      </c>
      <c r="C25" s="12" t="n">
        <v>0</v>
      </c>
      <c r="D25" s="12" t="n">
        <v>0</v>
      </c>
      <c r="E25" s="12" t="n">
        <v>0</v>
      </c>
      <c r="F25" s="17" t="n">
        <f aca="false">AVERAGE(C25:E25)</f>
        <v>0</v>
      </c>
      <c r="G25" s="16" t="s">
        <v>305</v>
      </c>
    </row>
    <row r="26" customFormat="false" ht="15" hidden="false" customHeight="false" outlineLevel="0" collapsed="false">
      <c r="A26" s="11" t="s">
        <v>327</v>
      </c>
      <c r="B26" s="13" t="s">
        <v>325</v>
      </c>
      <c r="C26" s="12" t="n">
        <v>1680000</v>
      </c>
      <c r="D26" s="12" t="n">
        <v>1680000</v>
      </c>
      <c r="E26" s="12" t="n">
        <v>1680000</v>
      </c>
      <c r="F26" s="17" t="n">
        <f aca="false">AVERAGE(C26:E26)</f>
        <v>1680000</v>
      </c>
      <c r="G26" s="16" t="s">
        <v>305</v>
      </c>
    </row>
    <row r="27" customFormat="false" ht="15" hidden="false" customHeight="false" outlineLevel="0" collapsed="false">
      <c r="A27" s="11" t="s">
        <v>328</v>
      </c>
      <c r="B27" s="13" t="s">
        <v>325</v>
      </c>
      <c r="C27" s="12" t="n">
        <v>680000</v>
      </c>
      <c r="D27" s="12" t="n">
        <v>680000</v>
      </c>
      <c r="E27" s="12" t="n">
        <v>680000</v>
      </c>
      <c r="F27" s="17" t="n">
        <f aca="false">AVERAGE(C27:E27)</f>
        <v>680000</v>
      </c>
      <c r="G27" s="16" t="s">
        <v>305</v>
      </c>
    </row>
    <row r="28" customFormat="false" ht="15" hidden="false" customHeight="false" outlineLevel="0" collapsed="false">
      <c r="A28" s="11" t="s">
        <v>329</v>
      </c>
      <c r="B28" s="13" t="s">
        <v>325</v>
      </c>
      <c r="C28" s="12" t="n">
        <v>397000</v>
      </c>
      <c r="D28" s="12" t="n">
        <v>397000</v>
      </c>
      <c r="E28" s="12" t="n">
        <v>397000</v>
      </c>
      <c r="F28" s="17" t="n">
        <f aca="false">AVERAGE(C28:E28)</f>
        <v>397000</v>
      </c>
      <c r="G28" s="16" t="s">
        <v>305</v>
      </c>
    </row>
    <row r="29" customFormat="false" ht="15" hidden="false" customHeight="false" outlineLevel="0" collapsed="false">
      <c r="A29" s="11" t="s">
        <v>330</v>
      </c>
      <c r="B29" s="13" t="s">
        <v>325</v>
      </c>
      <c r="C29" s="12" t="n">
        <v>447861</v>
      </c>
      <c r="D29" s="12" t="n">
        <v>447861</v>
      </c>
      <c r="E29" s="12" t="n">
        <v>447861</v>
      </c>
      <c r="F29" s="17" t="n">
        <f aca="false">AVERAGE(C29:E29)</f>
        <v>447861</v>
      </c>
      <c r="G29" s="16"/>
    </row>
    <row r="30" customFormat="false" ht="15" hidden="false" customHeight="false" outlineLevel="0" collapsed="false">
      <c r="A30" s="11" t="s">
        <v>331</v>
      </c>
      <c r="B30" s="13" t="s">
        <v>325</v>
      </c>
      <c r="C30" s="12" t="n">
        <v>450000</v>
      </c>
      <c r="D30" s="12" t="n">
        <v>450000</v>
      </c>
      <c r="E30" s="12" t="n">
        <v>450000</v>
      </c>
      <c r="F30" s="17" t="n">
        <f aca="false">AVERAGE(C30:E30)</f>
        <v>450000</v>
      </c>
      <c r="G30" s="16"/>
    </row>
    <row r="31" customFormat="false" ht="15" hidden="false" customHeight="false" outlineLevel="0" collapsed="false">
      <c r="A31" s="11" t="s">
        <v>332</v>
      </c>
      <c r="B31" s="13" t="s">
        <v>325</v>
      </c>
      <c r="C31" s="12" t="n">
        <v>214200</v>
      </c>
      <c r="D31" s="12" t="n">
        <v>214200</v>
      </c>
      <c r="E31" s="12" t="n">
        <v>214200</v>
      </c>
      <c r="F31" s="17" t="n">
        <f aca="false">AVERAGE(C31:E31)</f>
        <v>214200</v>
      </c>
      <c r="G31" s="16"/>
    </row>
    <row r="32" customFormat="false" ht="15" hidden="false" customHeight="false" outlineLevel="0" collapsed="false">
      <c r="A32" s="11" t="s">
        <v>333</v>
      </c>
      <c r="B32" s="13" t="s">
        <v>325</v>
      </c>
      <c r="C32" s="12" t="n">
        <v>450000</v>
      </c>
      <c r="D32" s="12" t="n">
        <v>450000</v>
      </c>
      <c r="E32" s="12" t="n">
        <v>450000</v>
      </c>
      <c r="F32" s="17" t="n">
        <f aca="false">AVERAGE(C32:E32)</f>
        <v>450000</v>
      </c>
      <c r="G32" s="16"/>
    </row>
    <row r="33" customFormat="false" ht="15" hidden="false" customHeight="false" outlineLevel="0" collapsed="false">
      <c r="A33" s="11" t="s">
        <v>334</v>
      </c>
      <c r="B33" s="13" t="s">
        <v>325</v>
      </c>
      <c r="C33" s="12" t="n">
        <v>60000</v>
      </c>
      <c r="D33" s="12" t="n">
        <v>60000</v>
      </c>
      <c r="E33" s="12" t="n">
        <v>60000</v>
      </c>
      <c r="F33" s="17" t="n">
        <f aca="false">AVERAGE(C33:E33)</f>
        <v>60000</v>
      </c>
      <c r="G33" s="16"/>
    </row>
    <row r="34" customFormat="false" ht="15" hidden="false" customHeight="false" outlineLevel="0" collapsed="false">
      <c r="A34" s="11" t="s">
        <v>335</v>
      </c>
      <c r="B34" s="13" t="s">
        <v>325</v>
      </c>
      <c r="C34" s="12" t="n">
        <v>80000</v>
      </c>
      <c r="D34" s="12" t="n">
        <v>80000</v>
      </c>
      <c r="E34" s="12" t="n">
        <v>80000</v>
      </c>
      <c r="F34" s="17" t="n">
        <f aca="false">AVERAGE(C34:E34)</f>
        <v>80000</v>
      </c>
      <c r="G34" s="16"/>
    </row>
    <row r="35" customFormat="false" ht="15" hidden="false" customHeight="false" outlineLevel="0" collapsed="false">
      <c r="A35" s="35"/>
      <c r="B35" s="13"/>
      <c r="C35" s="12"/>
      <c r="D35" s="12"/>
      <c r="E35" s="12"/>
      <c r="F35" s="17" t="n">
        <f aca="false">IF(COUNT(C35:E35)=0,0,AVERAGE(C35:E35))</f>
        <v>0</v>
      </c>
      <c r="G35" s="16" t="s">
        <v>336</v>
      </c>
    </row>
    <row r="36" customFormat="false" ht="15" hidden="false" customHeight="false" outlineLevel="0" collapsed="false">
      <c r="A36" s="35"/>
      <c r="B36" s="13"/>
      <c r="C36" s="12"/>
      <c r="D36" s="12"/>
      <c r="E36" s="12"/>
      <c r="F36" s="17" t="n">
        <f aca="false">IF(COUNT(C36:E36)=0,0,AVERAGE(C36:E36))</f>
        <v>0</v>
      </c>
    </row>
    <row r="37" customFormat="false" ht="15" hidden="false" customHeight="false" outlineLevel="0" collapsed="false">
      <c r="A37" s="35"/>
      <c r="B37" s="13"/>
      <c r="C37" s="12"/>
      <c r="D37" s="12"/>
      <c r="E37" s="12"/>
      <c r="F37" s="17" t="n">
        <f aca="false">IF(COUNT(C37:E37)=0,0,AVERAGE(C37:E37))</f>
        <v>0</v>
      </c>
    </row>
    <row r="38" customFormat="false" ht="15" hidden="false" customHeight="false" outlineLevel="0" collapsed="false">
      <c r="A38" s="35"/>
      <c r="B38" s="13"/>
      <c r="C38" s="12"/>
      <c r="D38" s="12"/>
      <c r="E38" s="12"/>
      <c r="F38" s="17" t="n">
        <f aca="false">IF(COUNT(C38:E38)=0,0,AVERAGE(C38:E38))</f>
        <v>0</v>
      </c>
    </row>
    <row r="39" customFormat="false" ht="15" hidden="false" customHeight="false" outlineLevel="0" collapsed="false">
      <c r="A39" s="35"/>
      <c r="B39" s="13"/>
      <c r="C39" s="12"/>
      <c r="D39" s="12"/>
      <c r="E39" s="12"/>
      <c r="F39" s="17" t="n">
        <f aca="false">IF(COUNT(C39:E39)=0,0,AVERAGE(C39:E39))</f>
        <v>0</v>
      </c>
    </row>
    <row r="41" customFormat="false" ht="15" hidden="false" customHeight="false" outlineLevel="0" collapsed="false">
      <c r="A41" s="36" t="s">
        <v>337</v>
      </c>
      <c r="C41" s="18" t="n">
        <f aca="false">SUMIF($B$5:$B$39,"Fábrica",C$5:C$39)</f>
        <v>12421897</v>
      </c>
      <c r="D41" s="18" t="n">
        <f aca="false">SUMIF($B$5:$B$39,"Fábrica",D$5:D$39)</f>
        <v>12421897</v>
      </c>
      <c r="E41" s="18" t="n">
        <f aca="false">SUMIF($B$5:$B$39,"Fábrica",E$5:E$39)</f>
        <v>12421897</v>
      </c>
      <c r="F41" s="18" t="n">
        <f aca="false">SUMIF($B$5:$B$39,"Fábrica",F$5:F$39)</f>
        <v>12421897</v>
      </c>
    </row>
    <row r="42" customFormat="false" ht="15" hidden="false" customHeight="false" outlineLevel="0" collapsed="false">
      <c r="A42" s="36" t="s">
        <v>338</v>
      </c>
      <c r="C42" s="18" t="n">
        <f aca="false">SUMIF($B$5:$B$39,"Comercial",C$5:C$39)</f>
        <v>4459061</v>
      </c>
      <c r="D42" s="18" t="n">
        <f aca="false">SUMIF($B$5:$B$39,"Comercial",D$5:D$39)</f>
        <v>4459061</v>
      </c>
      <c r="E42" s="18" t="n">
        <f aca="false">SUMIF($B$5:$B$39,"Comercial",E$5:E$39)</f>
        <v>4459061</v>
      </c>
      <c r="F42" s="18" t="n">
        <f aca="false">SUMIF($B$5:$B$39,"Comercial",F$5:F$39)</f>
        <v>4459061</v>
      </c>
    </row>
    <row r="43" customFormat="false" ht="15" hidden="false" customHeight="false" outlineLevel="0" collapsed="false">
      <c r="A43" s="36" t="s">
        <v>339</v>
      </c>
      <c r="C43" s="18" t="n">
        <f aca="false">C41+C42</f>
        <v>16880958</v>
      </c>
      <c r="D43" s="18" t="n">
        <f aca="false">D41+D42</f>
        <v>16880958</v>
      </c>
      <c r="E43" s="18" t="n">
        <f aca="false">E41+E42</f>
        <v>16880958</v>
      </c>
      <c r="F43" s="18" t="n">
        <f aca="false">F41+F42</f>
        <v>16880958</v>
      </c>
    </row>
    <row r="45" customFormat="false" ht="22.35" hidden="false" customHeight="false" outlineLevel="0" collapsed="false">
      <c r="A45" s="36" t="s">
        <v>340</v>
      </c>
      <c r="C45" s="12" t="n">
        <v>32768213</v>
      </c>
      <c r="D45" s="12" t="n">
        <v>38874120</v>
      </c>
      <c r="E45" s="12" t="n">
        <v>33942186</v>
      </c>
      <c r="F45" s="18" t="n">
        <f aca="false">AVERAGE(C45:E45)</f>
        <v>35194839.6666667</v>
      </c>
      <c r="G45" s="16" t="s">
        <v>341</v>
      </c>
    </row>
    <row r="47" customFormat="false" ht="15" hidden="false" customHeight="true" outlineLevel="0" collapsed="false">
      <c r="A47" s="33" t="s">
        <v>342</v>
      </c>
      <c r="B47" s="33"/>
      <c r="C47" s="33"/>
      <c r="D47" s="33"/>
      <c r="E47" s="33"/>
      <c r="F47" s="33"/>
      <c r="G47" s="33"/>
    </row>
    <row r="48" customFormat="false" ht="15" hidden="false" customHeight="true" outlineLevel="0" collapsed="false">
      <c r="A48" s="33" t="s">
        <v>343</v>
      </c>
      <c r="B48" s="33"/>
      <c r="C48" s="33"/>
      <c r="D48" s="33"/>
      <c r="E48" s="33"/>
      <c r="F48" s="33"/>
      <c r="G48" s="33"/>
    </row>
  </sheetData>
  <mergeCells count="2">
    <mergeCell ref="A47:G47"/>
    <mergeCell ref="A48:G48"/>
  </mergeCells>
  <dataValidations count="1">
    <dataValidation allowBlank="true" errorStyle="stop" operator="between" showDropDown="false" showErrorMessage="false" showInputMessage="false" sqref="B5:B39" type="list">
      <formula1>"Fábrica,Comercial"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6"/>
    <col collapsed="false" customWidth="true" hidden="false" outlineLevel="0" max="2" min="2" style="0" width="10"/>
    <col collapsed="false" customWidth="true" hidden="false" outlineLevel="0" max="3" min="3" style="0" width="9"/>
    <col collapsed="false" customWidth="true" hidden="false" outlineLevel="0" max="5" min="4" style="0" width="15"/>
    <col collapsed="false" customWidth="true" hidden="false" outlineLevel="0" max="6" min="6" style="0" width="50"/>
  </cols>
  <sheetData>
    <row r="1" customFormat="false" ht="17.35" hidden="false" customHeight="false" outlineLevel="0" collapsed="false">
      <c r="A1" s="1" t="s">
        <v>344</v>
      </c>
    </row>
    <row r="2" customFormat="false" ht="15" hidden="false" customHeight="false" outlineLevel="0" collapsed="false">
      <c r="A2" s="2" t="s">
        <v>345</v>
      </c>
    </row>
    <row r="4" customFormat="false" ht="15" hidden="false" customHeight="false" outlineLevel="0" collapsed="false">
      <c r="A4" s="10" t="s">
        <v>346</v>
      </c>
      <c r="B4" s="10" t="s">
        <v>38</v>
      </c>
      <c r="C4" s="10" t="s">
        <v>347</v>
      </c>
      <c r="D4" s="10" t="s">
        <v>348</v>
      </c>
      <c r="E4" s="10" t="s">
        <v>349</v>
      </c>
      <c r="F4" s="10" t="s">
        <v>302</v>
      </c>
    </row>
    <row r="5" customFormat="false" ht="15" hidden="false" customHeight="false" outlineLevel="0" collapsed="false">
      <c r="A5" s="11" t="s">
        <v>75</v>
      </c>
      <c r="B5" s="11" t="s">
        <v>350</v>
      </c>
      <c r="C5" s="11" t="s">
        <v>351</v>
      </c>
      <c r="D5" s="12" t="n">
        <v>3531</v>
      </c>
      <c r="E5" s="13" t="s">
        <v>68</v>
      </c>
      <c r="F5" s="16"/>
    </row>
    <row r="6" customFormat="false" ht="15" hidden="false" customHeight="false" outlineLevel="0" collapsed="false">
      <c r="A6" s="11" t="s">
        <v>352</v>
      </c>
      <c r="B6" s="11" t="s">
        <v>350</v>
      </c>
      <c r="C6" s="11" t="s">
        <v>351</v>
      </c>
      <c r="D6" s="12" t="n">
        <v>5600</v>
      </c>
      <c r="E6" s="13" t="s">
        <v>68</v>
      </c>
      <c r="F6" s="16"/>
    </row>
    <row r="7" customFormat="false" ht="15" hidden="false" customHeight="false" outlineLevel="0" collapsed="false">
      <c r="A7" s="11" t="s">
        <v>66</v>
      </c>
      <c r="B7" s="11" t="s">
        <v>350</v>
      </c>
      <c r="C7" s="11" t="s">
        <v>351</v>
      </c>
      <c r="D7" s="12" t="n">
        <v>5600</v>
      </c>
      <c r="E7" s="13" t="s">
        <v>68</v>
      </c>
      <c r="F7" s="16"/>
    </row>
    <row r="8" customFormat="false" ht="15" hidden="false" customHeight="false" outlineLevel="0" collapsed="false">
      <c r="A8" s="11" t="s">
        <v>353</v>
      </c>
      <c r="B8" s="11" t="s">
        <v>350</v>
      </c>
      <c r="C8" s="11" t="s">
        <v>351</v>
      </c>
      <c r="D8" s="12" t="n">
        <v>7500</v>
      </c>
      <c r="E8" s="13" t="s">
        <v>68</v>
      </c>
      <c r="F8" s="16"/>
    </row>
    <row r="9" customFormat="false" ht="15" hidden="false" customHeight="false" outlineLevel="0" collapsed="false">
      <c r="A9" s="11" t="s">
        <v>76</v>
      </c>
      <c r="B9" s="11" t="s">
        <v>350</v>
      </c>
      <c r="C9" s="11" t="s">
        <v>351</v>
      </c>
      <c r="D9" s="12" t="n">
        <v>7700</v>
      </c>
      <c r="E9" s="13" t="s">
        <v>68</v>
      </c>
      <c r="F9" s="16"/>
    </row>
    <row r="10" customFormat="false" ht="15" hidden="false" customHeight="false" outlineLevel="0" collapsed="false">
      <c r="A10" s="11" t="s">
        <v>354</v>
      </c>
      <c r="B10" s="11" t="s">
        <v>350</v>
      </c>
      <c r="C10" s="11" t="s">
        <v>351</v>
      </c>
      <c r="D10" s="12" t="n">
        <v>8000</v>
      </c>
      <c r="E10" s="13" t="s">
        <v>68</v>
      </c>
      <c r="F10" s="16"/>
    </row>
    <row r="11" customFormat="false" ht="15" hidden="false" customHeight="false" outlineLevel="0" collapsed="false">
      <c r="A11" s="11" t="s">
        <v>355</v>
      </c>
      <c r="B11" s="11" t="s">
        <v>350</v>
      </c>
      <c r="C11" s="11" t="s">
        <v>351</v>
      </c>
      <c r="D11" s="12" t="n">
        <v>7800</v>
      </c>
      <c r="E11" s="13" t="s">
        <v>68</v>
      </c>
      <c r="F11" s="16"/>
    </row>
    <row r="12" customFormat="false" ht="15" hidden="false" customHeight="false" outlineLevel="0" collapsed="false">
      <c r="A12" s="11" t="s">
        <v>356</v>
      </c>
      <c r="B12" s="11" t="s">
        <v>350</v>
      </c>
      <c r="C12" s="11" t="s">
        <v>351</v>
      </c>
      <c r="D12" s="12" t="n">
        <v>6900</v>
      </c>
      <c r="E12" s="13" t="s">
        <v>68</v>
      </c>
      <c r="F12" s="16"/>
    </row>
    <row r="13" customFormat="false" ht="15" hidden="false" customHeight="false" outlineLevel="0" collapsed="false">
      <c r="A13" s="11" t="s">
        <v>357</v>
      </c>
      <c r="B13" s="11" t="s">
        <v>350</v>
      </c>
      <c r="C13" s="11" t="s">
        <v>351</v>
      </c>
      <c r="D13" s="12" t="n">
        <v>7200</v>
      </c>
      <c r="E13" s="13" t="s">
        <v>68</v>
      </c>
      <c r="F13" s="16"/>
    </row>
    <row r="14" customFormat="false" ht="15" hidden="false" customHeight="false" outlineLevel="0" collapsed="false">
      <c r="A14" s="11" t="s">
        <v>358</v>
      </c>
      <c r="B14" s="11" t="s">
        <v>350</v>
      </c>
      <c r="C14" s="11" t="s">
        <v>351</v>
      </c>
      <c r="D14" s="12" t="n">
        <v>7900</v>
      </c>
      <c r="E14" s="13" t="s">
        <v>68</v>
      </c>
      <c r="F14" s="16"/>
    </row>
    <row r="15" customFormat="false" ht="15" hidden="false" customHeight="false" outlineLevel="0" collapsed="false">
      <c r="A15" s="11" t="s">
        <v>359</v>
      </c>
      <c r="B15" s="11" t="s">
        <v>350</v>
      </c>
      <c r="C15" s="11" t="s">
        <v>351</v>
      </c>
      <c r="D15" s="12" t="n">
        <v>6800</v>
      </c>
      <c r="E15" s="13" t="s">
        <v>68</v>
      </c>
      <c r="F15" s="16"/>
    </row>
    <row r="16" customFormat="false" ht="15" hidden="false" customHeight="false" outlineLevel="0" collapsed="false">
      <c r="A16" s="11" t="s">
        <v>360</v>
      </c>
      <c r="B16" s="11" t="s">
        <v>350</v>
      </c>
      <c r="C16" s="11" t="s">
        <v>351</v>
      </c>
      <c r="D16" s="12" t="n">
        <v>5600</v>
      </c>
      <c r="E16" s="13" t="s">
        <v>68</v>
      </c>
      <c r="F16" s="16"/>
    </row>
    <row r="17" customFormat="false" ht="15" hidden="false" customHeight="false" outlineLevel="0" collapsed="false">
      <c r="A17" s="11" t="s">
        <v>361</v>
      </c>
      <c r="B17" s="11" t="s">
        <v>350</v>
      </c>
      <c r="C17" s="11" t="s">
        <v>351</v>
      </c>
      <c r="D17" s="12" t="n">
        <v>5800</v>
      </c>
      <c r="E17" s="13" t="s">
        <v>68</v>
      </c>
      <c r="F17" s="16"/>
    </row>
    <row r="18" customFormat="false" ht="15" hidden="false" customHeight="false" outlineLevel="0" collapsed="false">
      <c r="A18" s="11" t="s">
        <v>362</v>
      </c>
      <c r="B18" s="11" t="s">
        <v>350</v>
      </c>
      <c r="C18" s="11" t="s">
        <v>351</v>
      </c>
      <c r="D18" s="12" t="n">
        <v>7800</v>
      </c>
      <c r="E18" s="13" t="s">
        <v>68</v>
      </c>
      <c r="F18" s="16"/>
    </row>
    <row r="19" customFormat="false" ht="15" hidden="false" customHeight="false" outlineLevel="0" collapsed="false">
      <c r="A19" s="11" t="s">
        <v>363</v>
      </c>
      <c r="B19" s="11" t="s">
        <v>350</v>
      </c>
      <c r="C19" s="11" t="s">
        <v>351</v>
      </c>
      <c r="D19" s="12" t="n">
        <v>5600</v>
      </c>
      <c r="E19" s="13" t="s">
        <v>68</v>
      </c>
      <c r="F19" s="16"/>
    </row>
    <row r="20" customFormat="false" ht="15" hidden="false" customHeight="false" outlineLevel="0" collapsed="false">
      <c r="A20" s="11" t="s">
        <v>364</v>
      </c>
      <c r="B20" s="11" t="s">
        <v>350</v>
      </c>
      <c r="C20" s="11" t="s">
        <v>351</v>
      </c>
      <c r="D20" s="12" t="n">
        <v>5600</v>
      </c>
      <c r="E20" s="13" t="s">
        <v>68</v>
      </c>
      <c r="F20" s="16"/>
    </row>
    <row r="21" customFormat="false" ht="15" hidden="false" customHeight="false" outlineLevel="0" collapsed="false">
      <c r="A21" s="11" t="s">
        <v>365</v>
      </c>
      <c r="B21" s="11" t="s">
        <v>350</v>
      </c>
      <c r="C21" s="11" t="s">
        <v>351</v>
      </c>
      <c r="D21" s="12" t="n">
        <v>6200</v>
      </c>
      <c r="E21" s="13" t="s">
        <v>68</v>
      </c>
      <c r="F21" s="16"/>
    </row>
    <row r="22" customFormat="false" ht="15" hidden="false" customHeight="false" outlineLevel="0" collapsed="false">
      <c r="A22" s="11" t="s">
        <v>366</v>
      </c>
      <c r="B22" s="11" t="s">
        <v>350</v>
      </c>
      <c r="C22" s="11" t="s">
        <v>351</v>
      </c>
      <c r="D22" s="12" t="n">
        <v>2630</v>
      </c>
      <c r="E22" s="13" t="s">
        <v>68</v>
      </c>
      <c r="F22" s="16"/>
    </row>
    <row r="23" customFormat="false" ht="15" hidden="false" customHeight="false" outlineLevel="0" collapsed="false">
      <c r="A23" s="11" t="s">
        <v>112</v>
      </c>
      <c r="B23" s="11" t="s">
        <v>350</v>
      </c>
      <c r="C23" s="11" t="s">
        <v>351</v>
      </c>
      <c r="D23" s="12" t="n">
        <v>2750</v>
      </c>
      <c r="E23" s="13" t="s">
        <v>68</v>
      </c>
      <c r="F23" s="16"/>
    </row>
    <row r="24" customFormat="false" ht="15" hidden="false" customHeight="false" outlineLevel="0" collapsed="false">
      <c r="A24" s="11" t="s">
        <v>367</v>
      </c>
      <c r="B24" s="11" t="s">
        <v>350</v>
      </c>
      <c r="C24" s="11" t="s">
        <v>351</v>
      </c>
      <c r="D24" s="12" t="n">
        <v>2790</v>
      </c>
      <c r="E24" s="13" t="s">
        <v>68</v>
      </c>
      <c r="F24" s="16"/>
    </row>
    <row r="25" customFormat="false" ht="15" hidden="false" customHeight="false" outlineLevel="0" collapsed="false">
      <c r="A25" s="11" t="s">
        <v>368</v>
      </c>
      <c r="B25" s="11" t="s">
        <v>350</v>
      </c>
      <c r="C25" s="11" t="s">
        <v>351</v>
      </c>
      <c r="D25" s="12" t="n">
        <v>2390</v>
      </c>
      <c r="E25" s="13" t="s">
        <v>68</v>
      </c>
      <c r="F25" s="16"/>
    </row>
    <row r="26" customFormat="false" ht="15" hidden="false" customHeight="false" outlineLevel="0" collapsed="false">
      <c r="A26" s="11" t="s">
        <v>369</v>
      </c>
      <c r="B26" s="11" t="s">
        <v>350</v>
      </c>
      <c r="C26" s="11" t="s">
        <v>351</v>
      </c>
      <c r="D26" s="12" t="n">
        <v>2380</v>
      </c>
      <c r="E26" s="13" t="s">
        <v>68</v>
      </c>
      <c r="F26" s="16"/>
    </row>
    <row r="27" customFormat="false" ht="15" hidden="false" customHeight="false" outlineLevel="0" collapsed="false">
      <c r="A27" s="11" t="s">
        <v>370</v>
      </c>
      <c r="B27" s="11" t="s">
        <v>350</v>
      </c>
      <c r="C27" s="11" t="s">
        <v>351</v>
      </c>
      <c r="D27" s="12" t="n">
        <v>5900</v>
      </c>
      <c r="E27" s="13" t="s">
        <v>68</v>
      </c>
      <c r="F27" s="16"/>
    </row>
    <row r="28" customFormat="false" ht="15" hidden="false" customHeight="false" outlineLevel="0" collapsed="false">
      <c r="A28" s="11" t="s">
        <v>371</v>
      </c>
      <c r="B28" s="11" t="s">
        <v>350</v>
      </c>
      <c r="C28" s="11" t="s">
        <v>351</v>
      </c>
      <c r="D28" s="12" t="n">
        <v>4300</v>
      </c>
      <c r="E28" s="13" t="s">
        <v>68</v>
      </c>
      <c r="F28" s="16"/>
    </row>
    <row r="29" customFormat="false" ht="15" hidden="false" customHeight="false" outlineLevel="0" collapsed="false">
      <c r="A29" s="11" t="s">
        <v>172</v>
      </c>
      <c r="B29" s="11" t="s">
        <v>350</v>
      </c>
      <c r="C29" s="11" t="s">
        <v>351</v>
      </c>
      <c r="D29" s="12" t="n">
        <v>6996</v>
      </c>
      <c r="E29" s="13" t="s">
        <v>68</v>
      </c>
      <c r="F29" s="16"/>
    </row>
    <row r="30" customFormat="false" ht="15" hidden="false" customHeight="false" outlineLevel="0" collapsed="false">
      <c r="A30" s="11" t="s">
        <v>372</v>
      </c>
      <c r="B30" s="11" t="s">
        <v>350</v>
      </c>
      <c r="C30" s="11" t="s">
        <v>351</v>
      </c>
      <c r="D30" s="12" t="n">
        <v>2302</v>
      </c>
      <c r="E30" s="13" t="s">
        <v>68</v>
      </c>
      <c r="F30" s="16"/>
    </row>
    <row r="31" customFormat="false" ht="15" hidden="false" customHeight="false" outlineLevel="0" collapsed="false">
      <c r="A31" s="11" t="s">
        <v>105</v>
      </c>
      <c r="B31" s="11" t="s">
        <v>350</v>
      </c>
      <c r="C31" s="11" t="s">
        <v>351</v>
      </c>
      <c r="D31" s="12" t="n">
        <v>4244</v>
      </c>
      <c r="E31" s="13" t="s">
        <v>68</v>
      </c>
      <c r="F31" s="16"/>
    </row>
    <row r="32" customFormat="false" ht="15" hidden="false" customHeight="false" outlineLevel="0" collapsed="false">
      <c r="A32" s="11" t="s">
        <v>373</v>
      </c>
      <c r="B32" s="11" t="s">
        <v>350</v>
      </c>
      <c r="C32" s="11" t="s">
        <v>351</v>
      </c>
      <c r="D32" s="12" t="n">
        <v>4408</v>
      </c>
      <c r="E32" s="13" t="s">
        <v>68</v>
      </c>
      <c r="F32" s="16"/>
    </row>
    <row r="33" customFormat="false" ht="15" hidden="false" customHeight="false" outlineLevel="0" collapsed="false">
      <c r="A33" s="11" t="s">
        <v>374</v>
      </c>
      <c r="B33" s="11" t="s">
        <v>350</v>
      </c>
      <c r="C33" s="11" t="s">
        <v>351</v>
      </c>
      <c r="D33" s="12" t="n">
        <v>4408</v>
      </c>
      <c r="E33" s="13" t="s">
        <v>68</v>
      </c>
      <c r="F33" s="16"/>
    </row>
    <row r="34" customFormat="false" ht="15" hidden="false" customHeight="false" outlineLevel="0" collapsed="false">
      <c r="A34" s="11" t="s">
        <v>230</v>
      </c>
      <c r="B34" s="11" t="s">
        <v>350</v>
      </c>
      <c r="C34" s="11" t="s">
        <v>351</v>
      </c>
      <c r="D34" s="12"/>
      <c r="E34" s="13" t="s">
        <v>375</v>
      </c>
      <c r="F34" s="16"/>
    </row>
    <row r="35" customFormat="false" ht="15" hidden="false" customHeight="false" outlineLevel="0" collapsed="false">
      <c r="A35" s="11" t="s">
        <v>376</v>
      </c>
      <c r="B35" s="11" t="s">
        <v>350</v>
      </c>
      <c r="C35" s="11" t="s">
        <v>351</v>
      </c>
      <c r="D35" s="12" t="n">
        <v>6400</v>
      </c>
      <c r="E35" s="13" t="s">
        <v>68</v>
      </c>
      <c r="F35" s="16" t="s">
        <v>377</v>
      </c>
    </row>
    <row r="36" customFormat="false" ht="15" hidden="false" customHeight="false" outlineLevel="0" collapsed="false">
      <c r="A36" s="11" t="s">
        <v>378</v>
      </c>
      <c r="B36" s="11" t="s">
        <v>350</v>
      </c>
      <c r="C36" s="11" t="s">
        <v>351</v>
      </c>
      <c r="D36" s="12" t="n">
        <v>2975</v>
      </c>
      <c r="E36" s="13" t="s">
        <v>68</v>
      </c>
      <c r="F36" s="16" t="s">
        <v>377</v>
      </c>
    </row>
    <row r="37" customFormat="false" ht="15" hidden="false" customHeight="false" outlineLevel="0" collapsed="false">
      <c r="A37" s="11" t="s">
        <v>379</v>
      </c>
      <c r="B37" s="11" t="s">
        <v>350</v>
      </c>
      <c r="C37" s="11" t="s">
        <v>351</v>
      </c>
      <c r="D37" s="12" t="n">
        <v>8590</v>
      </c>
      <c r="E37" s="13" t="s">
        <v>68</v>
      </c>
      <c r="F37" s="16" t="s">
        <v>377</v>
      </c>
    </row>
    <row r="38" customFormat="false" ht="15" hidden="false" customHeight="false" outlineLevel="0" collapsed="false">
      <c r="A38" s="11" t="s">
        <v>380</v>
      </c>
      <c r="B38" s="11" t="s">
        <v>381</v>
      </c>
      <c r="C38" s="11" t="s">
        <v>382</v>
      </c>
      <c r="D38" s="12" t="n">
        <v>350</v>
      </c>
      <c r="E38" s="13" t="s">
        <v>68</v>
      </c>
      <c r="F38" s="16" t="s">
        <v>383</v>
      </c>
    </row>
    <row r="39" customFormat="false" ht="15" hidden="false" customHeight="false" outlineLevel="0" collapsed="false">
      <c r="A39" s="11" t="s">
        <v>384</v>
      </c>
      <c r="B39" s="11" t="s">
        <v>381</v>
      </c>
      <c r="C39" s="11" t="s">
        <v>382</v>
      </c>
      <c r="D39" s="12" t="n">
        <v>8500</v>
      </c>
      <c r="E39" s="13" t="s">
        <v>68</v>
      </c>
      <c r="F39" s="16" t="s">
        <v>385</v>
      </c>
    </row>
    <row r="40" customFormat="false" ht="15" hidden="false" customHeight="false" outlineLevel="0" collapsed="false">
      <c r="A40" s="11" t="s">
        <v>386</v>
      </c>
      <c r="B40" s="11" t="s">
        <v>381</v>
      </c>
      <c r="C40" s="11" t="s">
        <v>382</v>
      </c>
      <c r="D40" s="12" t="n">
        <v>150</v>
      </c>
      <c r="E40" s="13" t="s">
        <v>68</v>
      </c>
      <c r="F40" s="16" t="s">
        <v>383</v>
      </c>
    </row>
    <row r="41" customFormat="false" ht="15" hidden="false" customHeight="false" outlineLevel="0" collapsed="false">
      <c r="A41" s="11" t="s">
        <v>387</v>
      </c>
      <c r="B41" s="11" t="s">
        <v>381</v>
      </c>
      <c r="C41" s="11" t="s">
        <v>382</v>
      </c>
      <c r="D41" s="12" t="n">
        <v>80</v>
      </c>
      <c r="E41" s="13" t="s">
        <v>68</v>
      </c>
      <c r="F41" s="16" t="s">
        <v>383</v>
      </c>
    </row>
    <row r="42" customFormat="false" ht="15" hidden="false" customHeight="false" outlineLevel="0" collapsed="false">
      <c r="A42" s="11" t="s">
        <v>388</v>
      </c>
      <c r="B42" s="11" t="s">
        <v>381</v>
      </c>
      <c r="C42" s="11" t="s">
        <v>382</v>
      </c>
      <c r="D42" s="12" t="n">
        <v>65</v>
      </c>
      <c r="E42" s="13" t="s">
        <v>68</v>
      </c>
      <c r="F42" s="16"/>
    </row>
    <row r="43" customFormat="false" ht="15" hidden="false" customHeight="false" outlineLevel="0" collapsed="false">
      <c r="A43" s="11" t="s">
        <v>389</v>
      </c>
      <c r="B43" s="11" t="s">
        <v>381</v>
      </c>
      <c r="C43" s="11" t="s">
        <v>382</v>
      </c>
      <c r="D43" s="12" t="n">
        <v>600</v>
      </c>
      <c r="E43" s="13" t="s">
        <v>68</v>
      </c>
      <c r="F43" s="16" t="s">
        <v>383</v>
      </c>
    </row>
    <row r="44" customFormat="false" ht="15" hidden="false" customHeight="false" outlineLevel="0" collapsed="false">
      <c r="A44" s="11" t="s">
        <v>390</v>
      </c>
      <c r="B44" s="11" t="s">
        <v>381</v>
      </c>
      <c r="C44" s="11" t="s">
        <v>382</v>
      </c>
      <c r="D44" s="12" t="n">
        <v>200</v>
      </c>
      <c r="E44" s="13" t="s">
        <v>68</v>
      </c>
      <c r="F44" s="16" t="s">
        <v>383</v>
      </c>
    </row>
    <row r="45" customFormat="false" ht="15" hidden="false" customHeight="false" outlineLevel="0" collapsed="false">
      <c r="A45" s="11" t="s">
        <v>391</v>
      </c>
      <c r="B45" s="11" t="s">
        <v>381</v>
      </c>
      <c r="C45" s="11" t="s">
        <v>382</v>
      </c>
      <c r="D45" s="12" t="n">
        <v>5454</v>
      </c>
      <c r="E45" s="13" t="s">
        <v>68</v>
      </c>
      <c r="F45" s="16"/>
    </row>
    <row r="46" customFormat="false" ht="15" hidden="false" customHeight="false" outlineLevel="0" collapsed="false">
      <c r="A46" s="11" t="s">
        <v>392</v>
      </c>
      <c r="B46" s="11" t="s">
        <v>381</v>
      </c>
      <c r="C46" s="11" t="s">
        <v>382</v>
      </c>
      <c r="D46" s="12" t="n">
        <v>900</v>
      </c>
      <c r="E46" s="13" t="s">
        <v>68</v>
      </c>
      <c r="F46" s="16" t="s">
        <v>383</v>
      </c>
    </row>
    <row r="47" customFormat="false" ht="15" hidden="false" customHeight="false" outlineLevel="0" collapsed="false">
      <c r="A47" s="11" t="s">
        <v>393</v>
      </c>
      <c r="B47" s="11" t="s">
        <v>381</v>
      </c>
      <c r="C47" s="11" t="s">
        <v>382</v>
      </c>
      <c r="D47" s="12" t="n">
        <v>400</v>
      </c>
      <c r="E47" s="13" t="s">
        <v>68</v>
      </c>
      <c r="F47" s="16" t="s">
        <v>383</v>
      </c>
    </row>
    <row r="48" customFormat="false" ht="15" hidden="false" customHeight="false" outlineLevel="0" collapsed="false">
      <c r="A48" s="35"/>
      <c r="B48" s="35"/>
      <c r="C48" s="35"/>
      <c r="D48" s="12"/>
      <c r="E48" s="13"/>
    </row>
    <row r="49" customFormat="false" ht="15" hidden="false" customHeight="false" outlineLevel="0" collapsed="false">
      <c r="A49" s="35"/>
      <c r="B49" s="35"/>
      <c r="C49" s="35"/>
      <c r="D49" s="12"/>
      <c r="E49" s="13"/>
    </row>
    <row r="50" customFormat="false" ht="15" hidden="false" customHeight="false" outlineLevel="0" collapsed="false">
      <c r="A50" s="35"/>
      <c r="B50" s="35"/>
      <c r="C50" s="35"/>
      <c r="D50" s="12"/>
      <c r="E50" s="13"/>
    </row>
    <row r="51" customFormat="false" ht="15" hidden="false" customHeight="false" outlineLevel="0" collapsed="false">
      <c r="A51" s="35"/>
      <c r="B51" s="35"/>
      <c r="C51" s="35"/>
      <c r="D51" s="12"/>
      <c r="E51" s="13"/>
    </row>
    <row r="52" customFormat="false" ht="15" hidden="false" customHeight="false" outlineLevel="0" collapsed="false">
      <c r="A52" s="35"/>
      <c r="B52" s="35"/>
      <c r="C52" s="35"/>
      <c r="D52" s="12"/>
      <c r="E52" s="13"/>
    </row>
    <row r="53" customFormat="false" ht="15" hidden="false" customHeight="false" outlineLevel="0" collapsed="false">
      <c r="A53" s="35"/>
      <c r="B53" s="35"/>
      <c r="C53" s="35"/>
      <c r="D53" s="12"/>
      <c r="E53" s="13"/>
    </row>
    <row r="54" customFormat="false" ht="15" hidden="false" customHeight="false" outlineLevel="0" collapsed="false">
      <c r="A54" s="35"/>
      <c r="B54" s="35"/>
      <c r="C54" s="35"/>
      <c r="D54" s="12"/>
      <c r="E54" s="13"/>
    </row>
    <row r="55" customFormat="false" ht="15" hidden="false" customHeight="false" outlineLevel="0" collapsed="false">
      <c r="A55" s="35"/>
      <c r="B55" s="35"/>
      <c r="C55" s="35"/>
      <c r="D55" s="12"/>
      <c r="E55" s="13"/>
    </row>
    <row r="56" customFormat="false" ht="15" hidden="false" customHeight="false" outlineLevel="0" collapsed="false">
      <c r="A56" s="35"/>
      <c r="B56" s="35"/>
      <c r="C56" s="35"/>
      <c r="D56" s="12"/>
      <c r="E56" s="13"/>
    </row>
    <row r="57" customFormat="false" ht="15" hidden="false" customHeight="false" outlineLevel="0" collapsed="false">
      <c r="A57" s="35"/>
      <c r="B57" s="35"/>
      <c r="C57" s="35"/>
      <c r="D57" s="12"/>
      <c r="E57" s="13"/>
    </row>
    <row r="58" customFormat="false" ht="15" hidden="false" customHeight="false" outlineLevel="0" collapsed="false">
      <c r="A58" s="35"/>
      <c r="B58" s="35"/>
      <c r="C58" s="35"/>
      <c r="D58" s="12"/>
      <c r="E58" s="13"/>
    </row>
    <row r="59" customFormat="false" ht="15" hidden="false" customHeight="false" outlineLevel="0" collapsed="false">
      <c r="A59" s="35"/>
      <c r="B59" s="35"/>
      <c r="C59" s="35"/>
      <c r="D59" s="12"/>
      <c r="E59" s="13"/>
    </row>
    <row r="60" customFormat="false" ht="15" hidden="false" customHeight="false" outlineLevel="0" collapsed="false">
      <c r="A60" s="35"/>
      <c r="B60" s="35"/>
      <c r="C60" s="35"/>
      <c r="D60" s="12"/>
      <c r="E60" s="13"/>
    </row>
    <row r="61" customFormat="false" ht="15" hidden="false" customHeight="false" outlineLevel="0" collapsed="false">
      <c r="A61" s="35"/>
      <c r="B61" s="35"/>
      <c r="C61" s="35"/>
      <c r="D61" s="12"/>
      <c r="E61" s="13"/>
    </row>
    <row r="62" customFormat="false" ht="15" hidden="false" customHeight="false" outlineLevel="0" collapsed="false">
      <c r="A62" s="35"/>
      <c r="B62" s="35"/>
      <c r="C62" s="35"/>
      <c r="D62" s="12"/>
      <c r="E62" s="13"/>
    </row>
    <row r="63" customFormat="false" ht="15" hidden="false" customHeight="false" outlineLevel="0" collapsed="false">
      <c r="A63" s="35"/>
      <c r="B63" s="35"/>
      <c r="C63" s="35"/>
      <c r="D63" s="12"/>
      <c r="E63" s="13"/>
    </row>
    <row r="64" customFormat="false" ht="15" hidden="false" customHeight="false" outlineLevel="0" collapsed="false">
      <c r="A64" s="35"/>
      <c r="B64" s="35"/>
      <c r="C64" s="35"/>
      <c r="D64" s="12"/>
      <c r="E64" s="13"/>
    </row>
    <row r="65" customFormat="false" ht="15" hidden="false" customHeight="false" outlineLevel="0" collapsed="false">
      <c r="A65" s="35"/>
      <c r="B65" s="35"/>
      <c r="C65" s="35"/>
      <c r="D65" s="12"/>
      <c r="E65" s="13"/>
    </row>
    <row r="66" customFormat="false" ht="15" hidden="false" customHeight="false" outlineLevel="0" collapsed="false">
      <c r="A66" s="35"/>
      <c r="B66" s="35"/>
      <c r="C66" s="35"/>
      <c r="D66" s="12"/>
      <c r="E66" s="13"/>
    </row>
    <row r="67" customFormat="false" ht="15" hidden="false" customHeight="false" outlineLevel="0" collapsed="false">
      <c r="A67" s="35"/>
      <c r="B67" s="35"/>
      <c r="C67" s="35"/>
      <c r="D67" s="12"/>
      <c r="E67" s="13"/>
    </row>
    <row r="68" customFormat="false" ht="15" hidden="false" customHeight="false" outlineLevel="0" collapsed="false">
      <c r="A68" s="35"/>
      <c r="B68" s="35"/>
      <c r="C68" s="35"/>
      <c r="D68" s="12"/>
      <c r="E68" s="13"/>
    </row>
    <row r="69" customFormat="false" ht="15" hidden="false" customHeight="false" outlineLevel="0" collapsed="false">
      <c r="A69" s="35"/>
      <c r="B69" s="35"/>
      <c r="C69" s="35"/>
      <c r="D69" s="12"/>
      <c r="E69" s="13"/>
    </row>
    <row r="70" customFormat="false" ht="15" hidden="false" customHeight="false" outlineLevel="0" collapsed="false">
      <c r="A70" s="35"/>
      <c r="B70" s="35"/>
      <c r="C70" s="35"/>
      <c r="D70" s="12"/>
      <c r="E70" s="13"/>
    </row>
    <row r="71" customFormat="false" ht="15" hidden="false" customHeight="false" outlineLevel="0" collapsed="false">
      <c r="A71" s="35"/>
      <c r="B71" s="35"/>
      <c r="C71" s="35"/>
      <c r="D71" s="12"/>
      <c r="E71" s="13"/>
    </row>
    <row r="72" customFormat="false" ht="15" hidden="false" customHeight="false" outlineLevel="0" collapsed="false">
      <c r="A72" s="35"/>
      <c r="B72" s="35"/>
      <c r="C72" s="35"/>
      <c r="D72" s="12"/>
      <c r="E72" s="13"/>
    </row>
    <row r="73" customFormat="false" ht="15" hidden="false" customHeight="false" outlineLevel="0" collapsed="false">
      <c r="A73" s="35"/>
      <c r="B73" s="35"/>
      <c r="C73" s="35"/>
      <c r="D73" s="12"/>
      <c r="E73" s="13"/>
    </row>
    <row r="74" customFormat="false" ht="15" hidden="false" customHeight="false" outlineLevel="0" collapsed="false">
      <c r="A74" s="35"/>
      <c r="B74" s="35"/>
      <c r="C74" s="35"/>
      <c r="D74" s="12"/>
      <c r="E74" s="13"/>
    </row>
    <row r="75" customFormat="false" ht="15" hidden="false" customHeight="false" outlineLevel="0" collapsed="false">
      <c r="A75" s="35"/>
      <c r="B75" s="35"/>
      <c r="C75" s="35"/>
      <c r="D75" s="12"/>
      <c r="E75" s="13"/>
    </row>
    <row r="76" customFormat="false" ht="15" hidden="false" customHeight="false" outlineLevel="0" collapsed="false">
      <c r="A76" s="35"/>
      <c r="B76" s="35"/>
      <c r="C76" s="35"/>
      <c r="D76" s="12"/>
      <c r="E76" s="13"/>
    </row>
    <row r="77" customFormat="false" ht="15" hidden="false" customHeight="false" outlineLevel="0" collapsed="false">
      <c r="A77" s="35"/>
      <c r="B77" s="35"/>
      <c r="C77" s="35"/>
      <c r="D77" s="12"/>
      <c r="E77" s="13"/>
    </row>
    <row r="78" customFormat="false" ht="15" hidden="false" customHeight="false" outlineLevel="0" collapsed="false">
      <c r="A78" s="35"/>
      <c r="B78" s="35"/>
      <c r="C78" s="35"/>
      <c r="D78" s="12"/>
      <c r="E78" s="13"/>
    </row>
    <row r="79" customFormat="false" ht="15" hidden="false" customHeight="false" outlineLevel="0" collapsed="false">
      <c r="A79" s="35"/>
      <c r="B79" s="35"/>
      <c r="C79" s="35"/>
      <c r="D79" s="12"/>
      <c r="E79" s="13"/>
    </row>
    <row r="80" customFormat="false" ht="15" hidden="false" customHeight="false" outlineLevel="0" collapsed="false">
      <c r="A80" s="35"/>
      <c r="B80" s="35"/>
      <c r="C80" s="35"/>
      <c r="D80" s="12"/>
      <c r="E80" s="13"/>
    </row>
    <row r="81" customFormat="false" ht="15" hidden="false" customHeight="false" outlineLevel="0" collapsed="false">
      <c r="A81" s="35"/>
      <c r="B81" s="35"/>
      <c r="C81" s="35"/>
      <c r="D81" s="12"/>
      <c r="E81" s="13"/>
    </row>
    <row r="82" customFormat="false" ht="15" hidden="false" customHeight="false" outlineLevel="0" collapsed="false">
      <c r="A82" s="35"/>
      <c r="B82" s="35"/>
      <c r="C82" s="35"/>
      <c r="D82" s="12"/>
      <c r="E82" s="13"/>
    </row>
    <row r="83" customFormat="false" ht="15" hidden="false" customHeight="false" outlineLevel="0" collapsed="false">
      <c r="A83" s="35"/>
      <c r="B83" s="35"/>
      <c r="C83" s="35"/>
      <c r="D83" s="12"/>
      <c r="E83" s="13"/>
    </row>
    <row r="84" customFormat="false" ht="15" hidden="false" customHeight="false" outlineLevel="0" collapsed="false">
      <c r="A84" s="35"/>
      <c r="B84" s="35"/>
      <c r="C84" s="35"/>
      <c r="D84" s="12"/>
      <c r="E84" s="13"/>
    </row>
    <row r="85" customFormat="false" ht="15" hidden="false" customHeight="false" outlineLevel="0" collapsed="false">
      <c r="A85" s="35"/>
      <c r="B85" s="35"/>
      <c r="C85" s="35"/>
      <c r="D85" s="12"/>
      <c r="E85" s="13"/>
    </row>
    <row r="86" customFormat="false" ht="15" hidden="false" customHeight="false" outlineLevel="0" collapsed="false">
      <c r="A86" s="35"/>
      <c r="B86" s="35"/>
      <c r="C86" s="35"/>
      <c r="D86" s="12"/>
      <c r="E86" s="13"/>
    </row>
    <row r="87" customFormat="false" ht="15" hidden="false" customHeight="false" outlineLevel="0" collapsed="false">
      <c r="A87" s="35"/>
      <c r="B87" s="35"/>
      <c r="C87" s="35"/>
      <c r="D87" s="12"/>
      <c r="E87" s="13"/>
    </row>
    <row r="88" customFormat="false" ht="15" hidden="false" customHeight="false" outlineLevel="0" collapsed="false">
      <c r="A88" s="35"/>
      <c r="B88" s="35"/>
      <c r="C88" s="35"/>
      <c r="D88" s="12"/>
      <c r="E88" s="13"/>
    </row>
    <row r="89" customFormat="false" ht="15" hidden="false" customHeight="false" outlineLevel="0" collapsed="false">
      <c r="A89" s="35"/>
      <c r="B89" s="35"/>
      <c r="C89" s="35"/>
      <c r="D89" s="12"/>
      <c r="E89" s="13"/>
    </row>
    <row r="90" customFormat="false" ht="15" hidden="false" customHeight="false" outlineLevel="0" collapsed="false">
      <c r="A90" s="35"/>
      <c r="B90" s="35"/>
      <c r="C90" s="35"/>
      <c r="D90" s="12"/>
      <c r="E90" s="13"/>
    </row>
    <row r="91" customFormat="false" ht="15" hidden="false" customHeight="false" outlineLevel="0" collapsed="false">
      <c r="A91" s="35"/>
      <c r="B91" s="35"/>
      <c r="C91" s="35"/>
      <c r="D91" s="12"/>
      <c r="E91" s="13"/>
    </row>
    <row r="92" customFormat="false" ht="15" hidden="false" customHeight="false" outlineLevel="0" collapsed="false">
      <c r="A92" s="35"/>
      <c r="B92" s="35"/>
      <c r="C92" s="35"/>
      <c r="D92" s="12"/>
      <c r="E92" s="13"/>
    </row>
    <row r="93" customFormat="false" ht="15" hidden="false" customHeight="false" outlineLevel="0" collapsed="false">
      <c r="A93" s="35"/>
      <c r="B93" s="35"/>
      <c r="C93" s="35"/>
      <c r="D93" s="12"/>
      <c r="E93" s="13"/>
    </row>
    <row r="94" customFormat="false" ht="15" hidden="false" customHeight="false" outlineLevel="0" collapsed="false">
      <c r="A94" s="35"/>
      <c r="B94" s="35"/>
      <c r="C94" s="35"/>
      <c r="D94" s="12"/>
      <c r="E94" s="13"/>
    </row>
    <row r="95" customFormat="false" ht="15" hidden="false" customHeight="false" outlineLevel="0" collapsed="false">
      <c r="A95" s="35"/>
      <c r="B95" s="35"/>
      <c r="C95" s="35"/>
      <c r="D95" s="12"/>
      <c r="E95" s="13"/>
    </row>
    <row r="96" customFormat="false" ht="15" hidden="false" customHeight="false" outlineLevel="0" collapsed="false">
      <c r="A96" s="35"/>
      <c r="B96" s="35"/>
      <c r="C96" s="35"/>
      <c r="D96" s="12"/>
      <c r="E96" s="13"/>
    </row>
    <row r="97" customFormat="false" ht="15" hidden="false" customHeight="false" outlineLevel="0" collapsed="false">
      <c r="A97" s="35"/>
      <c r="B97" s="35"/>
      <c r="C97" s="35"/>
      <c r="D97" s="12"/>
      <c r="E97" s="13"/>
    </row>
    <row r="98" customFormat="false" ht="15" hidden="false" customHeight="false" outlineLevel="0" collapsed="false">
      <c r="A98" s="35"/>
      <c r="B98" s="35"/>
      <c r="C98" s="35"/>
      <c r="D98" s="12"/>
      <c r="E98" s="13"/>
    </row>
    <row r="99" customFormat="false" ht="15" hidden="false" customHeight="false" outlineLevel="0" collapsed="false">
      <c r="A99" s="35"/>
      <c r="B99" s="35"/>
      <c r="C99" s="35"/>
      <c r="D99" s="12"/>
      <c r="E99" s="13"/>
    </row>
    <row r="100" customFormat="false" ht="15" hidden="false" customHeight="false" outlineLevel="0" collapsed="false">
      <c r="A100" s="35"/>
      <c r="B100" s="35"/>
      <c r="C100" s="35"/>
      <c r="D100" s="12"/>
      <c r="E100" s="13"/>
    </row>
    <row r="101" customFormat="false" ht="15" hidden="false" customHeight="false" outlineLevel="0" collapsed="false">
      <c r="A101" s="35"/>
      <c r="B101" s="35"/>
      <c r="C101" s="35"/>
      <c r="D101" s="12"/>
      <c r="E101" s="13"/>
    </row>
    <row r="102" customFormat="false" ht="15" hidden="false" customHeight="false" outlineLevel="0" collapsed="false">
      <c r="A102" s="35"/>
      <c r="B102" s="35"/>
      <c r="C102" s="35"/>
      <c r="D102" s="12"/>
      <c r="E102" s="13"/>
    </row>
    <row r="103" customFormat="false" ht="15" hidden="false" customHeight="false" outlineLevel="0" collapsed="false">
      <c r="A103" s="35"/>
      <c r="B103" s="35"/>
      <c r="C103" s="35"/>
      <c r="D103" s="12"/>
      <c r="E103" s="13"/>
    </row>
    <row r="104" customFormat="false" ht="15" hidden="false" customHeight="false" outlineLevel="0" collapsed="false">
      <c r="A104" s="35"/>
      <c r="B104" s="35"/>
      <c r="C104" s="35"/>
      <c r="D104" s="12"/>
      <c r="E104" s="13"/>
    </row>
    <row r="105" customFormat="false" ht="15" hidden="false" customHeight="false" outlineLevel="0" collapsed="false">
      <c r="A105" s="35"/>
      <c r="B105" s="35"/>
      <c r="C105" s="35"/>
      <c r="D105" s="12"/>
      <c r="E105" s="13"/>
    </row>
    <row r="106" customFormat="false" ht="15" hidden="false" customHeight="false" outlineLevel="0" collapsed="false">
      <c r="A106" s="35"/>
      <c r="B106" s="35"/>
      <c r="C106" s="35"/>
      <c r="D106" s="12"/>
      <c r="E106" s="13"/>
    </row>
    <row r="107" customFormat="false" ht="15" hidden="false" customHeight="false" outlineLevel="0" collapsed="false">
      <c r="A107" s="35"/>
      <c r="B107" s="35"/>
      <c r="C107" s="35"/>
      <c r="D107" s="12"/>
      <c r="E107" s="13"/>
    </row>
    <row r="108" customFormat="false" ht="15" hidden="false" customHeight="false" outlineLevel="0" collapsed="false">
      <c r="A108" s="35"/>
      <c r="B108" s="35"/>
      <c r="C108" s="35"/>
      <c r="D108" s="12"/>
      <c r="E108" s="13"/>
    </row>
    <row r="109" customFormat="false" ht="15" hidden="false" customHeight="false" outlineLevel="0" collapsed="false">
      <c r="A109" s="35"/>
      <c r="B109" s="35"/>
      <c r="C109" s="35"/>
      <c r="D109" s="12"/>
      <c r="E109" s="13"/>
    </row>
    <row r="110" customFormat="false" ht="15" hidden="false" customHeight="false" outlineLevel="0" collapsed="false">
      <c r="A110" s="35"/>
      <c r="B110" s="35"/>
      <c r="C110" s="35"/>
      <c r="D110" s="12"/>
      <c r="E110" s="13"/>
    </row>
    <row r="111" customFormat="false" ht="15" hidden="false" customHeight="false" outlineLevel="0" collapsed="false">
      <c r="A111" s="35"/>
      <c r="B111" s="35"/>
      <c r="C111" s="35"/>
      <c r="D111" s="12"/>
      <c r="E111" s="13"/>
    </row>
    <row r="112" customFormat="false" ht="15" hidden="false" customHeight="false" outlineLevel="0" collapsed="false">
      <c r="A112" s="35"/>
      <c r="B112" s="35"/>
      <c r="C112" s="35"/>
      <c r="D112" s="12"/>
      <c r="E112" s="13"/>
    </row>
    <row r="113" customFormat="false" ht="15" hidden="false" customHeight="false" outlineLevel="0" collapsed="false">
      <c r="A113" s="35"/>
      <c r="B113" s="35"/>
      <c r="C113" s="35"/>
      <c r="D113" s="12"/>
      <c r="E113" s="13"/>
    </row>
    <row r="114" customFormat="false" ht="15" hidden="false" customHeight="false" outlineLevel="0" collapsed="false">
      <c r="A114" s="35"/>
      <c r="B114" s="35"/>
      <c r="C114" s="35"/>
      <c r="D114" s="12"/>
      <c r="E114" s="13"/>
    </row>
    <row r="115" customFormat="false" ht="15" hidden="false" customHeight="false" outlineLevel="0" collapsed="false">
      <c r="A115" s="35"/>
      <c r="B115" s="35"/>
      <c r="C115" s="35"/>
      <c r="D115" s="12"/>
      <c r="E115" s="13"/>
    </row>
    <row r="116" customFormat="false" ht="15" hidden="false" customHeight="false" outlineLevel="0" collapsed="false">
      <c r="A116" s="35"/>
      <c r="B116" s="35"/>
      <c r="C116" s="35"/>
      <c r="D116" s="12"/>
      <c r="E116" s="13"/>
    </row>
    <row r="117" customFormat="false" ht="15" hidden="false" customHeight="false" outlineLevel="0" collapsed="false">
      <c r="A117" s="35"/>
      <c r="B117" s="35"/>
      <c r="C117" s="35"/>
      <c r="D117" s="12"/>
      <c r="E117" s="13"/>
    </row>
    <row r="118" customFormat="false" ht="15" hidden="false" customHeight="false" outlineLevel="0" collapsed="false">
      <c r="A118" s="35"/>
      <c r="B118" s="35"/>
      <c r="C118" s="35"/>
      <c r="D118" s="12"/>
      <c r="E118" s="13"/>
    </row>
    <row r="119" customFormat="false" ht="15" hidden="false" customHeight="false" outlineLevel="0" collapsed="false">
      <c r="A119" s="35"/>
      <c r="B119" s="35"/>
      <c r="C119" s="35"/>
      <c r="D119" s="12"/>
      <c r="E119" s="13"/>
    </row>
    <row r="120" customFormat="false" ht="15" hidden="false" customHeight="false" outlineLevel="0" collapsed="false">
      <c r="A120" s="35"/>
      <c r="B120" s="35"/>
      <c r="C120" s="35"/>
      <c r="D120" s="12"/>
      <c r="E120" s="13"/>
    </row>
  </sheetData>
  <dataValidations count="1">
    <dataValidation allowBlank="true" errorStyle="stop" operator="between" showDropDown="false" showErrorMessage="false" showInputMessage="false" sqref="E5:E120" type="list">
      <formula1>"Por confirmar,Confirmado,SIN PRECIO"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2"/>
    <col collapsed="false" customWidth="true" hidden="false" outlineLevel="0" max="3" min="2" style="0" width="16"/>
    <col collapsed="false" customWidth="true" hidden="false" outlineLevel="0" max="4" min="4" style="0" width="15"/>
    <col collapsed="false" customWidth="true" hidden="false" outlineLevel="0" max="5" min="5" style="0" width="46"/>
  </cols>
  <sheetData>
    <row r="1" customFormat="false" ht="17.35" hidden="false" customHeight="false" outlineLevel="0" collapsed="false">
      <c r="A1" s="1" t="s">
        <v>394</v>
      </c>
    </row>
    <row r="2" customFormat="false" ht="15" hidden="false" customHeight="false" outlineLevel="0" collapsed="false">
      <c r="A2" s="2" t="s">
        <v>395</v>
      </c>
    </row>
    <row r="4" customFormat="false" ht="23.85" hidden="false" customHeight="false" outlineLevel="0" collapsed="false">
      <c r="A4" s="10" t="s">
        <v>396</v>
      </c>
      <c r="B4" s="10" t="s">
        <v>397</v>
      </c>
      <c r="C4" s="10" t="s">
        <v>398</v>
      </c>
      <c r="D4" s="10" t="s">
        <v>349</v>
      </c>
      <c r="E4" s="10" t="s">
        <v>302</v>
      </c>
    </row>
    <row r="5" customFormat="false" ht="15" hidden="false" customHeight="false" outlineLevel="0" collapsed="false">
      <c r="A5" s="11" t="s">
        <v>119</v>
      </c>
      <c r="B5" s="12" t="n">
        <v>1700</v>
      </c>
      <c r="C5" s="37" t="n">
        <v>1500</v>
      </c>
      <c r="D5" s="13" t="s">
        <v>68</v>
      </c>
    </row>
    <row r="6" customFormat="false" ht="15" hidden="false" customHeight="false" outlineLevel="0" collapsed="false">
      <c r="A6" s="11" t="s">
        <v>67</v>
      </c>
      <c r="B6" s="12" t="n">
        <v>2000</v>
      </c>
      <c r="C6" s="37" t="n">
        <v>1800</v>
      </c>
      <c r="D6" s="13" t="s">
        <v>68</v>
      </c>
    </row>
    <row r="7" customFormat="false" ht="15" hidden="false" customHeight="false" outlineLevel="0" collapsed="false">
      <c r="A7" s="11" t="s">
        <v>399</v>
      </c>
      <c r="B7" s="12" t="n">
        <v>2200</v>
      </c>
      <c r="C7" s="37" t="n">
        <v>1900</v>
      </c>
      <c r="D7" s="13" t="s">
        <v>68</v>
      </c>
    </row>
    <row r="8" customFormat="false" ht="15" hidden="false" customHeight="false" outlineLevel="0" collapsed="false">
      <c r="A8" s="11" t="s">
        <v>173</v>
      </c>
      <c r="B8" s="12" t="n">
        <v>1900</v>
      </c>
      <c r="C8" s="37" t="n">
        <v>1700</v>
      </c>
      <c r="D8" s="13" t="s">
        <v>68</v>
      </c>
    </row>
    <row r="9" customFormat="false" ht="15" hidden="false" customHeight="false" outlineLevel="0" collapsed="false">
      <c r="A9" s="11" t="s">
        <v>400</v>
      </c>
      <c r="B9" s="12" t="n">
        <v>2000</v>
      </c>
      <c r="C9" s="37" t="n">
        <v>1800</v>
      </c>
      <c r="D9" s="13" t="s">
        <v>68</v>
      </c>
    </row>
    <row r="10" customFormat="false" ht="15" hidden="false" customHeight="false" outlineLevel="0" collapsed="false">
      <c r="A10" s="11" t="s">
        <v>401</v>
      </c>
      <c r="B10" s="12" t="n">
        <v>2200</v>
      </c>
      <c r="C10" s="37" t="n">
        <v>1700</v>
      </c>
      <c r="D10" s="13" t="s">
        <v>68</v>
      </c>
    </row>
    <row r="11" customFormat="false" ht="15" hidden="false" customHeight="false" outlineLevel="0" collapsed="false">
      <c r="A11" s="11" t="s">
        <v>402</v>
      </c>
      <c r="B11" s="12" t="n">
        <v>1900</v>
      </c>
      <c r="C11" s="37" t="n">
        <v>1700</v>
      </c>
      <c r="D11" s="13" t="s">
        <v>68</v>
      </c>
    </row>
    <row r="12" customFormat="false" ht="15" hidden="false" customHeight="false" outlineLevel="0" collapsed="false">
      <c r="A12" s="11" t="s">
        <v>403</v>
      </c>
      <c r="B12" s="12" t="n">
        <v>2400</v>
      </c>
      <c r="C12" s="37" t="n">
        <v>2000</v>
      </c>
      <c r="D12" s="13" t="s">
        <v>68</v>
      </c>
    </row>
    <row r="13" customFormat="false" ht="15" hidden="false" customHeight="false" outlineLevel="0" collapsed="false">
      <c r="A13" s="11" t="s">
        <v>404</v>
      </c>
      <c r="B13" s="12" t="n">
        <v>2400</v>
      </c>
      <c r="C13" s="37" t="n">
        <v>2200</v>
      </c>
      <c r="D13" s="13" t="s">
        <v>68</v>
      </c>
    </row>
    <row r="14" customFormat="false" ht="15" hidden="false" customHeight="false" outlineLevel="0" collapsed="false">
      <c r="A14" s="11" t="s">
        <v>405</v>
      </c>
      <c r="B14" s="12" t="n">
        <v>2200</v>
      </c>
      <c r="C14" s="37" t="n">
        <v>2000</v>
      </c>
      <c r="D14" s="13" t="s">
        <v>68</v>
      </c>
    </row>
    <row r="15" customFormat="false" ht="15" hidden="false" customHeight="false" outlineLevel="0" collapsed="false">
      <c r="A15" s="11" t="s">
        <v>406</v>
      </c>
      <c r="B15" s="12" t="n">
        <v>2600</v>
      </c>
      <c r="C15" s="37" t="n">
        <v>2300</v>
      </c>
      <c r="D15" s="13" t="s">
        <v>68</v>
      </c>
    </row>
    <row r="16" customFormat="false" ht="15" hidden="false" customHeight="false" outlineLevel="0" collapsed="false">
      <c r="A16" s="11" t="s">
        <v>113</v>
      </c>
      <c r="B16" s="12" t="n">
        <v>2200</v>
      </c>
      <c r="C16" s="37" t="n">
        <v>2300</v>
      </c>
      <c r="D16" s="13" t="s">
        <v>68</v>
      </c>
      <c r="E16" s="16" t="s">
        <v>407</v>
      </c>
    </row>
    <row r="17" customFormat="false" ht="15" hidden="false" customHeight="false" outlineLevel="0" collapsed="false">
      <c r="A17" s="11" t="s">
        <v>408</v>
      </c>
      <c r="B17" s="12" t="n">
        <v>2300</v>
      </c>
      <c r="C17" s="37" t="n">
        <v>2000</v>
      </c>
      <c r="D17" s="13" t="s">
        <v>68</v>
      </c>
    </row>
    <row r="18" customFormat="false" ht="15" hidden="false" customHeight="false" outlineLevel="0" collapsed="false">
      <c r="A18" s="11" t="s">
        <v>409</v>
      </c>
      <c r="B18" s="12" t="n">
        <v>2400</v>
      </c>
      <c r="C18" s="37" t="n">
        <v>2100</v>
      </c>
      <c r="D18" s="13" t="s">
        <v>68</v>
      </c>
    </row>
    <row r="19" customFormat="false" ht="15" hidden="false" customHeight="false" outlineLevel="0" collapsed="false">
      <c r="A19" s="11" t="s">
        <v>410</v>
      </c>
      <c r="B19" s="12" t="n">
        <v>1800</v>
      </c>
      <c r="C19" s="37" t="n">
        <v>1700</v>
      </c>
      <c r="D19" s="13" t="s">
        <v>68</v>
      </c>
    </row>
    <row r="20" customFormat="false" ht="15" hidden="false" customHeight="false" outlineLevel="0" collapsed="false">
      <c r="A20" s="11" t="s">
        <v>196</v>
      </c>
      <c r="B20" s="12" t="n">
        <v>1800</v>
      </c>
      <c r="C20" s="37" t="n">
        <v>1600</v>
      </c>
      <c r="D20" s="13" t="s">
        <v>68</v>
      </c>
    </row>
    <row r="21" customFormat="false" ht="15" hidden="false" customHeight="false" outlineLevel="0" collapsed="false">
      <c r="A21" s="11" t="s">
        <v>411</v>
      </c>
      <c r="B21" s="12" t="n">
        <v>2000</v>
      </c>
      <c r="C21" s="37" t="n">
        <v>1800</v>
      </c>
      <c r="D21" s="13" t="s">
        <v>68</v>
      </c>
    </row>
    <row r="22" customFormat="false" ht="15" hidden="false" customHeight="false" outlineLevel="0" collapsed="false">
      <c r="A22" s="11" t="s">
        <v>412</v>
      </c>
      <c r="B22" s="12" t="n">
        <v>2600</v>
      </c>
      <c r="C22" s="37" t="n">
        <v>2300</v>
      </c>
      <c r="D22" s="13" t="s">
        <v>68</v>
      </c>
    </row>
    <row r="23" customFormat="false" ht="15" hidden="false" customHeight="false" outlineLevel="0" collapsed="false">
      <c r="A23" s="11" t="s">
        <v>231</v>
      </c>
      <c r="B23" s="12" t="n">
        <v>1200</v>
      </c>
      <c r="C23" s="37" t="n">
        <v>1000</v>
      </c>
      <c r="D23" s="13" t="s">
        <v>68</v>
      </c>
    </row>
    <row r="24" customFormat="false" ht="15" hidden="false" customHeight="false" outlineLevel="0" collapsed="false">
      <c r="A24" s="11" t="s">
        <v>191</v>
      </c>
      <c r="B24" s="12" t="n">
        <v>3500</v>
      </c>
      <c r="C24" s="37" t="n">
        <v>3200</v>
      </c>
      <c r="D24" s="13" t="s">
        <v>68</v>
      </c>
    </row>
    <row r="25" customFormat="false" ht="15" hidden="false" customHeight="false" outlineLevel="0" collapsed="false">
      <c r="A25" s="11" t="s">
        <v>413</v>
      </c>
      <c r="B25" s="12" t="n">
        <v>3200</v>
      </c>
      <c r="C25" s="37" t="n">
        <v>3000</v>
      </c>
      <c r="D25" s="13" t="s">
        <v>68</v>
      </c>
    </row>
    <row r="26" customFormat="false" ht="15" hidden="false" customHeight="false" outlineLevel="0" collapsed="false">
      <c r="A26" s="11" t="s">
        <v>164</v>
      </c>
      <c r="B26" s="12" t="n">
        <v>2200</v>
      </c>
      <c r="C26" s="37" t="n">
        <v>2000</v>
      </c>
      <c r="D26" s="13" t="s">
        <v>68</v>
      </c>
    </row>
    <row r="27" customFormat="false" ht="15" hidden="false" customHeight="false" outlineLevel="0" collapsed="false">
      <c r="A27" s="11" t="s">
        <v>125</v>
      </c>
      <c r="B27" s="12" t="n">
        <v>1000</v>
      </c>
      <c r="C27" s="37" t="n">
        <v>1000</v>
      </c>
      <c r="D27" s="13" t="s">
        <v>68</v>
      </c>
    </row>
    <row r="28" customFormat="false" ht="15" hidden="false" customHeight="false" outlineLevel="0" collapsed="false">
      <c r="A28" s="11" t="s">
        <v>188</v>
      </c>
      <c r="B28" s="12" t="n">
        <v>3200</v>
      </c>
      <c r="C28" s="37" t="n">
        <v>3000</v>
      </c>
      <c r="D28" s="13" t="s">
        <v>68</v>
      </c>
    </row>
    <row r="29" customFormat="false" ht="15" hidden="false" customHeight="false" outlineLevel="0" collapsed="false">
      <c r="A29" s="11" t="s">
        <v>106</v>
      </c>
      <c r="B29" s="12" t="n">
        <v>1800</v>
      </c>
      <c r="C29" s="37" t="n">
        <v>1600</v>
      </c>
      <c r="D29" s="13" t="s">
        <v>68</v>
      </c>
    </row>
    <row r="30" customFormat="false" ht="15" hidden="false" customHeight="false" outlineLevel="0" collapsed="false">
      <c r="A30" s="11" t="s">
        <v>160</v>
      </c>
      <c r="B30" s="12" t="n">
        <v>2000</v>
      </c>
      <c r="C30" s="37" t="n">
        <v>1900</v>
      </c>
      <c r="D30" s="13" t="s">
        <v>68</v>
      </c>
    </row>
    <row r="31" customFormat="false" ht="15" hidden="false" customHeight="false" outlineLevel="0" collapsed="false">
      <c r="A31" s="11" t="s">
        <v>414</v>
      </c>
      <c r="B31" s="12" t="n">
        <v>2500</v>
      </c>
      <c r="C31" s="37" t="n">
        <v>2300</v>
      </c>
      <c r="D31" s="13" t="s">
        <v>68</v>
      </c>
    </row>
    <row r="32" customFormat="false" ht="15" hidden="false" customHeight="false" outlineLevel="0" collapsed="false">
      <c r="A32" s="11" t="s">
        <v>415</v>
      </c>
      <c r="B32" s="12" t="n">
        <v>2200</v>
      </c>
      <c r="C32" s="37" t="n">
        <v>2000</v>
      </c>
      <c r="D32" s="13" t="s">
        <v>68</v>
      </c>
    </row>
    <row r="33" customFormat="false" ht="15" hidden="false" customHeight="false" outlineLevel="0" collapsed="false">
      <c r="A33" s="11" t="s">
        <v>416</v>
      </c>
      <c r="B33" s="12" t="n">
        <v>2200</v>
      </c>
      <c r="C33" s="37" t="n">
        <v>2000</v>
      </c>
      <c r="D33" s="13" t="s">
        <v>68</v>
      </c>
    </row>
    <row r="34" customFormat="false" ht="15" hidden="false" customHeight="false" outlineLevel="0" collapsed="false">
      <c r="A34" s="11" t="s">
        <v>417</v>
      </c>
      <c r="B34" s="12" t="n">
        <v>1900</v>
      </c>
      <c r="C34" s="37" t="n">
        <v>1900</v>
      </c>
      <c r="D34" s="13" t="s">
        <v>68</v>
      </c>
    </row>
    <row r="35" customFormat="false" ht="15" hidden="false" customHeight="false" outlineLevel="0" collapsed="false">
      <c r="A35" s="11" t="s">
        <v>418</v>
      </c>
      <c r="B35" s="12" t="n">
        <v>2400</v>
      </c>
      <c r="C35" s="37" t="n">
        <v>2100</v>
      </c>
      <c r="D35" s="13" t="s">
        <v>68</v>
      </c>
    </row>
    <row r="36" customFormat="false" ht="15" hidden="false" customHeight="false" outlineLevel="0" collapsed="false">
      <c r="A36" s="11" t="s">
        <v>80</v>
      </c>
      <c r="B36" s="12" t="n">
        <v>1700</v>
      </c>
      <c r="C36" s="37" t="n">
        <v>1700</v>
      </c>
      <c r="D36" s="13" t="s">
        <v>68</v>
      </c>
    </row>
    <row r="37" customFormat="false" ht="15" hidden="false" customHeight="false" outlineLevel="0" collapsed="false">
      <c r="A37" s="11" t="s">
        <v>201</v>
      </c>
      <c r="B37" s="12" t="n">
        <v>1800</v>
      </c>
      <c r="C37" s="37" t="n">
        <v>1700</v>
      </c>
      <c r="D37" s="13" t="s">
        <v>68</v>
      </c>
    </row>
    <row r="38" customFormat="false" ht="15" hidden="false" customHeight="false" outlineLevel="0" collapsed="false">
      <c r="A38" s="11" t="s">
        <v>247</v>
      </c>
      <c r="B38" s="12" t="n">
        <v>650</v>
      </c>
      <c r="C38" s="37" t="n">
        <v>650</v>
      </c>
      <c r="D38" s="13" t="s">
        <v>68</v>
      </c>
    </row>
    <row r="39" customFormat="false" ht="15" hidden="false" customHeight="false" outlineLevel="0" collapsed="false">
      <c r="A39" s="11" t="s">
        <v>419</v>
      </c>
      <c r="B39" s="12" t="n">
        <v>2400</v>
      </c>
      <c r="C39" s="37" t="n">
        <v>2400</v>
      </c>
      <c r="D39" s="13" t="s">
        <v>68</v>
      </c>
    </row>
    <row r="40" customFormat="false" ht="15" hidden="false" customHeight="false" outlineLevel="0" collapsed="false">
      <c r="A40" s="11" t="s">
        <v>420</v>
      </c>
      <c r="B40" s="12" t="n">
        <v>1700</v>
      </c>
      <c r="C40" s="37" t="n">
        <v>1600</v>
      </c>
      <c r="D40" s="13" t="s">
        <v>68</v>
      </c>
    </row>
    <row r="41" customFormat="false" ht="15" hidden="false" customHeight="false" outlineLevel="0" collapsed="false">
      <c r="A41" s="11" t="s">
        <v>421</v>
      </c>
      <c r="B41" s="12" t="n">
        <v>2000</v>
      </c>
      <c r="C41" s="37" t="n">
        <v>2000</v>
      </c>
      <c r="D41" s="13" t="s">
        <v>68</v>
      </c>
    </row>
    <row r="42" customFormat="false" ht="15" hidden="false" customHeight="false" outlineLevel="0" collapsed="false">
      <c r="A42" s="11" t="s">
        <v>422</v>
      </c>
      <c r="B42" s="12" t="n">
        <v>8000</v>
      </c>
      <c r="C42" s="37" t="n">
        <v>8000</v>
      </c>
      <c r="D42" s="13" t="s">
        <v>68</v>
      </c>
    </row>
    <row r="43" customFormat="false" ht="15" hidden="false" customHeight="false" outlineLevel="0" collapsed="false">
      <c r="A43" s="11" t="s">
        <v>423</v>
      </c>
      <c r="B43" s="12" t="n">
        <v>2500</v>
      </c>
      <c r="C43" s="37" t="n">
        <v>2400</v>
      </c>
      <c r="D43" s="13" t="s">
        <v>68</v>
      </c>
    </row>
    <row r="44" customFormat="false" ht="15" hidden="false" customHeight="false" outlineLevel="0" collapsed="false">
      <c r="A44" s="11" t="s">
        <v>424</v>
      </c>
      <c r="B44" s="12" t="n">
        <v>5500</v>
      </c>
      <c r="C44" s="37" t="n">
        <v>5000</v>
      </c>
      <c r="D44" s="13" t="s">
        <v>68</v>
      </c>
    </row>
    <row r="45" customFormat="false" ht="15" hidden="false" customHeight="false" outlineLevel="0" collapsed="false">
      <c r="A45" s="11" t="s">
        <v>425</v>
      </c>
      <c r="B45" s="12" t="n">
        <v>6000</v>
      </c>
      <c r="C45" s="37" t="n">
        <v>6000</v>
      </c>
      <c r="D45" s="13" t="s">
        <v>68</v>
      </c>
    </row>
    <row r="46" customFormat="false" ht="15" hidden="false" customHeight="false" outlineLevel="0" collapsed="false">
      <c r="A46" s="11" t="s">
        <v>426</v>
      </c>
      <c r="B46" s="12" t="n">
        <v>5500</v>
      </c>
      <c r="C46" s="37" t="n">
        <v>5500</v>
      </c>
      <c r="D46" s="13" t="s">
        <v>68</v>
      </c>
    </row>
    <row r="47" customFormat="false" ht="15" hidden="false" customHeight="false" outlineLevel="0" collapsed="false">
      <c r="A47" s="11" t="s">
        <v>130</v>
      </c>
      <c r="B47" s="12" t="n">
        <v>3000</v>
      </c>
      <c r="C47" s="37" t="n">
        <v>2900</v>
      </c>
      <c r="D47" s="13" t="s">
        <v>68</v>
      </c>
    </row>
    <row r="48" customFormat="false" ht="15" hidden="false" customHeight="false" outlineLevel="0" collapsed="false">
      <c r="A48" s="11" t="s">
        <v>427</v>
      </c>
      <c r="B48" s="12" t="n">
        <v>3300</v>
      </c>
      <c r="C48" s="37" t="n">
        <v>3300</v>
      </c>
      <c r="D48" s="13" t="s">
        <v>68</v>
      </c>
    </row>
    <row r="49" customFormat="false" ht="15" hidden="false" customHeight="false" outlineLevel="0" collapsed="false">
      <c r="A49" s="11" t="s">
        <v>428</v>
      </c>
      <c r="B49" s="12" t="n">
        <v>1000</v>
      </c>
      <c r="C49" s="37" t="n">
        <v>1000</v>
      </c>
      <c r="D49" s="13" t="s">
        <v>68</v>
      </c>
    </row>
    <row r="50" customFormat="false" ht="15" hidden="false" customHeight="false" outlineLevel="0" collapsed="false">
      <c r="A50" s="11" t="s">
        <v>429</v>
      </c>
      <c r="B50" s="12" t="n">
        <v>500</v>
      </c>
      <c r="C50" s="37" t="n">
        <v>500</v>
      </c>
      <c r="D50" s="13" t="s">
        <v>68</v>
      </c>
    </row>
    <row r="51" customFormat="false" ht="15" hidden="false" customHeight="false" outlineLevel="0" collapsed="false">
      <c r="A51" s="35"/>
      <c r="B51" s="12"/>
      <c r="D51" s="13"/>
    </row>
    <row r="52" customFormat="false" ht="15" hidden="false" customHeight="false" outlineLevel="0" collapsed="false">
      <c r="A52" s="35"/>
      <c r="B52" s="12"/>
      <c r="D52" s="13"/>
    </row>
    <row r="53" customFormat="false" ht="15" hidden="false" customHeight="false" outlineLevel="0" collapsed="false">
      <c r="A53" s="35"/>
      <c r="B53" s="12"/>
      <c r="D53" s="13"/>
    </row>
    <row r="54" customFormat="false" ht="15" hidden="false" customHeight="false" outlineLevel="0" collapsed="false">
      <c r="A54" s="35"/>
      <c r="B54" s="12"/>
      <c r="D54" s="13"/>
    </row>
    <row r="55" customFormat="false" ht="15" hidden="false" customHeight="false" outlineLevel="0" collapsed="false">
      <c r="A55" s="35"/>
      <c r="B55" s="12"/>
      <c r="D55" s="13"/>
    </row>
    <row r="56" customFormat="false" ht="15" hidden="false" customHeight="false" outlineLevel="0" collapsed="false">
      <c r="A56" s="35"/>
      <c r="B56" s="12"/>
      <c r="D56" s="13"/>
    </row>
    <row r="57" customFormat="false" ht="15" hidden="false" customHeight="false" outlineLevel="0" collapsed="false">
      <c r="A57" s="35"/>
      <c r="B57" s="12"/>
      <c r="D57" s="13"/>
    </row>
    <row r="58" customFormat="false" ht="15" hidden="false" customHeight="false" outlineLevel="0" collapsed="false">
      <c r="A58" s="35"/>
      <c r="B58" s="12"/>
      <c r="D58" s="13"/>
    </row>
    <row r="59" customFormat="false" ht="15" hidden="false" customHeight="false" outlineLevel="0" collapsed="false">
      <c r="A59" s="35"/>
      <c r="B59" s="12"/>
      <c r="D59" s="13"/>
    </row>
    <row r="60" customFormat="false" ht="15" hidden="false" customHeight="false" outlineLevel="0" collapsed="false">
      <c r="A60" s="35"/>
      <c r="B60" s="12"/>
      <c r="D60" s="13"/>
    </row>
    <row r="61" customFormat="false" ht="15" hidden="false" customHeight="false" outlineLevel="0" collapsed="false">
      <c r="A61" s="35"/>
      <c r="B61" s="12"/>
      <c r="D61" s="13"/>
    </row>
    <row r="62" customFormat="false" ht="15" hidden="false" customHeight="false" outlineLevel="0" collapsed="false">
      <c r="A62" s="35"/>
      <c r="B62" s="12"/>
      <c r="D62" s="13"/>
    </row>
    <row r="63" customFormat="false" ht="15" hidden="false" customHeight="false" outlineLevel="0" collapsed="false">
      <c r="A63" s="35"/>
      <c r="B63" s="12"/>
      <c r="D63" s="13"/>
    </row>
    <row r="64" customFormat="false" ht="15" hidden="false" customHeight="false" outlineLevel="0" collapsed="false">
      <c r="A64" s="35"/>
      <c r="B64" s="12"/>
      <c r="D64" s="13"/>
    </row>
    <row r="65" customFormat="false" ht="15" hidden="false" customHeight="false" outlineLevel="0" collapsed="false">
      <c r="A65" s="35"/>
      <c r="B65" s="12"/>
      <c r="D65" s="13"/>
    </row>
    <row r="66" customFormat="false" ht="15" hidden="false" customHeight="false" outlineLevel="0" collapsed="false">
      <c r="A66" s="35"/>
      <c r="B66" s="12"/>
      <c r="D66" s="13"/>
    </row>
    <row r="67" customFormat="false" ht="15" hidden="false" customHeight="false" outlineLevel="0" collapsed="false">
      <c r="A67" s="35"/>
      <c r="B67" s="12"/>
      <c r="D67" s="13"/>
    </row>
    <row r="68" customFormat="false" ht="15" hidden="false" customHeight="false" outlineLevel="0" collapsed="false">
      <c r="A68" s="35"/>
      <c r="B68" s="12"/>
      <c r="D68" s="13"/>
    </row>
    <row r="69" customFormat="false" ht="15" hidden="false" customHeight="false" outlineLevel="0" collapsed="false">
      <c r="A69" s="35"/>
      <c r="B69" s="12"/>
      <c r="D69" s="13"/>
    </row>
    <row r="70" customFormat="false" ht="15" hidden="false" customHeight="false" outlineLevel="0" collapsed="false">
      <c r="A70" s="35"/>
      <c r="B70" s="12"/>
      <c r="D70" s="13"/>
    </row>
    <row r="71" customFormat="false" ht="15" hidden="false" customHeight="false" outlineLevel="0" collapsed="false">
      <c r="A71" s="35"/>
      <c r="B71" s="12"/>
      <c r="D71" s="13"/>
    </row>
    <row r="72" customFormat="false" ht="15" hidden="false" customHeight="false" outlineLevel="0" collapsed="false">
      <c r="A72" s="35"/>
      <c r="B72" s="12"/>
      <c r="D72" s="13"/>
    </row>
    <row r="73" customFormat="false" ht="15" hidden="false" customHeight="false" outlineLevel="0" collapsed="false">
      <c r="A73" s="35"/>
      <c r="B73" s="12"/>
      <c r="D73" s="13"/>
    </row>
    <row r="74" customFormat="false" ht="15" hidden="false" customHeight="false" outlineLevel="0" collapsed="false">
      <c r="A74" s="35"/>
      <c r="B74" s="12"/>
      <c r="D74" s="13"/>
    </row>
    <row r="75" customFormat="false" ht="15" hidden="false" customHeight="false" outlineLevel="0" collapsed="false">
      <c r="A75" s="35"/>
      <c r="B75" s="12"/>
      <c r="D75" s="13"/>
    </row>
    <row r="76" customFormat="false" ht="15" hidden="false" customHeight="false" outlineLevel="0" collapsed="false">
      <c r="A76" s="35"/>
      <c r="B76" s="12"/>
      <c r="D76" s="13"/>
    </row>
    <row r="77" customFormat="false" ht="15" hidden="false" customHeight="false" outlineLevel="0" collapsed="false">
      <c r="A77" s="35"/>
      <c r="B77" s="12"/>
      <c r="D77" s="13"/>
    </row>
    <row r="78" customFormat="false" ht="15" hidden="false" customHeight="false" outlineLevel="0" collapsed="false">
      <c r="A78" s="35"/>
      <c r="B78" s="12"/>
      <c r="D78" s="13"/>
    </row>
    <row r="79" customFormat="false" ht="15" hidden="false" customHeight="false" outlineLevel="0" collapsed="false">
      <c r="A79" s="35"/>
      <c r="B79" s="12"/>
      <c r="D79" s="13"/>
    </row>
    <row r="80" customFormat="false" ht="15" hidden="false" customHeight="false" outlineLevel="0" collapsed="false">
      <c r="A80" s="35"/>
      <c r="B80" s="12"/>
      <c r="D80" s="13"/>
    </row>
    <row r="81" customFormat="false" ht="15" hidden="false" customHeight="false" outlineLevel="0" collapsed="false">
      <c r="A81" s="35"/>
      <c r="B81" s="12"/>
      <c r="D81" s="13"/>
    </row>
    <row r="82" customFormat="false" ht="15" hidden="false" customHeight="false" outlineLevel="0" collapsed="false">
      <c r="A82" s="35"/>
      <c r="B82" s="12"/>
      <c r="D82" s="13"/>
    </row>
    <row r="83" customFormat="false" ht="15" hidden="false" customHeight="false" outlineLevel="0" collapsed="false">
      <c r="A83" s="35"/>
      <c r="B83" s="12"/>
      <c r="D83" s="13"/>
    </row>
    <row r="84" customFormat="false" ht="15" hidden="false" customHeight="false" outlineLevel="0" collapsed="false">
      <c r="A84" s="35"/>
      <c r="B84" s="12"/>
      <c r="D84" s="13"/>
    </row>
    <row r="85" customFormat="false" ht="15" hidden="false" customHeight="false" outlineLevel="0" collapsed="false">
      <c r="A85" s="35"/>
      <c r="B85" s="12"/>
      <c r="D85" s="13"/>
    </row>
    <row r="86" customFormat="false" ht="15" hidden="false" customHeight="false" outlineLevel="0" collapsed="false">
      <c r="A86" s="35"/>
      <c r="B86" s="12"/>
      <c r="D86" s="13"/>
    </row>
    <row r="87" customFormat="false" ht="15" hidden="false" customHeight="false" outlineLevel="0" collapsed="false">
      <c r="A87" s="35"/>
      <c r="B87" s="12"/>
      <c r="D87" s="13"/>
    </row>
    <row r="88" customFormat="false" ht="15" hidden="false" customHeight="false" outlineLevel="0" collapsed="false">
      <c r="A88" s="35"/>
      <c r="B88" s="12"/>
      <c r="D88" s="13"/>
    </row>
    <row r="89" customFormat="false" ht="15" hidden="false" customHeight="false" outlineLevel="0" collapsed="false">
      <c r="A89" s="35"/>
      <c r="B89" s="12"/>
      <c r="D89" s="13"/>
    </row>
    <row r="90" customFormat="false" ht="15" hidden="false" customHeight="false" outlineLevel="0" collapsed="false">
      <c r="A90" s="35"/>
      <c r="B90" s="12"/>
      <c r="D90" s="13"/>
    </row>
    <row r="91" customFormat="false" ht="15" hidden="false" customHeight="false" outlineLevel="0" collapsed="false">
      <c r="A91" s="35"/>
      <c r="B91" s="12"/>
      <c r="D91" s="13"/>
    </row>
    <row r="92" customFormat="false" ht="15" hidden="false" customHeight="false" outlineLevel="0" collapsed="false">
      <c r="A92" s="35"/>
      <c r="B92" s="12"/>
      <c r="D92" s="13"/>
    </row>
    <row r="93" customFormat="false" ht="15" hidden="false" customHeight="false" outlineLevel="0" collapsed="false">
      <c r="A93" s="35"/>
      <c r="B93" s="12"/>
      <c r="D93" s="13"/>
    </row>
    <row r="94" customFormat="false" ht="15" hidden="false" customHeight="false" outlineLevel="0" collapsed="false">
      <c r="A94" s="35"/>
      <c r="B94" s="12"/>
      <c r="D94" s="13"/>
    </row>
    <row r="95" customFormat="false" ht="15" hidden="false" customHeight="false" outlineLevel="0" collapsed="false">
      <c r="A95" s="35"/>
      <c r="B95" s="12"/>
      <c r="D95" s="13"/>
    </row>
    <row r="96" customFormat="false" ht="15" hidden="false" customHeight="false" outlineLevel="0" collapsed="false">
      <c r="A96" s="35"/>
      <c r="B96" s="12"/>
      <c r="D96" s="13"/>
    </row>
    <row r="97" customFormat="false" ht="15" hidden="false" customHeight="false" outlineLevel="0" collapsed="false">
      <c r="A97" s="35"/>
      <c r="B97" s="12"/>
      <c r="D97" s="13"/>
    </row>
    <row r="98" customFormat="false" ht="15" hidden="false" customHeight="false" outlineLevel="0" collapsed="false">
      <c r="A98" s="35"/>
      <c r="B98" s="12"/>
      <c r="D98" s="13"/>
    </row>
    <row r="99" customFormat="false" ht="15" hidden="false" customHeight="false" outlineLevel="0" collapsed="false">
      <c r="A99" s="35"/>
      <c r="B99" s="12"/>
      <c r="D99" s="13"/>
    </row>
    <row r="100" customFormat="false" ht="15" hidden="false" customHeight="false" outlineLevel="0" collapsed="false">
      <c r="A100" s="35"/>
      <c r="B100" s="12"/>
      <c r="D100" s="13"/>
    </row>
  </sheetData>
  <dataValidations count="1">
    <dataValidation allowBlank="true" errorStyle="stop" operator="between" showDropDown="false" showErrorMessage="false" showInputMessage="false" sqref="D5:D100" type="list">
      <formula1>"Por confirmar,Confirmado"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8"/>
    <col collapsed="false" customWidth="true" hidden="false" outlineLevel="0" max="2" min="2" style="0" width="52"/>
    <col collapsed="false" customWidth="true" hidden="false" outlineLevel="0" max="3" min="3" style="0" width="22"/>
    <col collapsed="false" customWidth="true" hidden="false" outlineLevel="0" max="4" min="4" style="0" width="12"/>
    <col collapsed="false" customWidth="true" hidden="false" outlineLevel="0" max="5" min="5" style="0" width="14"/>
    <col collapsed="false" customWidth="true" hidden="false" outlineLevel="0" max="6" min="6" style="0" width="16"/>
  </cols>
  <sheetData>
    <row r="1" customFormat="false" ht="17.35" hidden="false" customHeight="false" outlineLevel="0" collapsed="false">
      <c r="A1" s="1" t="s">
        <v>430</v>
      </c>
    </row>
    <row r="2" customFormat="false" ht="15" hidden="false" customHeight="false" outlineLevel="0" collapsed="false">
      <c r="A2" s="2" t="s">
        <v>431</v>
      </c>
    </row>
    <row r="3" customFormat="false" ht="15" hidden="false" customHeight="false" outlineLevel="0" collapsed="false">
      <c r="A3" s="5" t="str">
        <f aca="false">"Recetas completas: "&amp;COUNTIF(F6:F200,"Completa")&amp;" de "&amp;COUNTA(A6:A200)&amp;" productos  ·  cubren el "&amp;TEXT(SUMIF(F6:F200,"Completa",D6:D200)/SUM(D6:D200),"0%")&amp;" de las unidades vendidas"</f>
        <v>Recetas completas: 6 de 132 productos  ·  cubren el 7% de las unidades vendidas</v>
      </c>
    </row>
    <row r="5" customFormat="false" ht="23.85" hidden="false" customHeight="false" outlineLevel="0" collapsed="false">
      <c r="A5" s="10" t="s">
        <v>36</v>
      </c>
      <c r="B5" s="10" t="s">
        <v>37</v>
      </c>
      <c r="C5" s="10" t="s">
        <v>38</v>
      </c>
      <c r="D5" s="10" t="s">
        <v>432</v>
      </c>
      <c r="E5" s="10" t="s">
        <v>433</v>
      </c>
      <c r="F5" s="10" t="s">
        <v>434</v>
      </c>
    </row>
    <row r="6" customFormat="false" ht="15" hidden="false" customHeight="false" outlineLevel="0" collapsed="false">
      <c r="A6" s="11" t="s">
        <v>435</v>
      </c>
      <c r="B6" s="11" t="s">
        <v>37</v>
      </c>
      <c r="C6" s="11" t="s">
        <v>38</v>
      </c>
      <c r="D6" s="38" t="s">
        <v>436</v>
      </c>
      <c r="E6" s="37" t="s">
        <v>437</v>
      </c>
      <c r="F6" s="39" t="str">
        <f aca="false">IF(COUNTIF(Recetas!$A$6:$A$250,A6)=0,IF(C6="KIT/DÚO","Kit (después)","No está"),IF(COUNTIFS(Recetas!$A$6:$A$250,A6,Recetas!$S$6:$S$250,"&gt;0")&gt;0,"Completa","Faltan datos"))</f>
        <v>No está</v>
      </c>
    </row>
    <row r="7" customFormat="false" ht="15" hidden="false" customHeight="false" outlineLevel="0" collapsed="false">
      <c r="A7" s="11" t="s">
        <v>438</v>
      </c>
      <c r="B7" s="11" t="s">
        <v>439</v>
      </c>
      <c r="C7" s="11" t="s">
        <v>440</v>
      </c>
      <c r="D7" s="38" t="n">
        <v>496</v>
      </c>
      <c r="E7" s="37" t="n">
        <v>26379</v>
      </c>
      <c r="F7" s="39" t="str">
        <f aca="false">IF(COUNTIF(Recetas!$A$6:$A$250,A7)=0,IF(C7="KIT/DÚO","Kit (después)","No está"),IF(COUNTIFS(Recetas!$A$6:$A$250,A7,Recetas!$S$6:$S$250,"&gt;0")&gt;0,"Completa","Faltan datos"))</f>
        <v>Kit (después)</v>
      </c>
    </row>
    <row r="8" customFormat="false" ht="15" hidden="false" customHeight="false" outlineLevel="0" collapsed="false">
      <c r="A8" s="11" t="s">
        <v>441</v>
      </c>
      <c r="B8" s="11" t="s">
        <v>442</v>
      </c>
      <c r="C8" s="11" t="s">
        <v>443</v>
      </c>
      <c r="D8" s="38" t="n">
        <v>387</v>
      </c>
      <c r="E8" s="37" t="n">
        <v>2094</v>
      </c>
      <c r="F8" s="39" t="str">
        <f aca="false">IF(COUNTIF(Recetas!$A$6:$A$250,A8)=0,IF(C8="KIT/DÚO","Kit (después)","No está"),IF(COUNTIFS(Recetas!$A$6:$A$250,A8,Recetas!$S$6:$S$250,"&gt;0")&gt;0,"Completa","Faltan datos"))</f>
        <v>No está</v>
      </c>
    </row>
    <row r="9" customFormat="false" ht="15" hidden="false" customHeight="false" outlineLevel="0" collapsed="false">
      <c r="A9" s="11" t="s">
        <v>444</v>
      </c>
      <c r="B9" s="11" t="s">
        <v>445</v>
      </c>
      <c r="C9" s="11" t="s">
        <v>440</v>
      </c>
      <c r="D9" s="38" t="n">
        <v>214</v>
      </c>
      <c r="E9" s="37" t="n">
        <v>29580</v>
      </c>
      <c r="F9" s="39" t="str">
        <f aca="false">IF(COUNTIF(Recetas!$A$6:$A$250,A9)=0,IF(C9="KIT/DÚO","Kit (después)","No está"),IF(COUNTIFS(Recetas!$A$6:$A$250,A9,Recetas!$S$6:$S$250,"&gt;0")&gt;0,"Completa","Faltan datos"))</f>
        <v>Kit (después)</v>
      </c>
    </row>
    <row r="10" customFormat="false" ht="15" hidden="false" customHeight="false" outlineLevel="0" collapsed="false">
      <c r="A10" s="11" t="s">
        <v>446</v>
      </c>
      <c r="B10" s="11" t="s">
        <v>447</v>
      </c>
      <c r="C10" s="11" t="s">
        <v>443</v>
      </c>
      <c r="D10" s="38" t="n">
        <v>214</v>
      </c>
      <c r="E10" s="37" t="n">
        <v>2941</v>
      </c>
      <c r="F10" s="39" t="str">
        <f aca="false">IF(COUNTIF(Recetas!$A$6:$A$250,A10)=0,IF(C10="KIT/DÚO","Kit (después)","No está"),IF(COUNTIFS(Recetas!$A$6:$A$250,A10,Recetas!$S$6:$S$250,"&gt;0")&gt;0,"Completa","Faltan datos"))</f>
        <v>No está</v>
      </c>
    </row>
    <row r="11" customFormat="false" ht="15" hidden="false" customHeight="false" outlineLevel="0" collapsed="false">
      <c r="A11" s="11" t="s">
        <v>448</v>
      </c>
      <c r="B11" s="11" t="s">
        <v>449</v>
      </c>
      <c r="C11" s="11" t="s">
        <v>450</v>
      </c>
      <c r="D11" s="38" t="n">
        <v>209</v>
      </c>
      <c r="E11" s="37" t="n">
        <v>9734</v>
      </c>
      <c r="F11" s="39" t="str">
        <f aca="false">IF(COUNTIF(Recetas!$A$6:$A$250,A11)=0,IF(C11="KIT/DÚO","Kit (después)","No está"),IF(COUNTIFS(Recetas!$A$6:$A$250,A11,Recetas!$S$6:$S$250,"&gt;0")&gt;0,"Completa","Faltan datos"))</f>
        <v>No está</v>
      </c>
    </row>
    <row r="12" customFormat="false" ht="15" hidden="false" customHeight="false" outlineLevel="0" collapsed="false">
      <c r="A12" s="11" t="s">
        <v>451</v>
      </c>
      <c r="B12" s="11" t="s">
        <v>452</v>
      </c>
      <c r="C12" s="11" t="s">
        <v>443</v>
      </c>
      <c r="D12" s="38" t="n">
        <v>207</v>
      </c>
      <c r="E12" s="37" t="n">
        <v>2941</v>
      </c>
      <c r="F12" s="39" t="str">
        <f aca="false">IF(COUNTIF(Recetas!$A$6:$A$250,A12)=0,IF(C12="KIT/DÚO","Kit (después)","No está"),IF(COUNTIFS(Recetas!$A$6:$A$250,A12,Recetas!$S$6:$S$250,"&gt;0")&gt;0,"Completa","Faltan datos"))</f>
        <v>No está</v>
      </c>
    </row>
    <row r="13" customFormat="false" ht="15" hidden="false" customHeight="false" outlineLevel="0" collapsed="false">
      <c r="A13" s="11" t="s">
        <v>63</v>
      </c>
      <c r="B13" s="11" t="s">
        <v>64</v>
      </c>
      <c r="C13" s="11" t="s">
        <v>453</v>
      </c>
      <c r="D13" s="38" t="n">
        <v>198</v>
      </c>
      <c r="E13" s="37" t="n">
        <v>15994</v>
      </c>
      <c r="F13" s="39" t="str">
        <f aca="false">IF(COUNTIF(Recetas!$A$6:$A$250,A13)=0,IF(C13="KIT/DÚO","Kit (después)","No está"),IF(COUNTIFS(Recetas!$A$6:$A$250,A13,Recetas!$S$6:$S$250,"&gt;0")&gt;0,"Completa","Faltan datos"))</f>
        <v>Faltan datos</v>
      </c>
    </row>
    <row r="14" customFormat="false" ht="15" hidden="false" customHeight="false" outlineLevel="0" collapsed="false">
      <c r="A14" s="11" t="s">
        <v>70</v>
      </c>
      <c r="B14" s="11" t="s">
        <v>71</v>
      </c>
      <c r="C14" s="11" t="s">
        <v>453</v>
      </c>
      <c r="D14" s="38" t="n">
        <v>190</v>
      </c>
      <c r="E14" s="37" t="n">
        <v>16073</v>
      </c>
      <c r="F14" s="39" t="str">
        <f aca="false">IF(COUNTIF(Recetas!$A$6:$A$250,A14)=0,IF(C14="KIT/DÚO","Kit (después)","No está"),IF(COUNTIFS(Recetas!$A$6:$A$250,A14,Recetas!$S$6:$S$250,"&gt;0")&gt;0,"Completa","Faltan datos"))</f>
        <v>Faltan datos</v>
      </c>
    </row>
    <row r="15" customFormat="false" ht="15" hidden="false" customHeight="false" outlineLevel="0" collapsed="false">
      <c r="A15" s="11" t="s">
        <v>454</v>
      </c>
      <c r="B15" s="11" t="s">
        <v>455</v>
      </c>
      <c r="C15" s="11" t="s">
        <v>443</v>
      </c>
      <c r="D15" s="38" t="n">
        <v>161</v>
      </c>
      <c r="E15" s="37" t="n">
        <v>2521</v>
      </c>
      <c r="F15" s="39" t="str">
        <f aca="false">IF(COUNTIF(Recetas!$A$6:$A$250,A15)=0,IF(C15="KIT/DÚO","Kit (después)","No está"),IF(COUNTIFS(Recetas!$A$6:$A$250,A15,Recetas!$S$6:$S$250,"&gt;0")&gt;0,"Completa","Faltan datos"))</f>
        <v>No está</v>
      </c>
    </row>
    <row r="16" customFormat="false" ht="15" hidden="false" customHeight="false" outlineLevel="0" collapsed="false">
      <c r="A16" s="11" t="s">
        <v>73</v>
      </c>
      <c r="B16" s="11" t="s">
        <v>74</v>
      </c>
      <c r="C16" s="11" t="s">
        <v>453</v>
      </c>
      <c r="D16" s="38" t="n">
        <v>160</v>
      </c>
      <c r="E16" s="37" t="n">
        <v>18403</v>
      </c>
      <c r="F16" s="39" t="str">
        <f aca="false">IF(COUNTIF(Recetas!$A$6:$A$250,A16)=0,IF(C16="KIT/DÚO","Kit (después)","No está"),IF(COUNTIFS(Recetas!$A$6:$A$250,A16,Recetas!$S$6:$S$250,"&gt;0")&gt;0,"Completa","Faltan datos"))</f>
        <v>Completa</v>
      </c>
    </row>
    <row r="17" customFormat="false" ht="15" hidden="false" customHeight="false" outlineLevel="0" collapsed="false">
      <c r="A17" s="11" t="s">
        <v>456</v>
      </c>
      <c r="B17" s="11" t="s">
        <v>457</v>
      </c>
      <c r="C17" s="11" t="s">
        <v>440</v>
      </c>
      <c r="D17" s="38" t="n">
        <v>148</v>
      </c>
      <c r="E17" s="37" t="n">
        <v>38898</v>
      </c>
      <c r="F17" s="39" t="str">
        <f aca="false">IF(COUNTIF(Recetas!$A$6:$A$250,A17)=0,IF(C17="KIT/DÚO","Kit (después)","No está"),IF(COUNTIFS(Recetas!$A$6:$A$250,A17,Recetas!$S$6:$S$250,"&gt;0")&gt;0,"Completa","Faltan datos"))</f>
        <v>Kit (después)</v>
      </c>
    </row>
    <row r="18" customFormat="false" ht="15" hidden="false" customHeight="false" outlineLevel="0" collapsed="false">
      <c r="A18" s="11" t="s">
        <v>78</v>
      </c>
      <c r="B18" s="11" t="s">
        <v>79</v>
      </c>
      <c r="C18" s="11" t="s">
        <v>453</v>
      </c>
      <c r="D18" s="38" t="n">
        <v>139</v>
      </c>
      <c r="E18" s="37" t="n">
        <v>17563</v>
      </c>
      <c r="F18" s="39" t="str">
        <f aca="false">IF(COUNTIF(Recetas!$A$6:$A$250,A18)=0,IF(C18="KIT/DÚO","Kit (después)","No está"),IF(COUNTIFS(Recetas!$A$6:$A$250,A18,Recetas!$S$6:$S$250,"&gt;0")&gt;0,"Completa","Faltan datos"))</f>
        <v>Faltan datos</v>
      </c>
    </row>
    <row r="19" customFormat="false" ht="15" hidden="false" customHeight="false" outlineLevel="0" collapsed="false">
      <c r="A19" s="11" t="s">
        <v>458</v>
      </c>
      <c r="B19" s="11" t="s">
        <v>459</v>
      </c>
      <c r="C19" s="11" t="s">
        <v>443</v>
      </c>
      <c r="D19" s="38" t="n">
        <v>130</v>
      </c>
      <c r="E19" s="37" t="n">
        <v>840</v>
      </c>
      <c r="F19" s="39" t="str">
        <f aca="false">IF(COUNTIF(Recetas!$A$6:$A$250,A19)=0,IF(C19="KIT/DÚO","Kit (después)","No está"),IF(COUNTIFS(Recetas!$A$6:$A$250,A19,Recetas!$S$6:$S$250,"&gt;0")&gt;0,"Completa","Faltan datos"))</f>
        <v>No está</v>
      </c>
    </row>
    <row r="20" customFormat="false" ht="15" hidden="false" customHeight="false" outlineLevel="0" collapsed="false">
      <c r="A20" s="11" t="s">
        <v>460</v>
      </c>
      <c r="B20" s="11" t="s">
        <v>461</v>
      </c>
      <c r="C20" s="11" t="s">
        <v>443</v>
      </c>
      <c r="D20" s="38" t="n">
        <v>126</v>
      </c>
      <c r="E20" s="37" t="n">
        <v>4202</v>
      </c>
      <c r="F20" s="39" t="str">
        <f aca="false">IF(COUNTIF(Recetas!$A$6:$A$250,A20)=0,IF(C20="KIT/DÚO","Kit (después)","No está"),IF(COUNTIFS(Recetas!$A$6:$A$250,A20,Recetas!$S$6:$S$250,"&gt;0")&gt;0,"Completa","Faltan datos"))</f>
        <v>No está</v>
      </c>
    </row>
    <row r="21" customFormat="false" ht="15" hidden="false" customHeight="false" outlineLevel="0" collapsed="false">
      <c r="A21" s="11" t="s">
        <v>82</v>
      </c>
      <c r="B21" s="11" t="s">
        <v>83</v>
      </c>
      <c r="C21" s="11" t="s">
        <v>453</v>
      </c>
      <c r="D21" s="38" t="n">
        <v>109</v>
      </c>
      <c r="E21" s="37" t="n">
        <v>18403</v>
      </c>
      <c r="F21" s="39" t="str">
        <f aca="false">IF(COUNTIF(Recetas!$A$6:$A$250,A21)=0,IF(C21="KIT/DÚO","Kit (después)","No está"),IF(COUNTIFS(Recetas!$A$6:$A$250,A21,Recetas!$S$6:$S$250,"&gt;0")&gt;0,"Completa","Faltan datos"))</f>
        <v>Completa</v>
      </c>
    </row>
    <row r="22" customFormat="false" ht="15" hidden="false" customHeight="false" outlineLevel="0" collapsed="false">
      <c r="A22" s="11" t="s">
        <v>85</v>
      </c>
      <c r="B22" s="11" t="s">
        <v>86</v>
      </c>
      <c r="C22" s="11" t="s">
        <v>453</v>
      </c>
      <c r="D22" s="38" t="n">
        <v>109</v>
      </c>
      <c r="E22" s="37" t="n">
        <v>16589</v>
      </c>
      <c r="F22" s="39" t="str">
        <f aca="false">IF(COUNTIF(Recetas!$A$6:$A$250,A22)=0,IF(C22="KIT/DÚO","Kit (después)","No está"),IF(COUNTIFS(Recetas!$A$6:$A$250,A22,Recetas!$S$6:$S$250,"&gt;0")&gt;0,"Completa","Faltan datos"))</f>
        <v>Faltan datos</v>
      </c>
    </row>
    <row r="23" customFormat="false" ht="15" hidden="false" customHeight="false" outlineLevel="0" collapsed="false">
      <c r="A23" s="11" t="s">
        <v>87</v>
      </c>
      <c r="B23" s="11" t="s">
        <v>88</v>
      </c>
      <c r="C23" s="11" t="s">
        <v>462</v>
      </c>
      <c r="D23" s="38" t="n">
        <v>109</v>
      </c>
      <c r="E23" s="37" t="n">
        <v>17004</v>
      </c>
      <c r="F23" s="39" t="str">
        <f aca="false">IF(COUNTIF(Recetas!$A$6:$A$250,A23)=0,IF(C23="KIT/DÚO","Kit (después)","No está"),IF(COUNTIFS(Recetas!$A$6:$A$250,A23,Recetas!$S$6:$S$250,"&gt;0")&gt;0,"Completa","Faltan datos"))</f>
        <v>Faltan datos</v>
      </c>
    </row>
    <row r="24" customFormat="false" ht="15" hidden="false" customHeight="false" outlineLevel="0" collapsed="false">
      <c r="A24" s="11" t="s">
        <v>463</v>
      </c>
      <c r="B24" s="11" t="s">
        <v>464</v>
      </c>
      <c r="C24" s="11" t="s">
        <v>440</v>
      </c>
      <c r="D24" s="38" t="n">
        <v>105</v>
      </c>
      <c r="E24" s="37" t="n">
        <v>23697</v>
      </c>
      <c r="F24" s="39" t="str">
        <f aca="false">IF(COUNTIF(Recetas!$A$6:$A$250,A24)=0,IF(C24="KIT/DÚO","Kit (después)","No está"),IF(COUNTIFS(Recetas!$A$6:$A$250,A24,Recetas!$S$6:$S$250,"&gt;0")&gt;0,"Completa","Faltan datos"))</f>
        <v>Kit (después)</v>
      </c>
    </row>
    <row r="25" customFormat="false" ht="15" hidden="false" customHeight="false" outlineLevel="0" collapsed="false">
      <c r="A25" s="11" t="s">
        <v>90</v>
      </c>
      <c r="B25" s="11" t="s">
        <v>91</v>
      </c>
      <c r="C25" s="11" t="s">
        <v>453</v>
      </c>
      <c r="D25" s="38" t="n">
        <v>100</v>
      </c>
      <c r="E25" s="37" t="n">
        <v>25714</v>
      </c>
      <c r="F25" s="39" t="str">
        <f aca="false">IF(COUNTIF(Recetas!$A$6:$A$250,A25)=0,IF(C25="KIT/DÚO","Kit (después)","No está"),IF(COUNTIFS(Recetas!$A$6:$A$250,A25,Recetas!$S$6:$S$250,"&gt;0")&gt;0,"Completa","Faltan datos"))</f>
        <v>Faltan datos</v>
      </c>
    </row>
    <row r="26" customFormat="false" ht="15" hidden="false" customHeight="false" outlineLevel="0" collapsed="false">
      <c r="A26" s="11" t="s">
        <v>92</v>
      </c>
      <c r="B26" s="11" t="s">
        <v>93</v>
      </c>
      <c r="C26" s="11" t="s">
        <v>462</v>
      </c>
      <c r="D26" s="38" t="n">
        <v>99</v>
      </c>
      <c r="E26" s="37" t="n">
        <v>18729</v>
      </c>
      <c r="F26" s="39" t="str">
        <f aca="false">IF(COUNTIF(Recetas!$A$6:$A$250,A26)=0,IF(C26="KIT/DÚO","Kit (después)","No está"),IF(COUNTIFS(Recetas!$A$6:$A$250,A26,Recetas!$S$6:$S$250,"&gt;0")&gt;0,"Completa","Faltan datos"))</f>
        <v>Faltan datos</v>
      </c>
    </row>
    <row r="27" customFormat="false" ht="15" hidden="false" customHeight="false" outlineLevel="0" collapsed="false">
      <c r="A27" s="11" t="s">
        <v>94</v>
      </c>
      <c r="B27" s="11" t="s">
        <v>95</v>
      </c>
      <c r="C27" s="11" t="s">
        <v>453</v>
      </c>
      <c r="D27" s="38" t="n">
        <v>96</v>
      </c>
      <c r="E27" s="37" t="n">
        <v>15588</v>
      </c>
      <c r="F27" s="39" t="str">
        <f aca="false">IF(COUNTIF(Recetas!$A$6:$A$250,A27)=0,IF(C27="KIT/DÚO","Kit (después)","No está"),IF(COUNTIFS(Recetas!$A$6:$A$250,A27,Recetas!$S$6:$S$250,"&gt;0")&gt;0,"Completa","Faltan datos"))</f>
        <v>Faltan datos</v>
      </c>
    </row>
    <row r="28" customFormat="false" ht="15" hidden="false" customHeight="false" outlineLevel="0" collapsed="false">
      <c r="A28" s="11" t="s">
        <v>96</v>
      </c>
      <c r="B28" s="11" t="s">
        <v>97</v>
      </c>
      <c r="C28" s="11" t="s">
        <v>453</v>
      </c>
      <c r="D28" s="38" t="n">
        <v>93</v>
      </c>
      <c r="E28" s="37" t="n">
        <v>21765</v>
      </c>
      <c r="F28" s="39" t="str">
        <f aca="false">IF(COUNTIF(Recetas!$A$6:$A$250,A28)=0,IF(C28="KIT/DÚO","Kit (después)","No está"),IF(COUNTIFS(Recetas!$A$6:$A$250,A28,Recetas!$S$6:$S$250,"&gt;0")&gt;0,"Completa","Faltan datos"))</f>
        <v>Faltan datos</v>
      </c>
    </row>
    <row r="29" customFormat="false" ht="15" hidden="false" customHeight="false" outlineLevel="0" collapsed="false">
      <c r="A29" s="11" t="s">
        <v>465</v>
      </c>
      <c r="B29" s="11" t="s">
        <v>466</v>
      </c>
      <c r="C29" s="11" t="s">
        <v>440</v>
      </c>
      <c r="D29" s="38" t="n">
        <v>91</v>
      </c>
      <c r="E29" s="37" t="n">
        <v>26263</v>
      </c>
      <c r="F29" s="39" t="str">
        <f aca="false">IF(COUNTIF(Recetas!$A$6:$A$250,A29)=0,IF(C29="KIT/DÚO","Kit (después)","No está"),IF(COUNTIFS(Recetas!$A$6:$A$250,A29,Recetas!$S$6:$S$250,"&gt;0")&gt;0,"Completa","Faltan datos"))</f>
        <v>Kit (después)</v>
      </c>
    </row>
    <row r="30" customFormat="false" ht="15" hidden="false" customHeight="false" outlineLevel="0" collapsed="false">
      <c r="A30" s="11" t="s">
        <v>98</v>
      </c>
      <c r="B30" s="11" t="s">
        <v>99</v>
      </c>
      <c r="C30" s="11" t="s">
        <v>462</v>
      </c>
      <c r="D30" s="38" t="n">
        <v>76</v>
      </c>
      <c r="E30" s="37" t="n">
        <v>44010</v>
      </c>
      <c r="F30" s="39" t="str">
        <f aca="false">IF(COUNTIF(Recetas!$A$6:$A$250,A30)=0,IF(C30="KIT/DÚO","Kit (después)","No está"),IF(COUNTIFS(Recetas!$A$6:$A$250,A30,Recetas!$S$6:$S$250,"&gt;0")&gt;0,"Completa","Faltan datos"))</f>
        <v>Faltan datos</v>
      </c>
    </row>
    <row r="31" customFormat="false" ht="15" hidden="false" customHeight="false" outlineLevel="0" collapsed="false">
      <c r="A31" s="11" t="s">
        <v>467</v>
      </c>
      <c r="B31" s="11" t="s">
        <v>468</v>
      </c>
      <c r="C31" s="11" t="s">
        <v>443</v>
      </c>
      <c r="D31" s="38" t="n">
        <v>72</v>
      </c>
      <c r="E31" s="37" t="n">
        <v>2521</v>
      </c>
      <c r="F31" s="39" t="str">
        <f aca="false">IF(COUNTIF(Recetas!$A$6:$A$250,A31)=0,IF(C31="KIT/DÚO","Kit (después)","No está"),IF(COUNTIFS(Recetas!$A$6:$A$250,A31,Recetas!$S$6:$S$250,"&gt;0")&gt;0,"Completa","Faltan datos"))</f>
        <v>No está</v>
      </c>
    </row>
    <row r="32" customFormat="false" ht="15" hidden="false" customHeight="false" outlineLevel="0" collapsed="false">
      <c r="A32" s="11" t="s">
        <v>469</v>
      </c>
      <c r="B32" s="11" t="s">
        <v>470</v>
      </c>
      <c r="C32" s="11" t="s">
        <v>443</v>
      </c>
      <c r="D32" s="38" t="n">
        <v>67</v>
      </c>
      <c r="E32" s="37" t="n">
        <v>2101</v>
      </c>
      <c r="F32" s="39" t="str">
        <f aca="false">IF(COUNTIF(Recetas!$A$6:$A$250,A32)=0,IF(C32="KIT/DÚO","Kit (después)","No está"),IF(COUNTIFS(Recetas!$A$6:$A$250,A32,Recetas!$S$6:$S$250,"&gt;0")&gt;0,"Completa","Faltan datos"))</f>
        <v>No está</v>
      </c>
    </row>
    <row r="33" customFormat="false" ht="15" hidden="false" customHeight="false" outlineLevel="0" collapsed="false">
      <c r="A33" s="11" t="s">
        <v>101</v>
      </c>
      <c r="B33" s="11" t="s">
        <v>102</v>
      </c>
      <c r="C33" s="11" t="s">
        <v>453</v>
      </c>
      <c r="D33" s="38" t="n">
        <v>66</v>
      </c>
      <c r="E33" s="37" t="n">
        <v>21554</v>
      </c>
      <c r="F33" s="39" t="str">
        <f aca="false">IF(COUNTIF(Recetas!$A$6:$A$250,A33)=0,IF(C33="KIT/DÚO","Kit (después)","No está"),IF(COUNTIFS(Recetas!$A$6:$A$250,A33,Recetas!$S$6:$S$250,"&gt;0")&gt;0,"Completa","Faltan datos"))</f>
        <v>Faltan datos</v>
      </c>
    </row>
    <row r="34" customFormat="false" ht="15" hidden="false" customHeight="false" outlineLevel="0" collapsed="false">
      <c r="A34" s="11" t="s">
        <v>103</v>
      </c>
      <c r="B34" s="11" t="s">
        <v>104</v>
      </c>
      <c r="C34" s="11" t="s">
        <v>453</v>
      </c>
      <c r="D34" s="38" t="n">
        <v>65</v>
      </c>
      <c r="E34" s="37" t="n">
        <v>19244</v>
      </c>
      <c r="F34" s="39" t="str">
        <f aca="false">IF(COUNTIF(Recetas!$A$6:$A$250,A34)=0,IF(C34="KIT/DÚO","Kit (después)","No está"),IF(COUNTIFS(Recetas!$A$6:$A$250,A34,Recetas!$S$6:$S$250,"&gt;0")&gt;0,"Completa","Faltan datos"))</f>
        <v>Completa</v>
      </c>
    </row>
    <row r="35" customFormat="false" ht="15" hidden="false" customHeight="false" outlineLevel="0" collapsed="false">
      <c r="A35" s="11" t="s">
        <v>471</v>
      </c>
      <c r="B35" s="11" t="s">
        <v>472</v>
      </c>
      <c r="C35" s="11" t="s">
        <v>443</v>
      </c>
      <c r="D35" s="38" t="n">
        <v>65</v>
      </c>
      <c r="E35" s="37" t="n">
        <v>1681</v>
      </c>
      <c r="F35" s="39" t="str">
        <f aca="false">IF(COUNTIF(Recetas!$A$6:$A$250,A35)=0,IF(C35="KIT/DÚO","Kit (después)","No está"),IF(COUNTIFS(Recetas!$A$6:$A$250,A35,Recetas!$S$6:$S$250,"&gt;0")&gt;0,"Completa","Faltan datos"))</f>
        <v>No está</v>
      </c>
    </row>
    <row r="36" customFormat="false" ht="15" hidden="false" customHeight="false" outlineLevel="0" collapsed="false">
      <c r="A36" s="11" t="s">
        <v>108</v>
      </c>
      <c r="B36" s="11" t="s">
        <v>109</v>
      </c>
      <c r="C36" s="11" t="s">
        <v>462</v>
      </c>
      <c r="D36" s="38" t="n">
        <v>62</v>
      </c>
      <c r="E36" s="37" t="n">
        <v>36050</v>
      </c>
      <c r="F36" s="39" t="str">
        <f aca="false">IF(COUNTIF(Recetas!$A$6:$A$250,A36)=0,IF(C36="KIT/DÚO","Kit (después)","No está"),IF(COUNTIFS(Recetas!$A$6:$A$250,A36,Recetas!$S$6:$S$250,"&gt;0")&gt;0,"Completa","Faltan datos"))</f>
        <v>Faltan datos</v>
      </c>
    </row>
    <row r="37" customFormat="false" ht="15" hidden="false" customHeight="false" outlineLevel="0" collapsed="false">
      <c r="A37" s="11" t="s">
        <v>110</v>
      </c>
      <c r="B37" s="11" t="s">
        <v>111</v>
      </c>
      <c r="C37" s="11" t="s">
        <v>453</v>
      </c>
      <c r="D37" s="38" t="n">
        <v>61</v>
      </c>
      <c r="E37" s="37" t="n">
        <v>12507</v>
      </c>
      <c r="F37" s="39" t="str">
        <f aca="false">IF(COUNTIF(Recetas!$A$6:$A$250,A37)=0,IF(C37="KIT/DÚO","Kit (después)","No está"),IF(COUNTIFS(Recetas!$A$6:$A$250,A37,Recetas!$S$6:$S$250,"&gt;0")&gt;0,"Completa","Faltan datos"))</f>
        <v>Completa</v>
      </c>
    </row>
    <row r="38" customFormat="false" ht="15" hidden="false" customHeight="false" outlineLevel="0" collapsed="false">
      <c r="A38" s="11" t="s">
        <v>473</v>
      </c>
      <c r="B38" s="11" t="s">
        <v>474</v>
      </c>
      <c r="C38" s="11" t="s">
        <v>440</v>
      </c>
      <c r="D38" s="38" t="n">
        <v>61</v>
      </c>
      <c r="E38" s="37" t="n">
        <v>17935</v>
      </c>
      <c r="F38" s="39" t="str">
        <f aca="false">IF(COUNTIF(Recetas!$A$6:$A$250,A38)=0,IF(C38="KIT/DÚO","Kit (después)","No está"),IF(COUNTIFS(Recetas!$A$6:$A$250,A38,Recetas!$S$6:$S$250,"&gt;0")&gt;0,"Completa","Faltan datos"))</f>
        <v>Kit (después)</v>
      </c>
    </row>
    <row r="39" customFormat="false" ht="15" hidden="false" customHeight="false" outlineLevel="0" collapsed="false">
      <c r="A39" s="11" t="s">
        <v>115</v>
      </c>
      <c r="B39" s="11" t="s">
        <v>116</v>
      </c>
      <c r="C39" s="11" t="s">
        <v>462</v>
      </c>
      <c r="D39" s="38" t="n">
        <v>60</v>
      </c>
      <c r="E39" s="37" t="n">
        <v>41933</v>
      </c>
      <c r="F39" s="39" t="str">
        <f aca="false">IF(COUNTIF(Recetas!$A$6:$A$250,A39)=0,IF(C39="KIT/DÚO","Kit (después)","No está"),IF(COUNTIFS(Recetas!$A$6:$A$250,A39,Recetas!$S$6:$S$250,"&gt;0")&gt;0,"Completa","Faltan datos"))</f>
        <v>Faltan datos</v>
      </c>
    </row>
    <row r="40" customFormat="false" ht="15" hidden="false" customHeight="false" outlineLevel="0" collapsed="false">
      <c r="A40" s="11" t="s">
        <v>117</v>
      </c>
      <c r="B40" s="11" t="s">
        <v>118</v>
      </c>
      <c r="C40" s="11" t="s">
        <v>453</v>
      </c>
      <c r="D40" s="38" t="n">
        <v>55</v>
      </c>
      <c r="E40" s="37" t="n">
        <v>8059</v>
      </c>
      <c r="F40" s="39" t="str">
        <f aca="false">IF(COUNTIF(Recetas!$A$6:$A$250,A40)=0,IF(C40="KIT/DÚO","Kit (después)","No está"),IF(COUNTIFS(Recetas!$A$6:$A$250,A40,Recetas!$S$6:$S$250,"&gt;0")&gt;0,"Completa","Faltan datos"))</f>
        <v>Completa</v>
      </c>
    </row>
    <row r="41" customFormat="false" ht="15" hidden="false" customHeight="false" outlineLevel="0" collapsed="false">
      <c r="A41" s="11" t="s">
        <v>475</v>
      </c>
      <c r="B41" s="11" t="s">
        <v>476</v>
      </c>
      <c r="C41" s="11" t="s">
        <v>443</v>
      </c>
      <c r="D41" s="38" t="n">
        <v>53</v>
      </c>
      <c r="E41" s="37" t="n">
        <v>4640</v>
      </c>
      <c r="F41" s="39" t="str">
        <f aca="false">IF(COUNTIF(Recetas!$A$6:$A$250,A41)=0,IF(C41="KIT/DÚO","Kit (después)","No está"),IF(COUNTIFS(Recetas!$A$6:$A$250,A41,Recetas!$S$6:$S$250,"&gt;0")&gt;0,"Completa","Faltan datos"))</f>
        <v>No está</v>
      </c>
    </row>
    <row r="42" customFormat="false" ht="15" hidden="false" customHeight="false" outlineLevel="0" collapsed="false">
      <c r="A42" s="11" t="s">
        <v>121</v>
      </c>
      <c r="B42" s="11" t="s">
        <v>122</v>
      </c>
      <c r="C42" s="11" t="s">
        <v>453</v>
      </c>
      <c r="D42" s="38" t="n">
        <v>50</v>
      </c>
      <c r="E42" s="37" t="n">
        <v>19244</v>
      </c>
      <c r="F42" s="39" t="str">
        <f aca="false">IF(COUNTIF(Recetas!$A$6:$A$250,A42)=0,IF(C42="KIT/DÚO","Kit (después)","No está"),IF(COUNTIFS(Recetas!$A$6:$A$250,A42,Recetas!$S$6:$S$250,"&gt;0")&gt;0,"Completa","Faltan datos"))</f>
        <v>Faltan datos</v>
      </c>
    </row>
    <row r="43" customFormat="false" ht="15" hidden="false" customHeight="false" outlineLevel="0" collapsed="false">
      <c r="A43" s="11" t="s">
        <v>477</v>
      </c>
      <c r="B43" s="11" t="s">
        <v>478</v>
      </c>
      <c r="C43" s="11" t="s">
        <v>440</v>
      </c>
      <c r="D43" s="38" t="n">
        <v>50</v>
      </c>
      <c r="E43" s="37" t="n">
        <v>33529</v>
      </c>
      <c r="F43" s="39" t="str">
        <f aca="false">IF(COUNTIF(Recetas!$A$6:$A$250,A43)=0,IF(C43="KIT/DÚO","Kit (después)","No está"),IF(COUNTIFS(Recetas!$A$6:$A$250,A43,Recetas!$S$6:$S$250,"&gt;0")&gt;0,"Completa","Faltan datos"))</f>
        <v>Kit (después)</v>
      </c>
    </row>
    <row r="44" customFormat="false" ht="15" hidden="false" customHeight="false" outlineLevel="0" collapsed="false">
      <c r="A44" s="11" t="s">
        <v>123</v>
      </c>
      <c r="B44" s="11" t="s">
        <v>124</v>
      </c>
      <c r="C44" s="11" t="s">
        <v>453</v>
      </c>
      <c r="D44" s="38" t="n">
        <v>48</v>
      </c>
      <c r="E44" s="37" t="n">
        <v>8319</v>
      </c>
      <c r="F44" s="39" t="str">
        <f aca="false">IF(COUNTIF(Recetas!$A$6:$A$250,A44)=0,IF(C44="KIT/DÚO","Kit (después)","No está"),IF(COUNTIFS(Recetas!$A$6:$A$250,A44,Recetas!$S$6:$S$250,"&gt;0")&gt;0,"Completa","Faltan datos"))</f>
        <v>Faltan datos</v>
      </c>
    </row>
    <row r="45" customFormat="false" ht="15" hidden="false" customHeight="false" outlineLevel="0" collapsed="false">
      <c r="A45" s="11" t="s">
        <v>126</v>
      </c>
      <c r="B45" s="11" t="s">
        <v>127</v>
      </c>
      <c r="C45" s="11" t="s">
        <v>453</v>
      </c>
      <c r="D45" s="38" t="n">
        <v>48</v>
      </c>
      <c r="E45" s="37" t="n">
        <v>16723</v>
      </c>
      <c r="F45" s="39" t="str">
        <f aca="false">IF(COUNTIF(Recetas!$A$6:$A$250,A45)=0,IF(C45="KIT/DÚO","Kit (después)","No está"),IF(COUNTIFS(Recetas!$A$6:$A$250,A45,Recetas!$S$6:$S$250,"&gt;0")&gt;0,"Completa","Faltan datos"))</f>
        <v>Faltan datos</v>
      </c>
    </row>
    <row r="46" customFormat="false" ht="15" hidden="false" customHeight="false" outlineLevel="0" collapsed="false">
      <c r="A46" s="11" t="s">
        <v>128</v>
      </c>
      <c r="B46" s="11" t="s">
        <v>129</v>
      </c>
      <c r="C46" s="11" t="s">
        <v>462</v>
      </c>
      <c r="D46" s="38" t="n">
        <v>47</v>
      </c>
      <c r="E46" s="37" t="n">
        <v>26134</v>
      </c>
      <c r="F46" s="39" t="str">
        <f aca="false">IF(COUNTIF(Recetas!$A$6:$A$250,A46)=0,IF(C46="KIT/DÚO","Kit (después)","No está"),IF(COUNTIFS(Recetas!$A$6:$A$250,A46,Recetas!$S$6:$S$250,"&gt;0")&gt;0,"Completa","Faltan datos"))</f>
        <v>Faltan datos</v>
      </c>
    </row>
    <row r="47" customFormat="false" ht="15" hidden="false" customHeight="false" outlineLevel="0" collapsed="false">
      <c r="A47" s="11" t="s">
        <v>479</v>
      </c>
      <c r="B47" s="11" t="s">
        <v>480</v>
      </c>
      <c r="C47" s="11" t="s">
        <v>440</v>
      </c>
      <c r="D47" s="38" t="n">
        <v>47</v>
      </c>
      <c r="E47" s="37" t="n">
        <v>30084</v>
      </c>
      <c r="F47" s="39" t="str">
        <f aca="false">IF(COUNTIF(Recetas!$A$6:$A$250,A47)=0,IF(C47="KIT/DÚO","Kit (después)","No está"),IF(COUNTIFS(Recetas!$A$6:$A$250,A47,Recetas!$S$6:$S$250,"&gt;0")&gt;0,"Completa","Faltan datos"))</f>
        <v>Kit (después)</v>
      </c>
    </row>
    <row r="48" customFormat="false" ht="15" hidden="false" customHeight="false" outlineLevel="0" collapsed="false">
      <c r="A48" s="11" t="s">
        <v>131</v>
      </c>
      <c r="B48" s="11" t="s">
        <v>132</v>
      </c>
      <c r="C48" s="11" t="s">
        <v>453</v>
      </c>
      <c r="D48" s="38" t="n">
        <v>44</v>
      </c>
      <c r="E48" s="37" t="n">
        <v>27605</v>
      </c>
      <c r="F48" s="39" t="str">
        <f aca="false">IF(COUNTIF(Recetas!$A$6:$A$250,A48)=0,IF(C48="KIT/DÚO","Kit (después)","No está"),IF(COUNTIFS(Recetas!$A$6:$A$250,A48,Recetas!$S$6:$S$250,"&gt;0")&gt;0,"Completa","Faltan datos"))</f>
        <v>Faltan datos</v>
      </c>
    </row>
    <row r="49" customFormat="false" ht="15" hidden="false" customHeight="false" outlineLevel="0" collapsed="false">
      <c r="A49" s="11" t="s">
        <v>133</v>
      </c>
      <c r="B49" s="11" t="s">
        <v>134</v>
      </c>
      <c r="C49" s="11" t="s">
        <v>462</v>
      </c>
      <c r="D49" s="38" t="n">
        <v>40</v>
      </c>
      <c r="E49" s="37" t="n">
        <v>32689</v>
      </c>
      <c r="F49" s="39" t="str">
        <f aca="false">IF(COUNTIF(Recetas!$A$6:$A$250,A49)=0,IF(C49="KIT/DÚO","Kit (después)","No está"),IF(COUNTIFS(Recetas!$A$6:$A$250,A49,Recetas!$S$6:$S$250,"&gt;0")&gt;0,"Completa","Faltan datos"))</f>
        <v>Faltan datos</v>
      </c>
    </row>
    <row r="50" customFormat="false" ht="15" hidden="false" customHeight="false" outlineLevel="0" collapsed="false">
      <c r="A50" s="11" t="s">
        <v>135</v>
      </c>
      <c r="B50" s="11" t="s">
        <v>136</v>
      </c>
      <c r="C50" s="11" t="s">
        <v>453</v>
      </c>
      <c r="D50" s="38" t="n">
        <v>37</v>
      </c>
      <c r="E50" s="37" t="n">
        <v>17563</v>
      </c>
      <c r="F50" s="39" t="str">
        <f aca="false">IF(COUNTIF(Recetas!$A$6:$A$250,A50)=0,IF(C50="KIT/DÚO","Kit (después)","No está"),IF(COUNTIFS(Recetas!$A$6:$A$250,A50,Recetas!$S$6:$S$250,"&gt;0")&gt;0,"Completa","Faltan datos"))</f>
        <v>Faltan datos</v>
      </c>
    </row>
    <row r="51" customFormat="false" ht="15" hidden="false" customHeight="false" outlineLevel="0" collapsed="false">
      <c r="A51" s="11" t="s">
        <v>137</v>
      </c>
      <c r="B51" s="11" t="s">
        <v>138</v>
      </c>
      <c r="C51" s="11" t="s">
        <v>462</v>
      </c>
      <c r="D51" s="38" t="n">
        <v>37</v>
      </c>
      <c r="E51" s="37" t="n">
        <v>54022</v>
      </c>
      <c r="F51" s="39" t="str">
        <f aca="false">IF(COUNTIF(Recetas!$A$6:$A$250,A51)=0,IF(C51="KIT/DÚO","Kit (después)","No está"),IF(COUNTIFS(Recetas!$A$6:$A$250,A51,Recetas!$S$6:$S$250,"&gt;0")&gt;0,"Completa","Faltan datos"))</f>
        <v>Faltan datos</v>
      </c>
    </row>
    <row r="52" customFormat="false" ht="15" hidden="false" customHeight="false" outlineLevel="0" collapsed="false">
      <c r="A52" s="11" t="s">
        <v>139</v>
      </c>
      <c r="B52" s="11" t="s">
        <v>140</v>
      </c>
      <c r="C52" s="11" t="s">
        <v>453</v>
      </c>
      <c r="D52" s="38" t="n">
        <v>35</v>
      </c>
      <c r="E52" s="37" t="n">
        <v>14202</v>
      </c>
      <c r="F52" s="39" t="str">
        <f aca="false">IF(COUNTIF(Recetas!$A$6:$A$250,A52)=0,IF(C52="KIT/DÚO","Kit (después)","No está"),IF(COUNTIFS(Recetas!$A$6:$A$250,A52,Recetas!$S$6:$S$250,"&gt;0")&gt;0,"Completa","Faltan datos"))</f>
        <v>Faltan datos</v>
      </c>
    </row>
    <row r="53" customFormat="false" ht="15" hidden="false" customHeight="false" outlineLevel="0" collapsed="false">
      <c r="A53" s="11" t="s">
        <v>141</v>
      </c>
      <c r="B53" s="11" t="s">
        <v>142</v>
      </c>
      <c r="C53" s="11" t="s">
        <v>462</v>
      </c>
      <c r="D53" s="38" t="n">
        <v>35</v>
      </c>
      <c r="E53" s="37" t="n">
        <v>27647</v>
      </c>
      <c r="F53" s="39" t="str">
        <f aca="false">IF(COUNTIF(Recetas!$A$6:$A$250,A53)=0,IF(C53="KIT/DÚO","Kit (después)","No está"),IF(COUNTIFS(Recetas!$A$6:$A$250,A53,Recetas!$S$6:$S$250,"&gt;0")&gt;0,"Completa","Faltan datos"))</f>
        <v>Faltan datos</v>
      </c>
    </row>
    <row r="54" customFormat="false" ht="15" hidden="false" customHeight="false" outlineLevel="0" collapsed="false">
      <c r="A54" s="11" t="s">
        <v>481</v>
      </c>
      <c r="B54" s="11" t="s">
        <v>482</v>
      </c>
      <c r="C54" s="11" t="s">
        <v>440</v>
      </c>
      <c r="D54" s="38" t="n">
        <v>35</v>
      </c>
      <c r="E54" s="37" t="n">
        <v>30168</v>
      </c>
      <c r="F54" s="39" t="str">
        <f aca="false">IF(COUNTIF(Recetas!$A$6:$A$250,A54)=0,IF(C54="KIT/DÚO","Kit (después)","No está"),IF(COUNTIFS(Recetas!$A$6:$A$250,A54,Recetas!$S$6:$S$250,"&gt;0")&gt;0,"Completa","Faltan datos"))</f>
        <v>Kit (después)</v>
      </c>
    </row>
    <row r="55" customFormat="false" ht="15" hidden="false" customHeight="false" outlineLevel="0" collapsed="false">
      <c r="A55" s="11" t="s">
        <v>143</v>
      </c>
      <c r="B55" s="11" t="s">
        <v>144</v>
      </c>
      <c r="C55" s="11" t="s">
        <v>453</v>
      </c>
      <c r="D55" s="38" t="n">
        <v>34</v>
      </c>
      <c r="E55" s="37" t="n">
        <v>19664</v>
      </c>
      <c r="F55" s="39" t="str">
        <f aca="false">IF(COUNTIF(Recetas!$A$6:$A$250,A55)=0,IF(C55="KIT/DÚO","Kit (después)","No está"),IF(COUNTIFS(Recetas!$A$6:$A$250,A55,Recetas!$S$6:$S$250,"&gt;0")&gt;0,"Completa","Faltan datos"))</f>
        <v>Faltan datos</v>
      </c>
    </row>
    <row r="56" customFormat="false" ht="15" hidden="false" customHeight="false" outlineLevel="0" collapsed="false">
      <c r="A56" s="11" t="s">
        <v>145</v>
      </c>
      <c r="B56" s="11" t="s">
        <v>146</v>
      </c>
      <c r="C56" s="11" t="s">
        <v>453</v>
      </c>
      <c r="D56" s="38" t="n">
        <v>34</v>
      </c>
      <c r="E56" s="37" t="n">
        <v>17563</v>
      </c>
      <c r="F56" s="39" t="str">
        <f aca="false">IF(COUNTIF(Recetas!$A$6:$A$250,A56)=0,IF(C56="KIT/DÚO","Kit (después)","No está"),IF(COUNTIFS(Recetas!$A$6:$A$250,A56,Recetas!$S$6:$S$250,"&gt;0")&gt;0,"Completa","Faltan datos"))</f>
        <v>Faltan datos</v>
      </c>
    </row>
    <row r="57" customFormat="false" ht="15" hidden="false" customHeight="false" outlineLevel="0" collapsed="false">
      <c r="A57" s="11" t="s">
        <v>483</v>
      </c>
      <c r="B57" s="11" t="s">
        <v>484</v>
      </c>
      <c r="C57" s="11" t="s">
        <v>440</v>
      </c>
      <c r="D57" s="38" t="n">
        <v>33</v>
      </c>
      <c r="E57" s="37" t="n">
        <v>26555</v>
      </c>
      <c r="F57" s="39" t="str">
        <f aca="false">IF(COUNTIF(Recetas!$A$6:$A$250,A57)=0,IF(C57="KIT/DÚO","Kit (después)","No está"),IF(COUNTIFS(Recetas!$A$6:$A$250,A57,Recetas!$S$6:$S$250,"&gt;0")&gt;0,"Completa","Faltan datos"))</f>
        <v>Kit (después)</v>
      </c>
    </row>
    <row r="58" customFormat="false" ht="15" hidden="false" customHeight="false" outlineLevel="0" collapsed="false">
      <c r="A58" s="11" t="s">
        <v>485</v>
      </c>
      <c r="B58" s="11" t="s">
        <v>486</v>
      </c>
      <c r="C58" s="11" t="s">
        <v>443</v>
      </c>
      <c r="D58" s="38" t="n">
        <v>32</v>
      </c>
      <c r="E58" s="37" t="n">
        <v>1681</v>
      </c>
      <c r="F58" s="39" t="str">
        <f aca="false">IF(COUNTIF(Recetas!$A$6:$A$250,A58)=0,IF(C58="KIT/DÚO","Kit (después)","No está"),IF(COUNTIFS(Recetas!$A$6:$A$250,A58,Recetas!$S$6:$S$250,"&gt;0")&gt;0,"Completa","Faltan datos"))</f>
        <v>No está</v>
      </c>
    </row>
    <row r="59" customFormat="false" ht="15" hidden="false" customHeight="false" outlineLevel="0" collapsed="false">
      <c r="A59" s="11" t="s">
        <v>148</v>
      </c>
      <c r="B59" s="11" t="s">
        <v>149</v>
      </c>
      <c r="C59" s="11" t="s">
        <v>453</v>
      </c>
      <c r="D59" s="38" t="n">
        <v>31</v>
      </c>
      <c r="E59" s="37" t="n">
        <v>12521</v>
      </c>
      <c r="F59" s="39" t="str">
        <f aca="false">IF(COUNTIF(Recetas!$A$6:$A$250,A59)=0,IF(C59="KIT/DÚO","Kit (después)","No está"),IF(COUNTIFS(Recetas!$A$6:$A$250,A59,Recetas!$S$6:$S$250,"&gt;0")&gt;0,"Completa","Faltan datos"))</f>
        <v>Faltan datos</v>
      </c>
    </row>
    <row r="60" customFormat="false" ht="15" hidden="false" customHeight="false" outlineLevel="0" collapsed="false">
      <c r="A60" s="11" t="s">
        <v>487</v>
      </c>
      <c r="B60" s="11" t="s">
        <v>488</v>
      </c>
      <c r="C60" s="11" t="s">
        <v>440</v>
      </c>
      <c r="D60" s="38" t="n">
        <v>30</v>
      </c>
      <c r="E60" s="37" t="n">
        <v>28782</v>
      </c>
      <c r="F60" s="39" t="str">
        <f aca="false">IF(COUNTIF(Recetas!$A$6:$A$250,A60)=0,IF(C60="KIT/DÚO","Kit (después)","No está"),IF(COUNTIFS(Recetas!$A$6:$A$250,A60,Recetas!$S$6:$S$250,"&gt;0")&gt;0,"Completa","Faltan datos"))</f>
        <v>Kit (después)</v>
      </c>
    </row>
    <row r="61" customFormat="false" ht="15" hidden="false" customHeight="false" outlineLevel="0" collapsed="false">
      <c r="A61" s="11" t="s">
        <v>150</v>
      </c>
      <c r="B61" s="11" t="s">
        <v>151</v>
      </c>
      <c r="C61" s="11" t="s">
        <v>453</v>
      </c>
      <c r="D61" s="38" t="n">
        <v>29</v>
      </c>
      <c r="E61" s="37" t="n">
        <v>21204</v>
      </c>
      <c r="F61" s="39" t="str">
        <f aca="false">IF(COUNTIF(Recetas!$A$6:$A$250,A61)=0,IF(C61="KIT/DÚO","Kit (después)","No está"),IF(COUNTIFS(Recetas!$A$6:$A$250,A61,Recetas!$S$6:$S$250,"&gt;0")&gt;0,"Completa","Faltan datos"))</f>
        <v>Faltan datos</v>
      </c>
    </row>
    <row r="62" customFormat="false" ht="15" hidden="false" customHeight="false" outlineLevel="0" collapsed="false">
      <c r="A62" s="11" t="s">
        <v>489</v>
      </c>
      <c r="B62" s="11" t="s">
        <v>490</v>
      </c>
      <c r="C62" s="11" t="s">
        <v>440</v>
      </c>
      <c r="D62" s="38" t="n">
        <v>29</v>
      </c>
      <c r="E62" s="37" t="n">
        <v>22941</v>
      </c>
      <c r="F62" s="39" t="str">
        <f aca="false">IF(COUNTIF(Recetas!$A$6:$A$250,A62)=0,IF(C62="KIT/DÚO","Kit (después)","No está"),IF(COUNTIFS(Recetas!$A$6:$A$250,A62,Recetas!$S$6:$S$250,"&gt;0")&gt;0,"Completa","Faltan datos"))</f>
        <v>Kit (después)</v>
      </c>
    </row>
    <row r="63" customFormat="false" ht="15" hidden="false" customHeight="false" outlineLevel="0" collapsed="false">
      <c r="A63" s="11" t="s">
        <v>152</v>
      </c>
      <c r="B63" s="11" t="s">
        <v>153</v>
      </c>
      <c r="C63" s="11" t="s">
        <v>462</v>
      </c>
      <c r="D63" s="38" t="n">
        <v>29</v>
      </c>
      <c r="E63" s="37" t="n">
        <v>22605</v>
      </c>
      <c r="F63" s="39" t="str">
        <f aca="false">IF(COUNTIF(Recetas!$A$6:$A$250,A63)=0,IF(C63="KIT/DÚO","Kit (después)","No está"),IF(COUNTIFS(Recetas!$A$6:$A$250,A63,Recetas!$S$6:$S$250,"&gt;0")&gt;0,"Completa","Faltan datos"))</f>
        <v>Faltan datos</v>
      </c>
    </row>
    <row r="64" customFormat="false" ht="15" hidden="false" customHeight="false" outlineLevel="0" collapsed="false">
      <c r="A64" s="11" t="s">
        <v>154</v>
      </c>
      <c r="B64" s="11" t="s">
        <v>155</v>
      </c>
      <c r="C64" s="11" t="s">
        <v>453</v>
      </c>
      <c r="D64" s="38" t="n">
        <v>29</v>
      </c>
      <c r="E64" s="37" t="n">
        <v>16723</v>
      </c>
      <c r="F64" s="39" t="str">
        <f aca="false">IF(COUNTIF(Recetas!$A$6:$A$250,A64)=0,IF(C64="KIT/DÚO","Kit (después)","No está"),IF(COUNTIFS(Recetas!$A$6:$A$250,A64,Recetas!$S$6:$S$250,"&gt;0")&gt;0,"Completa","Faltan datos"))</f>
        <v>Faltan datos</v>
      </c>
    </row>
    <row r="65" customFormat="false" ht="15" hidden="false" customHeight="false" outlineLevel="0" collapsed="false">
      <c r="A65" s="11" t="s">
        <v>491</v>
      </c>
      <c r="B65" s="11" t="s">
        <v>492</v>
      </c>
      <c r="C65" s="11" t="s">
        <v>450</v>
      </c>
      <c r="D65" s="38" t="n">
        <v>26</v>
      </c>
      <c r="E65" s="37" t="n">
        <v>6442</v>
      </c>
      <c r="F65" s="39" t="str">
        <f aca="false">IF(COUNTIF(Recetas!$A$6:$A$250,A65)=0,IF(C65="KIT/DÚO","Kit (después)","No está"),IF(COUNTIFS(Recetas!$A$6:$A$250,A65,Recetas!$S$6:$S$250,"&gt;0")&gt;0,"Completa","Faltan datos"))</f>
        <v>No está</v>
      </c>
    </row>
    <row r="66" customFormat="false" ht="15" hidden="false" customHeight="false" outlineLevel="0" collapsed="false">
      <c r="A66" s="11" t="s">
        <v>156</v>
      </c>
      <c r="B66" s="11" t="s">
        <v>157</v>
      </c>
      <c r="C66" s="11" t="s">
        <v>453</v>
      </c>
      <c r="D66" s="38" t="n">
        <v>26</v>
      </c>
      <c r="E66" s="37" t="n">
        <v>23488</v>
      </c>
      <c r="F66" s="39" t="str">
        <f aca="false">IF(COUNTIF(Recetas!$A$6:$A$250,A66)=0,IF(C66="KIT/DÚO","Kit (después)","No está"),IF(COUNTIFS(Recetas!$A$6:$A$250,A66,Recetas!$S$6:$S$250,"&gt;0")&gt;0,"Completa","Faltan datos"))</f>
        <v>Faltan datos</v>
      </c>
    </row>
    <row r="67" customFormat="false" ht="15" hidden="false" customHeight="false" outlineLevel="0" collapsed="false">
      <c r="A67" s="11" t="s">
        <v>493</v>
      </c>
      <c r="B67" s="11" t="s">
        <v>494</v>
      </c>
      <c r="C67" s="11" t="s">
        <v>440</v>
      </c>
      <c r="D67" s="38" t="n">
        <v>26</v>
      </c>
      <c r="E67" s="37" t="n">
        <v>29580</v>
      </c>
      <c r="F67" s="39" t="str">
        <f aca="false">IF(COUNTIF(Recetas!$A$6:$A$250,A67)=0,IF(C67="KIT/DÚO","Kit (después)","No está"),IF(COUNTIFS(Recetas!$A$6:$A$250,A67,Recetas!$S$6:$S$250,"&gt;0")&gt;0,"Completa","Faltan datos"))</f>
        <v>Kit (después)</v>
      </c>
    </row>
    <row r="68" customFormat="false" ht="15" hidden="false" customHeight="false" outlineLevel="0" collapsed="false">
      <c r="A68" s="11" t="s">
        <v>158</v>
      </c>
      <c r="B68" s="11" t="s">
        <v>159</v>
      </c>
      <c r="C68" s="11" t="s">
        <v>453</v>
      </c>
      <c r="D68" s="38" t="n">
        <v>25</v>
      </c>
      <c r="E68" s="37" t="n">
        <v>19244</v>
      </c>
      <c r="F68" s="39" t="str">
        <f aca="false">IF(COUNTIF(Recetas!$A$6:$A$250,A68)=0,IF(C68="KIT/DÚO","Kit (después)","No está"),IF(COUNTIFS(Recetas!$A$6:$A$250,A68,Recetas!$S$6:$S$250,"&gt;0")&gt;0,"Completa","Faltan datos"))</f>
        <v>Faltan datos</v>
      </c>
    </row>
    <row r="69" customFormat="false" ht="15" hidden="false" customHeight="false" outlineLevel="0" collapsed="false">
      <c r="A69" s="11" t="s">
        <v>495</v>
      </c>
      <c r="B69" s="11" t="s">
        <v>496</v>
      </c>
      <c r="C69" s="11" t="s">
        <v>440</v>
      </c>
      <c r="D69" s="38" t="n">
        <v>25</v>
      </c>
      <c r="E69" s="37" t="n">
        <v>29580</v>
      </c>
      <c r="F69" s="39" t="str">
        <f aca="false">IF(COUNTIF(Recetas!$A$6:$A$250,A69)=0,IF(C69="KIT/DÚO","Kit (después)","No está"),IF(COUNTIFS(Recetas!$A$6:$A$250,A69,Recetas!$S$6:$S$250,"&gt;0")&gt;0,"Completa","Faltan datos"))</f>
        <v>Kit (después)</v>
      </c>
    </row>
    <row r="70" customFormat="false" ht="15" hidden="false" customHeight="false" outlineLevel="0" collapsed="false">
      <c r="A70" s="11" t="s">
        <v>162</v>
      </c>
      <c r="B70" s="11" t="s">
        <v>163</v>
      </c>
      <c r="C70" s="11" t="s">
        <v>462</v>
      </c>
      <c r="D70" s="38" t="n">
        <v>25</v>
      </c>
      <c r="E70" s="37" t="n">
        <v>15882</v>
      </c>
      <c r="F70" s="39" t="str">
        <f aca="false">IF(COUNTIF(Recetas!$A$6:$A$250,A70)=0,IF(C70="KIT/DÚO","Kit (después)","No está"),IF(COUNTIFS(Recetas!$A$6:$A$250,A70,Recetas!$S$6:$S$250,"&gt;0")&gt;0,"Completa","Faltan datos"))</f>
        <v>Faltan datos</v>
      </c>
    </row>
    <row r="71" customFormat="false" ht="15" hidden="false" customHeight="false" outlineLevel="0" collapsed="false">
      <c r="A71" s="11" t="s">
        <v>165</v>
      </c>
      <c r="B71" s="11" t="s">
        <v>166</v>
      </c>
      <c r="C71" s="11" t="s">
        <v>453</v>
      </c>
      <c r="D71" s="38" t="n">
        <v>24</v>
      </c>
      <c r="E71" s="37" t="n">
        <v>18403</v>
      </c>
      <c r="F71" s="39" t="str">
        <f aca="false">IF(COUNTIF(Recetas!$A$6:$A$250,A71)=0,IF(C71="KIT/DÚO","Kit (después)","No está"),IF(COUNTIFS(Recetas!$A$6:$A$250,A71,Recetas!$S$6:$S$250,"&gt;0")&gt;0,"Completa","Faltan datos"))</f>
        <v>Faltan datos</v>
      </c>
    </row>
    <row r="72" customFormat="false" ht="15" hidden="false" customHeight="false" outlineLevel="0" collapsed="false">
      <c r="A72" s="11" t="s">
        <v>497</v>
      </c>
      <c r="B72" s="11" t="s">
        <v>498</v>
      </c>
      <c r="C72" s="11" t="s">
        <v>440</v>
      </c>
      <c r="D72" s="38" t="n">
        <v>24</v>
      </c>
      <c r="E72" s="37" t="n">
        <v>23697</v>
      </c>
      <c r="F72" s="39" t="str">
        <f aca="false">IF(COUNTIF(Recetas!$A$6:$A$250,A72)=0,IF(C72="KIT/DÚO","Kit (después)","No está"),IF(COUNTIFS(Recetas!$A$6:$A$250,A72,Recetas!$S$6:$S$250,"&gt;0")&gt;0,"Completa","Faltan datos"))</f>
        <v>Kit (después)</v>
      </c>
    </row>
    <row r="73" customFormat="false" ht="15" hidden="false" customHeight="false" outlineLevel="0" collapsed="false">
      <c r="A73" s="11" t="s">
        <v>167</v>
      </c>
      <c r="B73" s="11" t="s">
        <v>168</v>
      </c>
      <c r="C73" s="11" t="s">
        <v>453</v>
      </c>
      <c r="D73" s="38" t="n">
        <v>23</v>
      </c>
      <c r="E73" s="37" t="n">
        <v>19244</v>
      </c>
      <c r="F73" s="39" t="str">
        <f aca="false">IF(COUNTIF(Recetas!$A$6:$A$250,A73)=0,IF(C73="KIT/DÚO","Kit (después)","No está"),IF(COUNTIFS(Recetas!$A$6:$A$250,A73,Recetas!$S$6:$S$250,"&gt;0")&gt;0,"Completa","Faltan datos"))</f>
        <v>Completa</v>
      </c>
    </row>
    <row r="74" customFormat="false" ht="15" hidden="false" customHeight="false" outlineLevel="0" collapsed="false">
      <c r="A74" s="11" t="s">
        <v>499</v>
      </c>
      <c r="B74" s="11" t="s">
        <v>500</v>
      </c>
      <c r="C74" s="11" t="s">
        <v>450</v>
      </c>
      <c r="D74" s="38" t="n">
        <v>22</v>
      </c>
      <c r="E74" s="37" t="n">
        <v>5882</v>
      </c>
      <c r="F74" s="39" t="str">
        <f aca="false">IF(COUNTIF(Recetas!$A$6:$A$250,A74)=0,IF(C74="KIT/DÚO","Kit (después)","No está"),IF(COUNTIFS(Recetas!$A$6:$A$250,A74,Recetas!$S$6:$S$250,"&gt;0")&gt;0,"Completa","Faltan datos"))</f>
        <v>No está</v>
      </c>
    </row>
    <row r="75" customFormat="false" ht="15" hidden="false" customHeight="false" outlineLevel="0" collapsed="false">
      <c r="A75" s="11" t="s">
        <v>170</v>
      </c>
      <c r="B75" s="11" t="s">
        <v>171</v>
      </c>
      <c r="C75" s="11" t="s">
        <v>453</v>
      </c>
      <c r="D75" s="38" t="n">
        <v>21</v>
      </c>
      <c r="E75" s="37" t="n">
        <v>17563</v>
      </c>
      <c r="F75" s="39" t="str">
        <f aca="false">IF(COUNTIF(Recetas!$A$6:$A$250,A75)=0,IF(C75="KIT/DÚO","Kit (después)","No está"),IF(COUNTIFS(Recetas!$A$6:$A$250,A75,Recetas!$S$6:$S$250,"&gt;0")&gt;0,"Completa","Faltan datos"))</f>
        <v>Faltan datos</v>
      </c>
    </row>
    <row r="76" customFormat="false" ht="15" hidden="false" customHeight="false" outlineLevel="0" collapsed="false">
      <c r="A76" s="11" t="s">
        <v>175</v>
      </c>
      <c r="B76" s="11" t="s">
        <v>176</v>
      </c>
      <c r="C76" s="11" t="s">
        <v>453</v>
      </c>
      <c r="D76" s="38" t="n">
        <v>20</v>
      </c>
      <c r="E76" s="37" t="n">
        <v>12521</v>
      </c>
      <c r="F76" s="39" t="str">
        <f aca="false">IF(COUNTIF(Recetas!$A$6:$A$250,A76)=0,IF(C76="KIT/DÚO","Kit (después)","No está"),IF(COUNTIFS(Recetas!$A$6:$A$250,A76,Recetas!$S$6:$S$250,"&gt;0")&gt;0,"Completa","Faltan datos"))</f>
        <v>Faltan datos</v>
      </c>
    </row>
    <row r="77" customFormat="false" ht="15" hidden="false" customHeight="false" outlineLevel="0" collapsed="false">
      <c r="A77" s="11" t="s">
        <v>178</v>
      </c>
      <c r="B77" s="11" t="s">
        <v>179</v>
      </c>
      <c r="C77" s="11" t="s">
        <v>453</v>
      </c>
      <c r="D77" s="38" t="n">
        <v>20</v>
      </c>
      <c r="E77" s="37" t="n">
        <v>18403</v>
      </c>
      <c r="F77" s="39" t="str">
        <f aca="false">IF(COUNTIF(Recetas!$A$6:$A$250,A77)=0,IF(C77="KIT/DÚO","Kit (después)","No está"),IF(COUNTIFS(Recetas!$A$6:$A$250,A77,Recetas!$S$6:$S$250,"&gt;0")&gt;0,"Completa","Faltan datos"))</f>
        <v>Faltan datos</v>
      </c>
    </row>
    <row r="78" customFormat="false" ht="15" hidden="false" customHeight="false" outlineLevel="0" collapsed="false">
      <c r="A78" s="11" t="s">
        <v>180</v>
      </c>
      <c r="B78" s="11" t="s">
        <v>181</v>
      </c>
      <c r="C78" s="11" t="s">
        <v>453</v>
      </c>
      <c r="D78" s="38" t="n">
        <v>20</v>
      </c>
      <c r="E78" s="37" t="n">
        <v>30000</v>
      </c>
      <c r="F78" s="39" t="str">
        <f aca="false">IF(COUNTIF(Recetas!$A$6:$A$250,A78)=0,IF(C78="KIT/DÚO","Kit (después)","No está"),IF(COUNTIFS(Recetas!$A$6:$A$250,A78,Recetas!$S$6:$S$250,"&gt;0")&gt;0,"Completa","Faltan datos"))</f>
        <v>Faltan datos</v>
      </c>
    </row>
    <row r="79" customFormat="false" ht="15" hidden="false" customHeight="false" outlineLevel="0" collapsed="false">
      <c r="A79" s="11" t="s">
        <v>182</v>
      </c>
      <c r="B79" s="11" t="s">
        <v>183</v>
      </c>
      <c r="C79" s="11" t="s">
        <v>453</v>
      </c>
      <c r="D79" s="38" t="n">
        <v>20</v>
      </c>
      <c r="E79" s="37" t="n">
        <v>6000</v>
      </c>
      <c r="F79" s="39" t="str">
        <f aca="false">IF(COUNTIF(Recetas!$A$6:$A$250,A79)=0,IF(C79="KIT/DÚO","Kit (después)","No está"),IF(COUNTIFS(Recetas!$A$6:$A$250,A79,Recetas!$S$6:$S$250,"&gt;0")&gt;0,"Completa","Faltan datos"))</f>
        <v>Faltan datos</v>
      </c>
    </row>
    <row r="80" customFormat="false" ht="15" hidden="false" customHeight="false" outlineLevel="0" collapsed="false">
      <c r="A80" s="11" t="s">
        <v>501</v>
      </c>
      <c r="B80" s="11" t="s">
        <v>502</v>
      </c>
      <c r="C80" s="11" t="s">
        <v>450</v>
      </c>
      <c r="D80" s="38" t="n">
        <v>20</v>
      </c>
      <c r="E80" s="37" t="n">
        <v>5500</v>
      </c>
      <c r="F80" s="39" t="str">
        <f aca="false">IF(COUNTIF(Recetas!$A$6:$A$250,A80)=0,IF(C80="KIT/DÚO","Kit (después)","No está"),IF(COUNTIFS(Recetas!$A$6:$A$250,A80,Recetas!$S$6:$S$250,"&gt;0")&gt;0,"Completa","Faltan datos"))</f>
        <v>No está</v>
      </c>
    </row>
    <row r="81" customFormat="false" ht="15" hidden="false" customHeight="false" outlineLevel="0" collapsed="false">
      <c r="A81" s="11" t="s">
        <v>184</v>
      </c>
      <c r="B81" s="11" t="s">
        <v>185</v>
      </c>
      <c r="C81" s="11" t="s">
        <v>453</v>
      </c>
      <c r="D81" s="38" t="n">
        <v>19</v>
      </c>
      <c r="E81" s="37" t="n">
        <v>15882</v>
      </c>
      <c r="F81" s="39" t="str">
        <f aca="false">IF(COUNTIF(Recetas!$A$6:$A$250,A81)=0,IF(C81="KIT/DÚO","Kit (después)","No está"),IF(COUNTIFS(Recetas!$A$6:$A$250,A81,Recetas!$S$6:$S$250,"&gt;0")&gt;0,"Completa","Faltan datos"))</f>
        <v>Faltan datos</v>
      </c>
    </row>
    <row r="82" customFormat="false" ht="15" hidden="false" customHeight="false" outlineLevel="0" collapsed="false">
      <c r="A82" s="11" t="s">
        <v>503</v>
      </c>
      <c r="B82" s="11" t="s">
        <v>504</v>
      </c>
      <c r="C82" s="11" t="s">
        <v>440</v>
      </c>
      <c r="D82" s="38" t="n">
        <v>19</v>
      </c>
      <c r="E82" s="37" t="n">
        <v>34370</v>
      </c>
      <c r="F82" s="39" t="str">
        <f aca="false">IF(COUNTIF(Recetas!$A$6:$A$250,A82)=0,IF(C82="KIT/DÚO","Kit (después)","No está"),IF(COUNTIFS(Recetas!$A$6:$A$250,A82,Recetas!$S$6:$S$250,"&gt;0")&gt;0,"Completa","Faltan datos"))</f>
        <v>Kit (después)</v>
      </c>
    </row>
    <row r="83" customFormat="false" ht="15" hidden="false" customHeight="false" outlineLevel="0" collapsed="false">
      <c r="A83" s="11" t="s">
        <v>186</v>
      </c>
      <c r="B83" s="11" t="s">
        <v>187</v>
      </c>
      <c r="C83" s="11" t="s">
        <v>462</v>
      </c>
      <c r="D83" s="38" t="n">
        <v>19</v>
      </c>
      <c r="E83" s="37" t="n">
        <v>15042</v>
      </c>
      <c r="F83" s="39" t="str">
        <f aca="false">IF(COUNTIF(Recetas!$A$6:$A$250,A83)=0,IF(C83="KIT/DÚO","Kit (después)","No está"),IF(COUNTIFS(Recetas!$A$6:$A$250,A83,Recetas!$S$6:$S$250,"&gt;0")&gt;0,"Completa","Faltan datos"))</f>
        <v>Faltan datos</v>
      </c>
    </row>
    <row r="84" customFormat="false" ht="15" hidden="false" customHeight="false" outlineLevel="0" collapsed="false">
      <c r="A84" s="11" t="s">
        <v>505</v>
      </c>
      <c r="B84" s="11" t="s">
        <v>506</v>
      </c>
      <c r="C84" s="11" t="s">
        <v>440</v>
      </c>
      <c r="D84" s="38" t="n">
        <v>19</v>
      </c>
      <c r="E84" s="37" t="n">
        <v>25126</v>
      </c>
      <c r="F84" s="39" t="str">
        <f aca="false">IF(COUNTIF(Recetas!$A$6:$A$250,A84)=0,IF(C84="KIT/DÚO","Kit (después)","No está"),IF(COUNTIFS(Recetas!$A$6:$A$250,A84,Recetas!$S$6:$S$250,"&gt;0")&gt;0,"Completa","Faltan datos"))</f>
        <v>Kit (después)</v>
      </c>
    </row>
    <row r="85" customFormat="false" ht="15" hidden="false" customHeight="false" outlineLevel="0" collapsed="false">
      <c r="A85" s="11" t="s">
        <v>507</v>
      </c>
      <c r="B85" s="11" t="s">
        <v>508</v>
      </c>
      <c r="C85" s="11" t="s">
        <v>440</v>
      </c>
      <c r="D85" s="38" t="n">
        <v>18</v>
      </c>
      <c r="E85" s="37" t="n">
        <v>26218</v>
      </c>
      <c r="F85" s="39" t="str">
        <f aca="false">IF(COUNTIF(Recetas!$A$6:$A$250,A85)=0,IF(C85="KIT/DÚO","Kit (después)","No está"),IF(COUNTIFS(Recetas!$A$6:$A$250,A85,Recetas!$S$6:$S$250,"&gt;0")&gt;0,"Completa","Faltan datos"))</f>
        <v>Kit (después)</v>
      </c>
    </row>
    <row r="86" customFormat="false" ht="15" hidden="false" customHeight="false" outlineLevel="0" collapsed="false">
      <c r="A86" s="11" t="s">
        <v>509</v>
      </c>
      <c r="B86" s="11" t="s">
        <v>510</v>
      </c>
      <c r="C86" s="11" t="s">
        <v>440</v>
      </c>
      <c r="D86" s="38" t="n">
        <v>17</v>
      </c>
      <c r="E86" s="37" t="n">
        <v>27059</v>
      </c>
      <c r="F86" s="39" t="str">
        <f aca="false">IF(COUNTIF(Recetas!$A$6:$A$250,A86)=0,IF(C86="KIT/DÚO","Kit (después)","No está"),IF(COUNTIFS(Recetas!$A$6:$A$250,A86,Recetas!$S$6:$S$250,"&gt;0")&gt;0,"Completa","Faltan datos"))</f>
        <v>Kit (después)</v>
      </c>
    </row>
    <row r="87" customFormat="false" ht="15" hidden="false" customHeight="false" outlineLevel="0" collapsed="false">
      <c r="A87" s="11" t="s">
        <v>189</v>
      </c>
      <c r="B87" s="11" t="s">
        <v>190</v>
      </c>
      <c r="C87" s="11" t="s">
        <v>462</v>
      </c>
      <c r="D87" s="38" t="n">
        <v>17</v>
      </c>
      <c r="E87" s="37" t="n">
        <v>24328</v>
      </c>
      <c r="F87" s="39" t="str">
        <f aca="false">IF(COUNTIF(Recetas!$A$6:$A$250,A87)=0,IF(C87="KIT/DÚO","Kit (después)","No está"),IF(COUNTIFS(Recetas!$A$6:$A$250,A87,Recetas!$S$6:$S$250,"&gt;0")&gt;0,"Completa","Faltan datos"))</f>
        <v>Faltan datos</v>
      </c>
    </row>
    <row r="88" customFormat="false" ht="15" hidden="false" customHeight="false" outlineLevel="0" collapsed="false">
      <c r="A88" s="11" t="s">
        <v>511</v>
      </c>
      <c r="B88" s="11" t="s">
        <v>512</v>
      </c>
      <c r="C88" s="11" t="s">
        <v>443</v>
      </c>
      <c r="D88" s="38" t="n">
        <v>16</v>
      </c>
      <c r="E88" s="37" t="n">
        <v>5042</v>
      </c>
      <c r="F88" s="39" t="str">
        <f aca="false">IF(COUNTIF(Recetas!$A$6:$A$250,A88)=0,IF(C88="KIT/DÚO","Kit (después)","No está"),IF(COUNTIFS(Recetas!$A$6:$A$250,A88,Recetas!$S$6:$S$250,"&gt;0")&gt;0,"Completa","Faltan datos"))</f>
        <v>No está</v>
      </c>
    </row>
    <row r="89" customFormat="false" ht="15" hidden="false" customHeight="false" outlineLevel="0" collapsed="false">
      <c r="A89" s="11" t="s">
        <v>192</v>
      </c>
      <c r="B89" s="11" t="s">
        <v>193</v>
      </c>
      <c r="C89" s="11" t="s">
        <v>453</v>
      </c>
      <c r="D89" s="38" t="n">
        <v>16</v>
      </c>
      <c r="E89" s="37" t="n">
        <v>15882</v>
      </c>
      <c r="F89" s="39" t="str">
        <f aca="false">IF(COUNTIF(Recetas!$A$6:$A$250,A89)=0,IF(C89="KIT/DÚO","Kit (después)","No está"),IF(COUNTIFS(Recetas!$A$6:$A$250,A89,Recetas!$S$6:$S$250,"&gt;0")&gt;0,"Completa","Faltan datos"))</f>
        <v>Faltan datos</v>
      </c>
    </row>
    <row r="90" customFormat="false" ht="15" hidden="false" customHeight="false" outlineLevel="0" collapsed="false">
      <c r="A90" s="11" t="s">
        <v>513</v>
      </c>
      <c r="B90" s="11" t="s">
        <v>514</v>
      </c>
      <c r="C90" s="11" t="s">
        <v>440</v>
      </c>
      <c r="D90" s="38" t="n">
        <v>15</v>
      </c>
      <c r="E90" s="37" t="n">
        <v>23697</v>
      </c>
      <c r="F90" s="39" t="str">
        <f aca="false">IF(COUNTIF(Recetas!$A$6:$A$250,A90)=0,IF(C90="KIT/DÚO","Kit (después)","No está"),IF(COUNTIFS(Recetas!$A$6:$A$250,A90,Recetas!$S$6:$S$250,"&gt;0")&gt;0,"Completa","Faltan datos"))</f>
        <v>Kit (después)</v>
      </c>
    </row>
    <row r="91" customFormat="false" ht="15" hidden="false" customHeight="false" outlineLevel="0" collapsed="false">
      <c r="A91" s="11" t="s">
        <v>515</v>
      </c>
      <c r="B91" s="11" t="s">
        <v>516</v>
      </c>
      <c r="C91" s="11" t="s">
        <v>440</v>
      </c>
      <c r="D91" s="38" t="n">
        <v>15</v>
      </c>
      <c r="E91" s="37" t="n">
        <v>40252</v>
      </c>
      <c r="F91" s="39" t="str">
        <f aca="false">IF(COUNTIF(Recetas!$A$6:$A$250,A91)=0,IF(C91="KIT/DÚO","Kit (después)","No está"),IF(COUNTIFS(Recetas!$A$6:$A$250,A91,Recetas!$S$6:$S$250,"&gt;0")&gt;0,"Completa","Faltan datos"))</f>
        <v>Kit (después)</v>
      </c>
    </row>
    <row r="92" customFormat="false" ht="15" hidden="false" customHeight="false" outlineLevel="0" collapsed="false">
      <c r="A92" s="11" t="s">
        <v>194</v>
      </c>
      <c r="B92" s="11" t="s">
        <v>195</v>
      </c>
      <c r="C92" s="11" t="s">
        <v>453</v>
      </c>
      <c r="D92" s="38" t="n">
        <v>15</v>
      </c>
      <c r="E92" s="37" t="n">
        <v>17563</v>
      </c>
      <c r="F92" s="39" t="str">
        <f aca="false">IF(COUNTIF(Recetas!$A$6:$A$250,A92)=0,IF(C92="KIT/DÚO","Kit (después)","No está"),IF(COUNTIFS(Recetas!$A$6:$A$250,A92,Recetas!$S$6:$S$250,"&gt;0")&gt;0,"Completa","Faltan datos"))</f>
        <v>Faltan datos</v>
      </c>
    </row>
    <row r="93" customFormat="false" ht="15" hidden="false" customHeight="false" outlineLevel="0" collapsed="false">
      <c r="A93" s="11" t="s">
        <v>197</v>
      </c>
      <c r="B93" s="11" t="s">
        <v>198</v>
      </c>
      <c r="C93" s="11" t="s">
        <v>453</v>
      </c>
      <c r="D93" s="38" t="n">
        <v>15</v>
      </c>
      <c r="E93" s="37" t="n">
        <v>14202</v>
      </c>
      <c r="F93" s="39" t="str">
        <f aca="false">IF(COUNTIF(Recetas!$A$6:$A$250,A93)=0,IF(C93="KIT/DÚO","Kit (después)","No está"),IF(COUNTIFS(Recetas!$A$6:$A$250,A93,Recetas!$S$6:$S$250,"&gt;0")&gt;0,"Completa","Faltan datos"))</f>
        <v>Faltan datos</v>
      </c>
    </row>
    <row r="94" customFormat="false" ht="15" hidden="false" customHeight="false" outlineLevel="0" collapsed="false">
      <c r="A94" s="11" t="s">
        <v>199</v>
      </c>
      <c r="B94" s="11" t="s">
        <v>200</v>
      </c>
      <c r="C94" s="11" t="s">
        <v>453</v>
      </c>
      <c r="D94" s="38" t="n">
        <v>14</v>
      </c>
      <c r="E94" s="37" t="n">
        <v>11681</v>
      </c>
      <c r="F94" s="39" t="str">
        <f aca="false">IF(COUNTIF(Recetas!$A$6:$A$250,A94)=0,IF(C94="KIT/DÚO","Kit (después)","No está"),IF(COUNTIFS(Recetas!$A$6:$A$250,A94,Recetas!$S$6:$S$250,"&gt;0")&gt;0,"Completa","Faltan datos"))</f>
        <v>Faltan datos</v>
      </c>
    </row>
    <row r="95" customFormat="false" ht="15" hidden="false" customHeight="false" outlineLevel="0" collapsed="false">
      <c r="A95" s="11" t="s">
        <v>202</v>
      </c>
      <c r="B95" s="11" t="s">
        <v>203</v>
      </c>
      <c r="C95" s="11" t="s">
        <v>462</v>
      </c>
      <c r="D95" s="38" t="n">
        <v>14</v>
      </c>
      <c r="E95" s="37" t="n">
        <v>31092</v>
      </c>
      <c r="F95" s="39" t="str">
        <f aca="false">IF(COUNTIF(Recetas!$A$6:$A$250,A95)=0,IF(C95="KIT/DÚO","Kit (después)","No está"),IF(COUNTIFS(Recetas!$A$6:$A$250,A95,Recetas!$S$6:$S$250,"&gt;0")&gt;0,"Completa","Faltan datos"))</f>
        <v>Faltan datos</v>
      </c>
    </row>
    <row r="96" customFormat="false" ht="15" hidden="false" customHeight="false" outlineLevel="0" collapsed="false">
      <c r="A96" s="11" t="s">
        <v>204</v>
      </c>
      <c r="B96" s="11" t="s">
        <v>205</v>
      </c>
      <c r="C96" s="11" t="s">
        <v>462</v>
      </c>
      <c r="D96" s="38" t="n">
        <v>13</v>
      </c>
      <c r="E96" s="37" t="n">
        <v>17646</v>
      </c>
      <c r="F96" s="39" t="str">
        <f aca="false">IF(COUNTIF(Recetas!$A$6:$A$250,A96)=0,IF(C96="KIT/DÚO","Kit (después)","No está"),IF(COUNTIFS(Recetas!$A$6:$A$250,A96,Recetas!$S$6:$S$250,"&gt;0")&gt;0,"Completa","Faltan datos"))</f>
        <v>Faltan datos</v>
      </c>
    </row>
    <row r="97" customFormat="false" ht="15" hidden="false" customHeight="false" outlineLevel="0" collapsed="false">
      <c r="A97" s="11" t="s">
        <v>517</v>
      </c>
      <c r="B97" s="11" t="s">
        <v>518</v>
      </c>
      <c r="C97" s="11" t="s">
        <v>440</v>
      </c>
      <c r="D97" s="38" t="n">
        <v>13</v>
      </c>
      <c r="E97" s="37" t="n">
        <v>27647</v>
      </c>
      <c r="F97" s="39" t="str">
        <f aca="false">IF(COUNTIF(Recetas!$A$6:$A$250,A97)=0,IF(C97="KIT/DÚO","Kit (después)","No está"),IF(COUNTIFS(Recetas!$A$6:$A$250,A97,Recetas!$S$6:$S$250,"&gt;0")&gt;0,"Completa","Faltan datos"))</f>
        <v>Kit (después)</v>
      </c>
    </row>
    <row r="98" customFormat="false" ht="15" hidden="false" customHeight="false" outlineLevel="0" collapsed="false">
      <c r="A98" s="11" t="s">
        <v>206</v>
      </c>
      <c r="B98" s="11" t="s">
        <v>207</v>
      </c>
      <c r="C98" s="11" t="s">
        <v>453</v>
      </c>
      <c r="D98" s="38" t="n">
        <v>13</v>
      </c>
      <c r="E98" s="37" t="n">
        <v>16723</v>
      </c>
      <c r="F98" s="39" t="str">
        <f aca="false">IF(COUNTIF(Recetas!$A$6:$A$250,A98)=0,IF(C98="KIT/DÚO","Kit (después)","No está"),IF(COUNTIFS(Recetas!$A$6:$A$250,A98,Recetas!$S$6:$S$250,"&gt;0")&gt;0,"Completa","Faltan datos"))</f>
        <v>Faltan datos</v>
      </c>
    </row>
    <row r="99" customFormat="false" ht="15" hidden="false" customHeight="false" outlineLevel="0" collapsed="false">
      <c r="A99" s="11" t="s">
        <v>208</v>
      </c>
      <c r="B99" s="11" t="s">
        <v>209</v>
      </c>
      <c r="C99" s="11" t="s">
        <v>462</v>
      </c>
      <c r="D99" s="38" t="n">
        <v>13</v>
      </c>
      <c r="E99" s="37" t="n">
        <v>17563</v>
      </c>
      <c r="F99" s="39" t="str">
        <f aca="false">IF(COUNTIF(Recetas!$A$6:$A$250,A99)=0,IF(C99="KIT/DÚO","Kit (después)","No está"),IF(COUNTIFS(Recetas!$A$6:$A$250,A99,Recetas!$S$6:$S$250,"&gt;0")&gt;0,"Completa","Faltan datos"))</f>
        <v>Faltan datos</v>
      </c>
    </row>
    <row r="100" customFormat="false" ht="15" hidden="false" customHeight="false" outlineLevel="0" collapsed="false">
      <c r="A100" s="11" t="s">
        <v>519</v>
      </c>
      <c r="B100" s="11" t="s">
        <v>520</v>
      </c>
      <c r="C100" s="11" t="s">
        <v>453</v>
      </c>
      <c r="D100" s="38" t="n">
        <v>13</v>
      </c>
      <c r="E100" s="37" t="n">
        <v>130000</v>
      </c>
      <c r="F100" s="39" t="str">
        <f aca="false">IF(COUNTIF(Recetas!$A$6:$A$250,A100)=0,IF(C100="KIT/DÚO","Kit (después)","No está"),IF(COUNTIFS(Recetas!$A$6:$A$250,A100,Recetas!$S$6:$S$250,"&gt;0")&gt;0,"Completa","Faltan datos"))</f>
        <v>No está</v>
      </c>
    </row>
    <row r="101" customFormat="false" ht="15" hidden="false" customHeight="false" outlineLevel="0" collapsed="false">
      <c r="A101" s="11" t="s">
        <v>521</v>
      </c>
      <c r="B101" s="11" t="s">
        <v>522</v>
      </c>
      <c r="C101" s="11" t="s">
        <v>440</v>
      </c>
      <c r="D101" s="38" t="n">
        <v>12</v>
      </c>
      <c r="E101" s="37" t="n">
        <v>25966</v>
      </c>
      <c r="F101" s="39" t="str">
        <f aca="false">IF(COUNTIF(Recetas!$A$6:$A$250,A101)=0,IF(C101="KIT/DÚO","Kit (después)","No está"),IF(COUNTIFS(Recetas!$A$6:$A$250,A101,Recetas!$S$6:$S$250,"&gt;0")&gt;0,"Completa","Faltan datos"))</f>
        <v>Kit (después)</v>
      </c>
    </row>
    <row r="102" customFormat="false" ht="15" hidden="false" customHeight="false" outlineLevel="0" collapsed="false">
      <c r="A102" s="11" t="s">
        <v>210</v>
      </c>
      <c r="B102" s="11" t="s">
        <v>211</v>
      </c>
      <c r="C102" s="11" t="s">
        <v>453</v>
      </c>
      <c r="D102" s="38" t="n">
        <v>12</v>
      </c>
      <c r="E102" s="37" t="n">
        <v>16554</v>
      </c>
      <c r="F102" s="39" t="str">
        <f aca="false">IF(COUNTIF(Recetas!$A$6:$A$250,A102)=0,IF(C102="KIT/DÚO","Kit (después)","No está"),IF(COUNTIFS(Recetas!$A$6:$A$250,A102,Recetas!$S$6:$S$250,"&gt;0")&gt;0,"Completa","Faltan datos"))</f>
        <v>Faltan datos</v>
      </c>
    </row>
    <row r="103" customFormat="false" ht="15" hidden="false" customHeight="false" outlineLevel="0" collapsed="false">
      <c r="A103" s="11" t="s">
        <v>523</v>
      </c>
      <c r="B103" s="11" t="s">
        <v>524</v>
      </c>
      <c r="C103" s="11" t="s">
        <v>440</v>
      </c>
      <c r="D103" s="38" t="n">
        <v>12</v>
      </c>
      <c r="E103" s="37" t="n">
        <v>36050</v>
      </c>
      <c r="F103" s="39" t="str">
        <f aca="false">IF(COUNTIF(Recetas!$A$6:$A$250,A103)=0,IF(C103="KIT/DÚO","Kit (después)","No está"),IF(COUNTIFS(Recetas!$A$6:$A$250,A103,Recetas!$S$6:$S$250,"&gt;0")&gt;0,"Completa","Faltan datos"))</f>
        <v>Kit (después)</v>
      </c>
    </row>
    <row r="104" customFormat="false" ht="15" hidden="false" customHeight="false" outlineLevel="0" collapsed="false">
      <c r="A104" s="11" t="s">
        <v>525</v>
      </c>
      <c r="B104" s="11" t="s">
        <v>526</v>
      </c>
      <c r="C104" s="11" t="s">
        <v>440</v>
      </c>
      <c r="D104" s="38" t="n">
        <v>12</v>
      </c>
      <c r="E104" s="37" t="n">
        <v>23445</v>
      </c>
      <c r="F104" s="39" t="str">
        <f aca="false">IF(COUNTIF(Recetas!$A$6:$A$250,A104)=0,IF(C104="KIT/DÚO","Kit (después)","No está"),IF(COUNTIFS(Recetas!$A$6:$A$250,A104,Recetas!$S$6:$S$250,"&gt;0")&gt;0,"Completa","Faltan datos"))</f>
        <v>Kit (después)</v>
      </c>
    </row>
    <row r="105" customFormat="false" ht="15" hidden="false" customHeight="false" outlineLevel="0" collapsed="false">
      <c r="A105" s="11" t="s">
        <v>527</v>
      </c>
      <c r="B105" s="11" t="s">
        <v>528</v>
      </c>
      <c r="C105" s="11" t="s">
        <v>440</v>
      </c>
      <c r="D105" s="38" t="n">
        <v>12</v>
      </c>
      <c r="E105" s="37" t="n">
        <v>23445</v>
      </c>
      <c r="F105" s="39" t="str">
        <f aca="false">IF(COUNTIF(Recetas!$A$6:$A$250,A105)=0,IF(C105="KIT/DÚO","Kit (después)","No está"),IF(COUNTIFS(Recetas!$A$6:$A$250,A105,Recetas!$S$6:$S$250,"&gt;0")&gt;0,"Completa","Faltan datos"))</f>
        <v>Kit (después)</v>
      </c>
    </row>
    <row r="106" customFormat="false" ht="15" hidden="false" customHeight="false" outlineLevel="0" collapsed="false">
      <c r="A106" s="11" t="s">
        <v>212</v>
      </c>
      <c r="B106" s="11" t="s">
        <v>213</v>
      </c>
      <c r="C106" s="11" t="s">
        <v>462</v>
      </c>
      <c r="D106" s="38" t="n">
        <v>12</v>
      </c>
      <c r="E106" s="37" t="n">
        <v>30168</v>
      </c>
      <c r="F106" s="39" t="str">
        <f aca="false">IF(COUNTIF(Recetas!$A$6:$A$250,A106)=0,IF(C106="KIT/DÚO","Kit (después)","No está"),IF(COUNTIFS(Recetas!$A$6:$A$250,A106,Recetas!$S$6:$S$250,"&gt;0")&gt;0,"Completa","Faltan datos"))</f>
        <v>Faltan datos</v>
      </c>
    </row>
    <row r="107" customFormat="false" ht="15" hidden="false" customHeight="false" outlineLevel="0" collapsed="false">
      <c r="A107" s="11" t="s">
        <v>529</v>
      </c>
      <c r="B107" s="11" t="s">
        <v>530</v>
      </c>
      <c r="C107" s="11" t="s">
        <v>443</v>
      </c>
      <c r="D107" s="38" t="n">
        <v>12</v>
      </c>
      <c r="E107" s="37" t="n">
        <v>4118</v>
      </c>
      <c r="F107" s="39" t="str">
        <f aca="false">IF(COUNTIF(Recetas!$A$6:$A$250,A107)=0,IF(C107="KIT/DÚO","Kit (después)","No está"),IF(COUNTIFS(Recetas!$A$6:$A$250,A107,Recetas!$S$6:$S$250,"&gt;0")&gt;0,"Completa","Faltan datos"))</f>
        <v>No está</v>
      </c>
    </row>
    <row r="108" customFormat="false" ht="15" hidden="false" customHeight="false" outlineLevel="0" collapsed="false">
      <c r="A108" s="11" t="s">
        <v>531</v>
      </c>
      <c r="B108" s="11" t="s">
        <v>532</v>
      </c>
      <c r="C108" s="11" t="s">
        <v>440</v>
      </c>
      <c r="D108" s="38" t="n">
        <v>12</v>
      </c>
      <c r="E108" s="37" t="n">
        <v>24286</v>
      </c>
      <c r="F108" s="39" t="str">
        <f aca="false">IF(COUNTIF(Recetas!$A$6:$A$250,A108)=0,IF(C108="KIT/DÚO","Kit (después)","No está"),IF(COUNTIFS(Recetas!$A$6:$A$250,A108,Recetas!$S$6:$S$250,"&gt;0")&gt;0,"Completa","Faltan datos"))</f>
        <v>Kit (después)</v>
      </c>
    </row>
    <row r="109" customFormat="false" ht="15" hidden="false" customHeight="false" outlineLevel="0" collapsed="false">
      <c r="A109" s="11" t="s">
        <v>214</v>
      </c>
      <c r="B109" s="11" t="s">
        <v>215</v>
      </c>
      <c r="C109" s="11" t="s">
        <v>453</v>
      </c>
      <c r="D109" s="38" t="n">
        <v>12</v>
      </c>
      <c r="E109" s="37" t="n">
        <v>17563</v>
      </c>
      <c r="F109" s="39" t="str">
        <f aca="false">IF(COUNTIF(Recetas!$A$6:$A$250,A109)=0,IF(C109="KIT/DÚO","Kit (después)","No está"),IF(COUNTIFS(Recetas!$A$6:$A$250,A109,Recetas!$S$6:$S$250,"&gt;0")&gt;0,"Completa","Faltan datos"))</f>
        <v>Faltan datos</v>
      </c>
    </row>
    <row r="110" customFormat="false" ht="15" hidden="false" customHeight="false" outlineLevel="0" collapsed="false">
      <c r="A110" s="11" t="s">
        <v>216</v>
      </c>
      <c r="B110" s="11" t="s">
        <v>217</v>
      </c>
      <c r="C110" s="11" t="s">
        <v>453</v>
      </c>
      <c r="D110" s="38" t="n">
        <v>12</v>
      </c>
      <c r="E110" s="37" t="n">
        <v>19244</v>
      </c>
      <c r="F110" s="39" t="str">
        <f aca="false">IF(COUNTIF(Recetas!$A$6:$A$250,A110)=0,IF(C110="KIT/DÚO","Kit (después)","No está"),IF(COUNTIFS(Recetas!$A$6:$A$250,A110,Recetas!$S$6:$S$250,"&gt;0")&gt;0,"Completa","Faltan datos"))</f>
        <v>Faltan datos</v>
      </c>
    </row>
    <row r="111" customFormat="false" ht="15" hidden="false" customHeight="false" outlineLevel="0" collapsed="false">
      <c r="A111" s="11" t="s">
        <v>533</v>
      </c>
      <c r="B111" s="11" t="s">
        <v>534</v>
      </c>
      <c r="C111" s="11" t="s">
        <v>440</v>
      </c>
      <c r="D111" s="38" t="n">
        <v>11</v>
      </c>
      <c r="E111" s="37" t="n">
        <v>26891</v>
      </c>
      <c r="F111" s="39" t="str">
        <f aca="false">IF(COUNTIF(Recetas!$A$6:$A$250,A111)=0,IF(C111="KIT/DÚO","Kit (después)","No está"),IF(COUNTIFS(Recetas!$A$6:$A$250,A111,Recetas!$S$6:$S$250,"&gt;0")&gt;0,"Completa","Faltan datos"))</f>
        <v>Kit (después)</v>
      </c>
    </row>
    <row r="112" customFormat="false" ht="15" hidden="false" customHeight="false" outlineLevel="0" collapsed="false">
      <c r="A112" s="11" t="s">
        <v>218</v>
      </c>
      <c r="B112" s="11" t="s">
        <v>219</v>
      </c>
      <c r="C112" s="11" t="s">
        <v>462</v>
      </c>
      <c r="D112" s="38" t="n">
        <v>11</v>
      </c>
      <c r="E112" s="37" t="n">
        <v>20084</v>
      </c>
      <c r="F112" s="39" t="str">
        <f aca="false">IF(COUNTIF(Recetas!$A$6:$A$250,A112)=0,IF(C112="KIT/DÚO","Kit (después)","No está"),IF(COUNTIFS(Recetas!$A$6:$A$250,A112,Recetas!$S$6:$S$250,"&gt;0")&gt;0,"Completa","Faltan datos"))</f>
        <v>Faltan datos</v>
      </c>
    </row>
    <row r="113" customFormat="false" ht="15" hidden="false" customHeight="false" outlineLevel="0" collapsed="false">
      <c r="A113" s="11" t="s">
        <v>535</v>
      </c>
      <c r="B113" s="11" t="s">
        <v>536</v>
      </c>
      <c r="C113" s="11" t="s">
        <v>440</v>
      </c>
      <c r="D113" s="38" t="n">
        <v>10</v>
      </c>
      <c r="E113" s="37" t="n">
        <v>29266</v>
      </c>
      <c r="F113" s="39" t="str">
        <f aca="false">IF(COUNTIF(Recetas!$A$6:$A$250,A113)=0,IF(C113="KIT/DÚO","Kit (después)","No está"),IF(COUNTIFS(Recetas!$A$6:$A$250,A113,Recetas!$S$6:$S$250,"&gt;0")&gt;0,"Completa","Faltan datos"))</f>
        <v>Kit (después)</v>
      </c>
    </row>
    <row r="114" customFormat="false" ht="15" hidden="false" customHeight="false" outlineLevel="0" collapsed="false">
      <c r="A114" s="11" t="s">
        <v>220</v>
      </c>
      <c r="B114" s="11" t="s">
        <v>221</v>
      </c>
      <c r="C114" s="11" t="s">
        <v>453</v>
      </c>
      <c r="D114" s="38" t="n">
        <v>9</v>
      </c>
      <c r="E114" s="37" t="n">
        <v>17143</v>
      </c>
      <c r="F114" s="39" t="str">
        <f aca="false">IF(COUNTIF(Recetas!$A$6:$A$250,A114)=0,IF(C114="KIT/DÚO","Kit (después)","No está"),IF(COUNTIFS(Recetas!$A$6:$A$250,A114,Recetas!$S$6:$S$250,"&gt;0")&gt;0,"Completa","Faltan datos"))</f>
        <v>Faltan datos</v>
      </c>
    </row>
    <row r="115" customFormat="false" ht="15" hidden="false" customHeight="false" outlineLevel="0" collapsed="false">
      <c r="A115" s="11" t="s">
        <v>537</v>
      </c>
      <c r="B115" s="11" t="s">
        <v>538</v>
      </c>
      <c r="C115" s="11" t="s">
        <v>450</v>
      </c>
      <c r="D115" s="38" t="n">
        <v>8</v>
      </c>
      <c r="E115" s="37"/>
      <c r="F115" s="39" t="str">
        <f aca="false">IF(COUNTIF(Recetas!$A$6:$A$250,A115)=0,IF(C115="KIT/DÚO","Kit (después)","No está"),IF(COUNTIFS(Recetas!$A$6:$A$250,A115,Recetas!$S$6:$S$250,"&gt;0")&gt;0,"Completa","Faltan datos"))</f>
        <v>No está</v>
      </c>
    </row>
    <row r="116" customFormat="false" ht="15" hidden="false" customHeight="false" outlineLevel="0" collapsed="false">
      <c r="A116" s="11" t="s">
        <v>539</v>
      </c>
      <c r="B116" s="11" t="s">
        <v>540</v>
      </c>
      <c r="C116" s="11" t="s">
        <v>443</v>
      </c>
      <c r="D116" s="38" t="n">
        <v>8</v>
      </c>
      <c r="E116" s="37" t="n">
        <v>1260</v>
      </c>
      <c r="F116" s="39" t="str">
        <f aca="false">IF(COUNTIF(Recetas!$A$6:$A$250,A116)=0,IF(C116="KIT/DÚO","Kit (después)","No está"),IF(COUNTIFS(Recetas!$A$6:$A$250,A116,Recetas!$S$6:$S$250,"&gt;0")&gt;0,"Completa","Faltan datos"))</f>
        <v>No está</v>
      </c>
    </row>
    <row r="117" customFormat="false" ht="15" hidden="false" customHeight="false" outlineLevel="0" collapsed="false">
      <c r="A117" s="11" t="s">
        <v>222</v>
      </c>
      <c r="B117" s="11" t="s">
        <v>223</v>
      </c>
      <c r="C117" s="11" t="s">
        <v>462</v>
      </c>
      <c r="D117" s="38" t="n">
        <v>6</v>
      </c>
      <c r="E117" s="37" t="n">
        <v>32731</v>
      </c>
      <c r="F117" s="39" t="str">
        <f aca="false">IF(COUNTIF(Recetas!$A$6:$A$250,A117)=0,IF(C117="KIT/DÚO","Kit (después)","No está"),IF(COUNTIFS(Recetas!$A$6:$A$250,A117,Recetas!$S$6:$S$250,"&gt;0")&gt;0,"Completa","Faltan datos"))</f>
        <v>Faltan datos</v>
      </c>
    </row>
    <row r="118" customFormat="false" ht="15" hidden="false" customHeight="false" outlineLevel="0" collapsed="false">
      <c r="A118" s="11" t="s">
        <v>224</v>
      </c>
      <c r="B118" s="11" t="s">
        <v>225</v>
      </c>
      <c r="C118" s="11" t="s">
        <v>453</v>
      </c>
      <c r="D118" s="38" t="n">
        <v>6</v>
      </c>
      <c r="E118" s="37" t="n">
        <v>16723</v>
      </c>
      <c r="F118" s="39" t="str">
        <f aca="false">IF(COUNTIF(Recetas!$A$6:$A$250,A118)=0,IF(C118="KIT/DÚO","Kit (después)","No está"),IF(COUNTIFS(Recetas!$A$6:$A$250,A118,Recetas!$S$6:$S$250,"&gt;0")&gt;0,"Completa","Faltan datos"))</f>
        <v>Faltan datos</v>
      </c>
    </row>
    <row r="119" customFormat="false" ht="15" hidden="false" customHeight="false" outlineLevel="0" collapsed="false">
      <c r="A119" s="11" t="s">
        <v>226</v>
      </c>
      <c r="B119" s="11" t="s">
        <v>227</v>
      </c>
      <c r="C119" s="11" t="s">
        <v>453</v>
      </c>
      <c r="D119" s="38" t="n">
        <v>5</v>
      </c>
      <c r="E119" s="37" t="n">
        <v>15882</v>
      </c>
      <c r="F119" s="39" t="str">
        <f aca="false">IF(COUNTIF(Recetas!$A$6:$A$250,A119)=0,IF(C119="KIT/DÚO","Kit (después)","No está"),IF(COUNTIFS(Recetas!$A$6:$A$250,A119,Recetas!$S$6:$S$250,"&gt;0")&gt;0,"Completa","Faltan datos"))</f>
        <v>Faltan datos</v>
      </c>
    </row>
    <row r="120" customFormat="false" ht="15" hidden="false" customHeight="false" outlineLevel="0" collapsed="false">
      <c r="A120" s="11" t="s">
        <v>541</v>
      </c>
      <c r="B120" s="11" t="s">
        <v>542</v>
      </c>
      <c r="C120" s="11" t="s">
        <v>453</v>
      </c>
      <c r="D120" s="38" t="n">
        <v>5</v>
      </c>
      <c r="E120" s="37" t="n">
        <v>13622</v>
      </c>
      <c r="F120" s="39" t="str">
        <f aca="false">IF(COUNTIF(Recetas!$A$6:$A$250,A120)=0,IF(C120="KIT/DÚO","Kit (después)","No está"),IF(COUNTIFS(Recetas!$A$6:$A$250,A120,Recetas!$S$6:$S$250,"&gt;0")&gt;0,"Completa","Faltan datos"))</f>
        <v>No está</v>
      </c>
    </row>
    <row r="121" customFormat="false" ht="15" hidden="false" customHeight="false" outlineLevel="0" collapsed="false">
      <c r="A121" s="11" t="s">
        <v>543</v>
      </c>
      <c r="B121" s="11" t="s">
        <v>544</v>
      </c>
      <c r="C121" s="11" t="s">
        <v>450</v>
      </c>
      <c r="D121" s="38" t="n">
        <v>5</v>
      </c>
      <c r="E121" s="37" t="n">
        <v>29412</v>
      </c>
      <c r="F121" s="39" t="str">
        <f aca="false">IF(COUNTIF(Recetas!$A$6:$A$250,A121)=0,IF(C121="KIT/DÚO","Kit (después)","No está"),IF(COUNTIFS(Recetas!$A$6:$A$250,A121,Recetas!$S$6:$S$250,"&gt;0")&gt;0,"Completa","Faltan datos"))</f>
        <v>No está</v>
      </c>
    </row>
    <row r="122" customFormat="false" ht="15" hidden="false" customHeight="false" outlineLevel="0" collapsed="false">
      <c r="A122" s="11" t="s">
        <v>228</v>
      </c>
      <c r="B122" s="11" t="s">
        <v>229</v>
      </c>
      <c r="C122" s="11" t="s">
        <v>453</v>
      </c>
      <c r="D122" s="38" t="n">
        <v>4</v>
      </c>
      <c r="E122" s="37" t="n">
        <v>12689</v>
      </c>
      <c r="F122" s="39" t="str">
        <f aca="false">IF(COUNTIF(Recetas!$A$6:$A$250,A122)=0,IF(C122="KIT/DÚO","Kit (después)","No está"),IF(COUNTIFS(Recetas!$A$6:$A$250,A122,Recetas!$S$6:$S$250,"&gt;0")&gt;0,"Completa","Faltan datos"))</f>
        <v>Faltan datos</v>
      </c>
    </row>
    <row r="123" customFormat="false" ht="15" hidden="false" customHeight="false" outlineLevel="0" collapsed="false">
      <c r="A123" s="11" t="s">
        <v>233</v>
      </c>
      <c r="B123" s="11" t="s">
        <v>234</v>
      </c>
      <c r="C123" s="11" t="s">
        <v>462</v>
      </c>
      <c r="D123" s="38" t="n">
        <v>4</v>
      </c>
      <c r="E123" s="37" t="n">
        <v>13445</v>
      </c>
      <c r="F123" s="39" t="str">
        <f aca="false">IF(COUNTIF(Recetas!$A$6:$A$250,A123)=0,IF(C123="KIT/DÚO","Kit (después)","No está"),IF(COUNTIFS(Recetas!$A$6:$A$250,A123,Recetas!$S$6:$S$250,"&gt;0")&gt;0,"Completa","Faltan datos"))</f>
        <v>Faltan datos</v>
      </c>
    </row>
    <row r="124" customFormat="false" ht="15" hidden="false" customHeight="false" outlineLevel="0" collapsed="false">
      <c r="A124" s="11" t="s">
        <v>235</v>
      </c>
      <c r="B124" s="11" t="s">
        <v>236</v>
      </c>
      <c r="C124" s="11" t="s">
        <v>462</v>
      </c>
      <c r="D124" s="38" t="n">
        <v>4</v>
      </c>
      <c r="E124" s="37" t="n">
        <v>30168</v>
      </c>
      <c r="F124" s="39" t="str">
        <f aca="false">IF(COUNTIF(Recetas!$A$6:$A$250,A124)=0,IF(C124="KIT/DÚO","Kit (después)","No está"),IF(COUNTIFS(Recetas!$A$6:$A$250,A124,Recetas!$S$6:$S$250,"&gt;0")&gt;0,"Completa","Faltan datos"))</f>
        <v>Faltan datos</v>
      </c>
    </row>
    <row r="125" customFormat="false" ht="15" hidden="false" customHeight="false" outlineLevel="0" collapsed="false">
      <c r="A125" s="11" t="s">
        <v>545</v>
      </c>
      <c r="B125" s="11" t="s">
        <v>546</v>
      </c>
      <c r="C125" s="11" t="s">
        <v>450</v>
      </c>
      <c r="D125" s="38" t="n">
        <v>3</v>
      </c>
      <c r="E125" s="37" t="n">
        <v>21008</v>
      </c>
      <c r="F125" s="39" t="str">
        <f aca="false">IF(COUNTIF(Recetas!$A$6:$A$250,A125)=0,IF(C125="KIT/DÚO","Kit (después)","No está"),IF(COUNTIFS(Recetas!$A$6:$A$250,A125,Recetas!$S$6:$S$250,"&gt;0")&gt;0,"Completa","Faltan datos"))</f>
        <v>No está</v>
      </c>
    </row>
    <row r="126" customFormat="false" ht="15" hidden="false" customHeight="false" outlineLevel="0" collapsed="false">
      <c r="A126" s="11" t="s">
        <v>237</v>
      </c>
      <c r="B126" s="11" t="s">
        <v>238</v>
      </c>
      <c r="C126" s="11" t="s">
        <v>453</v>
      </c>
      <c r="D126" s="38" t="n">
        <v>3</v>
      </c>
      <c r="E126" s="37" t="n">
        <v>16723</v>
      </c>
      <c r="F126" s="39" t="str">
        <f aca="false">IF(COUNTIF(Recetas!$A$6:$A$250,A126)=0,IF(C126="KIT/DÚO","Kit (después)","No está"),IF(COUNTIFS(Recetas!$A$6:$A$250,A126,Recetas!$S$6:$S$250,"&gt;0")&gt;0,"Completa","Faltan datos"))</f>
        <v>Faltan datos</v>
      </c>
    </row>
    <row r="127" customFormat="false" ht="15" hidden="false" customHeight="false" outlineLevel="0" collapsed="false">
      <c r="A127" s="11" t="s">
        <v>239</v>
      </c>
      <c r="B127" s="11" t="s">
        <v>240</v>
      </c>
      <c r="C127" s="11" t="s">
        <v>462</v>
      </c>
      <c r="D127" s="38" t="n">
        <v>2</v>
      </c>
      <c r="E127" s="37" t="n">
        <v>27647</v>
      </c>
      <c r="F127" s="39" t="str">
        <f aca="false">IF(COUNTIF(Recetas!$A$6:$A$250,A127)=0,IF(C127="KIT/DÚO","Kit (después)","No está"),IF(COUNTIFS(Recetas!$A$6:$A$250,A127,Recetas!$S$6:$S$250,"&gt;0")&gt;0,"Completa","Faltan datos"))</f>
        <v>Faltan datos</v>
      </c>
    </row>
    <row r="128" customFormat="false" ht="15" hidden="false" customHeight="false" outlineLevel="0" collapsed="false">
      <c r="A128" s="11" t="s">
        <v>547</v>
      </c>
      <c r="B128" s="11" t="s">
        <v>548</v>
      </c>
      <c r="C128" s="11" t="s">
        <v>440</v>
      </c>
      <c r="D128" s="38" t="n">
        <v>2</v>
      </c>
      <c r="E128" s="37" t="n">
        <v>45294</v>
      </c>
      <c r="F128" s="39" t="str">
        <f aca="false">IF(COUNTIF(Recetas!$A$6:$A$250,A128)=0,IF(C128="KIT/DÚO","Kit (después)","No está"),IF(COUNTIFS(Recetas!$A$6:$A$250,A128,Recetas!$S$6:$S$250,"&gt;0")&gt;0,"Completa","Faltan datos"))</f>
        <v>Kit (después)</v>
      </c>
    </row>
    <row r="129" customFormat="false" ht="15" hidden="false" customHeight="false" outlineLevel="0" collapsed="false">
      <c r="A129" s="11" t="s">
        <v>549</v>
      </c>
      <c r="B129" s="11" t="s">
        <v>550</v>
      </c>
      <c r="C129" s="11" t="s">
        <v>440</v>
      </c>
      <c r="D129" s="38" t="n">
        <v>2</v>
      </c>
      <c r="E129" s="37" t="n">
        <v>26387</v>
      </c>
      <c r="F129" s="39" t="str">
        <f aca="false">IF(COUNTIF(Recetas!$A$6:$A$250,A129)=0,IF(C129="KIT/DÚO","Kit (después)","No está"),IF(COUNTIFS(Recetas!$A$6:$A$250,A129,Recetas!$S$6:$S$250,"&gt;0")&gt;0,"Completa","Faltan datos"))</f>
        <v>Kit (después)</v>
      </c>
    </row>
    <row r="130" customFormat="false" ht="15" hidden="false" customHeight="false" outlineLevel="0" collapsed="false">
      <c r="A130" s="11" t="s">
        <v>551</v>
      </c>
      <c r="B130" s="11" t="s">
        <v>552</v>
      </c>
      <c r="C130" s="11" t="s">
        <v>450</v>
      </c>
      <c r="D130" s="38" t="n">
        <v>2</v>
      </c>
      <c r="E130" s="37" t="n">
        <v>11093</v>
      </c>
      <c r="F130" s="39" t="str">
        <f aca="false">IF(COUNTIF(Recetas!$A$6:$A$250,A130)=0,IF(C130="KIT/DÚO","Kit (después)","No está"),IF(COUNTIFS(Recetas!$A$6:$A$250,A130,Recetas!$S$6:$S$250,"&gt;0")&gt;0,"Completa","Faltan datos"))</f>
        <v>No está</v>
      </c>
    </row>
    <row r="131" customFormat="false" ht="15" hidden="false" customHeight="false" outlineLevel="0" collapsed="false">
      <c r="A131" s="11" t="s">
        <v>553</v>
      </c>
      <c r="B131" s="11" t="s">
        <v>554</v>
      </c>
      <c r="C131" s="11" t="s">
        <v>453</v>
      </c>
      <c r="D131" s="38" t="n">
        <v>2</v>
      </c>
      <c r="E131" s="37" t="n">
        <v>1681</v>
      </c>
      <c r="F131" s="39" t="str">
        <f aca="false">IF(COUNTIF(Recetas!$A$6:$A$250,A131)=0,IF(C131="KIT/DÚO","Kit (después)","No está"),IF(COUNTIFS(Recetas!$A$6:$A$250,A131,Recetas!$S$6:$S$250,"&gt;0")&gt;0,"Completa","Faltan datos"))</f>
        <v>No está</v>
      </c>
    </row>
    <row r="132" customFormat="false" ht="15" hidden="false" customHeight="false" outlineLevel="0" collapsed="false">
      <c r="A132" s="11" t="s">
        <v>555</v>
      </c>
      <c r="B132" s="11" t="s">
        <v>556</v>
      </c>
      <c r="C132" s="11" t="s">
        <v>453</v>
      </c>
      <c r="D132" s="38" t="n">
        <v>1</v>
      </c>
      <c r="E132" s="37"/>
      <c r="F132" s="39" t="str">
        <f aca="false">IF(COUNTIF(Recetas!$A$6:$A$250,A132)=0,IF(C132="KIT/DÚO","Kit (después)","No está"),IF(COUNTIFS(Recetas!$A$6:$A$250,A132,Recetas!$S$6:$S$250,"&gt;0")&gt;0,"Completa","Faltan datos"))</f>
        <v>No está</v>
      </c>
    </row>
    <row r="133" customFormat="false" ht="15" hidden="false" customHeight="false" outlineLevel="0" collapsed="false">
      <c r="A133" s="11" t="s">
        <v>241</v>
      </c>
      <c r="B133" s="11" t="s">
        <v>242</v>
      </c>
      <c r="C133" s="11" t="s">
        <v>453</v>
      </c>
      <c r="D133" s="38" t="n">
        <v>1</v>
      </c>
      <c r="E133" s="37" t="n">
        <v>19244</v>
      </c>
      <c r="F133" s="39" t="str">
        <f aca="false">IF(COUNTIF(Recetas!$A$6:$A$250,A133)=0,IF(C133="KIT/DÚO","Kit (después)","No está"),IF(COUNTIFS(Recetas!$A$6:$A$250,A133,Recetas!$S$6:$S$250,"&gt;0")&gt;0,"Completa","Faltan datos"))</f>
        <v>Faltan datos</v>
      </c>
    </row>
    <row r="134" customFormat="false" ht="15" hidden="false" customHeight="false" outlineLevel="0" collapsed="false">
      <c r="A134" s="11" t="s">
        <v>243</v>
      </c>
      <c r="B134" s="11" t="s">
        <v>244</v>
      </c>
      <c r="C134" s="11" t="s">
        <v>453</v>
      </c>
      <c r="D134" s="38" t="n">
        <v>1</v>
      </c>
      <c r="E134" s="37" t="n">
        <v>20084</v>
      </c>
      <c r="F134" s="39" t="str">
        <f aca="false">IF(COUNTIF(Recetas!$A$6:$A$250,A134)=0,IF(C134="KIT/DÚO","Kit (después)","No está"),IF(COUNTIFS(Recetas!$A$6:$A$250,A134,Recetas!$S$6:$S$250,"&gt;0")&gt;0,"Completa","Faltan datos"))</f>
        <v>Faltan datos</v>
      </c>
    </row>
    <row r="135" customFormat="false" ht="15" hidden="false" customHeight="false" outlineLevel="0" collapsed="false">
      <c r="A135" s="11" t="s">
        <v>245</v>
      </c>
      <c r="B135" s="11" t="s">
        <v>246</v>
      </c>
      <c r="C135" s="11" t="s">
        <v>453</v>
      </c>
      <c r="D135" s="38" t="n">
        <v>1</v>
      </c>
      <c r="E135" s="37" t="n">
        <v>21765</v>
      </c>
      <c r="F135" s="39" t="str">
        <f aca="false">IF(COUNTIF(Recetas!$A$6:$A$250,A135)=0,IF(C135="KIT/DÚO","Kit (después)","No está"),IF(COUNTIFS(Recetas!$A$6:$A$250,A135,Recetas!$S$6:$S$250,"&gt;0")&gt;0,"Completa","Faltan datos"))</f>
        <v>Faltan datos</v>
      </c>
    </row>
    <row r="136" customFormat="false" ht="15" hidden="false" customHeight="false" outlineLevel="0" collapsed="false">
      <c r="A136" s="11" t="s">
        <v>248</v>
      </c>
      <c r="B136" s="11" t="s">
        <v>249</v>
      </c>
      <c r="C136" s="11" t="s">
        <v>453</v>
      </c>
      <c r="D136" s="38" t="n">
        <v>1</v>
      </c>
      <c r="E136" s="37" t="n">
        <v>11681</v>
      </c>
      <c r="F136" s="39" t="str">
        <f aca="false">IF(COUNTIF(Recetas!$A$6:$A$250,A136)=0,IF(C136="KIT/DÚO","Kit (después)","No está"),IF(COUNTIFS(Recetas!$A$6:$A$250,A136,Recetas!$S$6:$S$250,"&gt;0")&gt;0,"Completa","Faltan datos"))</f>
        <v>Faltan datos</v>
      </c>
    </row>
    <row r="137" customFormat="false" ht="15" hidden="false" customHeight="false" outlineLevel="0" collapsed="false">
      <c r="A137" s="11" t="s">
        <v>250</v>
      </c>
      <c r="B137" s="11" t="s">
        <v>251</v>
      </c>
      <c r="C137" s="11" t="s">
        <v>462</v>
      </c>
      <c r="D137" s="38" t="n">
        <v>1</v>
      </c>
      <c r="E137" s="37" t="n">
        <v>21765</v>
      </c>
      <c r="F137" s="39" t="str">
        <f aca="false">IF(COUNTIF(Recetas!$A$6:$A$250,A137)=0,IF(C137="KIT/DÚO","Kit (después)","No está"),IF(COUNTIFS(Recetas!$A$6:$A$250,A137,Recetas!$S$6:$S$250,"&gt;0")&gt;0,"Completa","Faltan datos"))</f>
        <v>Faltan datos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2026-10-05T22:05:30Z</dcterms:created>
  <dc:creator>openpyxl</dc:creator>
  <dc:description/>
  <dc:language>en-US</dc:language>
  <cp:lastModifiedBy/>
  <dcterms:modified xsi:type="dcterms:W3CDTF">2026-10-05T22:05:30Z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